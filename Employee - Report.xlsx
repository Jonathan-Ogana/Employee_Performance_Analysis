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pc\Desktop\Study\Data Analysis\Excel\"/>
    </mc:Choice>
  </mc:AlternateContent>
  <xr:revisionPtr revIDLastSave="0" documentId="13_ncr:1_{3EAD9306-2CD6-4D57-ABD3-4C309E2657E5}" xr6:coauthVersionLast="47" xr6:coauthVersionMax="47" xr10:uidLastSave="{00000000-0000-0000-0000-000000000000}"/>
  <bookViews>
    <workbookView xWindow="-108" yWindow="-108" windowWidth="23256" windowHeight="12456" tabRatio="735" activeTab="5" xr2:uid="{320A5515-96D0-418E-9A7F-6B8D3BBB42EB}"/>
  </bookViews>
  <sheets>
    <sheet name="Data Table" sheetId="3" r:id="rId1"/>
    <sheet name="Executive View" sheetId="4" r:id="rId2"/>
    <sheet name="Operational View" sheetId="6" r:id="rId3"/>
    <sheet name="Monitoring View" sheetId="7" r:id="rId4"/>
    <sheet name="Performance Cat Distr" sheetId="9" r:id="rId5"/>
    <sheet name="Dashboard" sheetId="13" r:id="rId6"/>
    <sheet name="employee_performance_data" sheetId="1" state="hidden" r:id="rId7"/>
  </sheets>
  <definedNames>
    <definedName name="ExternalData_1" localSheetId="0" hidden="1">'Data Table'!$A$1:$P$1201</definedName>
    <definedName name="Slicer_attendance_rate">#N/A</definedName>
    <definedName name="Slicer_job_role">#N/A</definedName>
    <definedName name="Slicer_Months__month">#N/A</definedName>
    <definedName name="Slicer_performance_category">#N/A</definedName>
    <definedName name="Slicer_promotions_last_3years">#N/A</definedName>
    <definedName name="Slicer_salary_band">#N/A</definedName>
    <definedName name="Slicer_work_locat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3" l="1"/>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D18" i="4"/>
  <c r="C18" i="4"/>
  <c r="B18" i="4"/>
  <c r="A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8078D8-CF00-4C35-9C21-A6040CEC13D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<sst xmlns="http://schemas.openxmlformats.org/spreadsheetml/2006/main" count="15730" uniqueCount="193">
  <si>
    <t>employee_id</t>
  </si>
  <si>
    <t>department</t>
  </si>
  <si>
    <t>job_role</t>
  </si>
  <si>
    <t>education_level</t>
  </si>
  <si>
    <t>years_at_company</t>
  </si>
  <si>
    <t>monthly_hours_worked</t>
  </si>
  <si>
    <t>attendance_rate</t>
  </si>
  <si>
    <t>training_hours</t>
  </si>
  <si>
    <t>tasks_completed</t>
  </si>
  <si>
    <t>peer_review_score</t>
  </si>
  <si>
    <t>manager_rating</t>
  </si>
  <si>
    <t>promotions_last_3years</t>
  </si>
  <si>
    <t>salary_band</t>
  </si>
  <si>
    <t>work_location</t>
  </si>
  <si>
    <t>performance_score</t>
  </si>
  <si>
    <t>month</t>
  </si>
  <si>
    <t>E1000</t>
  </si>
  <si>
    <t>HR</t>
  </si>
  <si>
    <t>Manager</t>
  </si>
  <si>
    <t>PhD</t>
  </si>
  <si>
    <t>Medium</t>
  </si>
  <si>
    <t>Onsite</t>
  </si>
  <si>
    <t>2024-01</t>
  </si>
  <si>
    <t>IT</t>
  </si>
  <si>
    <t>Executive</t>
  </si>
  <si>
    <t>Low</t>
  </si>
  <si>
    <t>Hybrid</t>
  </si>
  <si>
    <t>Marketing</t>
  </si>
  <si>
    <t>2024-03</t>
  </si>
  <si>
    <t>Bachelors</t>
  </si>
  <si>
    <t>2024-04</t>
  </si>
  <si>
    <t>Developer</t>
  </si>
  <si>
    <t>2024-05</t>
  </si>
  <si>
    <t>Finance</t>
  </si>
  <si>
    <t>High</t>
  </si>
  <si>
    <t>Remote</t>
  </si>
  <si>
    <t>2024-06</t>
  </si>
  <si>
    <t>Analyst</t>
  </si>
  <si>
    <t>2024-07</t>
  </si>
  <si>
    <t>Masters</t>
  </si>
  <si>
    <t>2024-08</t>
  </si>
  <si>
    <t>Associate</t>
  </si>
  <si>
    <t>2024-09</t>
  </si>
  <si>
    <t>Sales</t>
  </si>
  <si>
    <t>2024-10</t>
  </si>
  <si>
    <t>2024-11</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</si>
  <si>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</si>
  <si>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</si>
  <si>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</si>
  <si>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</si>
  <si>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</si>
  <si>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</si>
  <si>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</si>
  <si>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</si>
  <si>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</si>
  <si>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</si>
  <si>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</si>
  <si>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</si>
  <si>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</si>
  <si>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</si>
  <si>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</si>
  <si>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</si>
  <si>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</si>
  <si>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</si>
  <si>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</si>
  <si>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</si>
  <si>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</si>
  <si>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</si>
  <si>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</si>
  <si>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</si>
  <si>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</si>
  <si>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</si>
  <si>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</si>
  <si>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</si>
  <si>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</si>
  <si>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</si>
  <si>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</si>
  <si>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</si>
  <si>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</si>
  <si>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</si>
  <si>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</si>
  <si>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</si>
  <si>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</si>
  <si>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</si>
  <si>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</si>
  <si>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</si>
  <si>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</si>
  <si>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</si>
  <si>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</si>
  <si>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</si>
  <si>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</si>
  <si>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</si>
  <si>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</si>
  <si>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</si>
  <si>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</si>
  <si>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</si>
  <si>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</si>
  <si>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</si>
  <si>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</si>
  <si>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</si>
  <si>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</si>
  <si>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</si>
  <si>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</si>
  <si>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</si>
  <si>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</si>
  <si>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</si>
  <si>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</si>
  <si>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</si>
  <si>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</si>
  <si>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</si>
  <si>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</si>
  <si>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</si>
  <si>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</si>
  <si>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</si>
  <si>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</si>
  <si>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</si>
  <si>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</si>
  <si>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</si>
  <si>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</si>
  <si>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</si>
  <si>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</si>
  <si>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</si>
  <si>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</si>
  <si>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</si>
  <si>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</si>
  <si>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</si>
  <si>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</si>
  <si>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</si>
  <si>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</si>
  <si>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</si>
  <si>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</si>
  <si>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</si>
  <si>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</si>
  <si>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</si>
  <si>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</si>
  <si>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</si>
  <si>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</si>
  <si>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</si>
  <si>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</si>
  <si>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</si>
  <si>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</si>
  <si>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</si>
  <si>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</si>
  <si>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</si>
  <si>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</si>
  <si>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performance_category</t>
  </si>
  <si>
    <t>productivity_score</t>
  </si>
  <si>
    <t>Sum of performance_score</t>
  </si>
  <si>
    <t>Average of performance_score</t>
  </si>
  <si>
    <t>Average of attendance_rate</t>
  </si>
  <si>
    <t>Sum of tasks_completed</t>
  </si>
  <si>
    <t>Average of manager_rating</t>
  </si>
  <si>
    <t>COMPANY'S OVERALL PERFORMANCE - KPI CARDS</t>
  </si>
  <si>
    <t>Grand Total</t>
  </si>
  <si>
    <t>PERFORMANCE BY DEPARTMENT</t>
  </si>
  <si>
    <t>PERFORMANCE BY JOB ROLE</t>
  </si>
  <si>
    <t>Jan</t>
  </si>
  <si>
    <t>Mar</t>
  </si>
  <si>
    <t>Apr</t>
  </si>
  <si>
    <t>May</t>
  </si>
  <si>
    <t>Jun</t>
  </si>
  <si>
    <t>Jul</t>
  </si>
  <si>
    <t>Aug</t>
  </si>
  <si>
    <t>Sep</t>
  </si>
  <si>
    <t>Oct</t>
  </si>
  <si>
    <t>Nov</t>
  </si>
  <si>
    <t>MONTHLY PERFORMANCE TREND</t>
  </si>
  <si>
    <t>High Performance</t>
  </si>
  <si>
    <t>Low Performance</t>
  </si>
  <si>
    <t>Medium Performance</t>
  </si>
  <si>
    <t>Count of employee_id</t>
  </si>
  <si>
    <t>PERFORMANCE CATEGORY DISTRIBUTION</t>
  </si>
  <si>
    <t>(blank)</t>
  </si>
  <si>
    <t>TRAINING Vs PERFORMANCE</t>
  </si>
  <si>
    <t>0-1</t>
  </si>
  <si>
    <t>1-2</t>
  </si>
  <si>
    <t>2-3</t>
  </si>
  <si>
    <t>3-4</t>
  </si>
  <si>
    <t>4-5</t>
  </si>
  <si>
    <t>5-6</t>
  </si>
  <si>
    <t>6-7</t>
  </si>
  <si>
    <t>7-8</t>
  </si>
  <si>
    <t>8-9</t>
  </si>
  <si>
    <t>9-10</t>
  </si>
  <si>
    <t>10-11</t>
  </si>
  <si>
    <t>11-12</t>
  </si>
  <si>
    <t>PROMOTION ANALYSIS</t>
  </si>
  <si>
    <t>WORK LOCATION COMPARISON</t>
  </si>
  <si>
    <t>PERFORMANCE DISTRIBUTION</t>
  </si>
  <si>
    <t>Months (month)</t>
  </si>
  <si>
    <t>Sum of monthly_hours_worked</t>
  </si>
  <si>
    <t>TOP 10 EMPLOYEE RANKING TABLE</t>
  </si>
  <si>
    <t>KPI DASHBOARD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</si>
</sst>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9" fontId="0" fillId="0" borderId="0" xfId="1" applyFont="1"/>
    <xf numFmtId="2" fontId="0" fillId="0" borderId="0" xfId="0" applyNumberFormat="1"/>
    <xf numFmtId="4" fontId="0" fillId="0" borderId="0" xfId="0" applyNumberFormat="1"/>
    <xf numFmtId="3" fontId="0" fillId="0" borderId="0" xfId="0" applyNumberFormat="1"/>
    <xf numFmtId="0" fontId="0" fillId="0" borderId="0" xfId="0" pivotButton="1"/>
    <xf numFmtId="10" fontId="0" fillId="0" borderId="0" xfId="0" applyNumberFormat="1"/>
    <xf numFmtId="0" fontId="13" fillId="17" borderId="0" xfId="27" applyFont="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6">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14" formatCode="0.00%"/>
    </dxf>
    <dxf>
      <numFmt numFmtId="3" formatCode="#,##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 Report.xlsx]Executive View!PivotTable10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Performance Distribution by COUNT of Employee</a:t>
            </a:r>
            <a:r>
              <a:rPr lang="en-US" sz="900" baseline="0"/>
              <a:t> ID</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tint val="65000"/>
            </a:schemeClr>
          </a:solidFill>
          <a:ln>
            <a:noFill/>
          </a:ln>
          <a:effectLst/>
          <a:scene3d>
            <a:camera prst="orthographicFront"/>
            <a:lightRig rig="threePt" dir="t"/>
          </a:scene3d>
          <a:sp3d/>
        </c:spPr>
      </c:pivotFmt>
      <c:pivotFmt>
        <c:idx val="4"/>
        <c:spPr>
          <a:solidFill>
            <a:schemeClr val="accent6"/>
          </a:solidFill>
          <a:ln>
            <a:noFill/>
          </a:ln>
          <a:effectLst/>
          <a:scene3d>
            <a:camera prst="orthographicFront"/>
            <a:lightRig rig="threePt" dir="t"/>
          </a:scene3d>
          <a:sp3d/>
        </c:spPr>
      </c:pivotFmt>
      <c:pivotFmt>
        <c:idx val="5"/>
        <c:spPr>
          <a:solidFill>
            <a:schemeClr val="accent6">
              <a:shade val="65000"/>
            </a:schemeClr>
          </a:solidFill>
          <a:ln>
            <a:noFill/>
          </a:ln>
          <a:effectLst/>
          <a:scene3d>
            <a:camera prst="orthographicFront"/>
            <a:lightRig rig="threePt" dir="t"/>
          </a:scene3d>
          <a:sp3d/>
        </c:spPr>
      </c:pivotFmt>
    </c:pivotFmts>
    <c:plotArea>
      <c:layout/>
      <c:pieChart>
        <c:varyColors val="1"/>
        <c:ser>
          <c:idx val="0"/>
          <c:order val="0"/>
          <c:tx>
            <c:strRef>
              <c:f>'Executive View'!$B$7</c:f>
              <c:strCache>
                <c:ptCount val="1"/>
                <c:pt idx="0">
                  <c:v>Total</c:v>
                </c:pt>
              </c:strCache>
            </c:strRef>
          </c:tx>
          <c:spPr>
            <a:scene3d>
              <a:camera prst="orthographicFront"/>
              <a:lightRig rig="threePt" dir="t"/>
            </a:scene3d>
            <a:sp3d/>
          </c:spPr>
          <c:dPt>
            <c:idx val="0"/>
            <c:bubble3D val="0"/>
            <c:spPr>
              <a:solidFill>
                <a:schemeClr val="accent6">
                  <a:tint val="65000"/>
                </a:schemeClr>
              </a:solidFill>
              <a:ln>
                <a:noFill/>
              </a:ln>
              <a:effectLst/>
              <a:scene3d>
                <a:camera prst="orthographicFront"/>
                <a:lightRig rig="threePt" dir="t"/>
              </a:scene3d>
              <a:sp3d/>
            </c:spPr>
            <c:extLst>
              <c:ext xmlns:c16="http://schemas.microsoft.com/office/drawing/2014/chart" uri="{C3380CC4-5D6E-409C-BE32-E72D297353CC}">
                <c16:uniqueId val="{00000001-F76F-497B-AA1E-9063F52C1CEA}"/>
              </c:ext>
            </c:extLst>
          </c:dPt>
          <c:dPt>
            <c:idx val="1"/>
            <c:bubble3D val="0"/>
            <c:spPr>
              <a:solidFill>
                <a:schemeClr val="accent6"/>
              </a:solidFill>
              <a:ln>
                <a:noFill/>
              </a:ln>
              <a:effectLst/>
              <a:scene3d>
                <a:camera prst="orthographicFront"/>
                <a:lightRig rig="threePt" dir="t"/>
              </a:scene3d>
              <a:sp3d/>
            </c:spPr>
            <c:extLst>
              <c:ext xmlns:c16="http://schemas.microsoft.com/office/drawing/2014/chart" uri="{C3380CC4-5D6E-409C-BE32-E72D297353CC}">
                <c16:uniqueId val="{00000003-F76F-497B-AA1E-9063F52C1CEA}"/>
              </c:ext>
            </c:extLst>
          </c:dPt>
          <c:dPt>
            <c:idx val="2"/>
            <c:bubble3D val="0"/>
            <c:spPr>
              <a:solidFill>
                <a:schemeClr val="accent6">
                  <a:shade val="65000"/>
                </a:schemeClr>
              </a:solidFill>
              <a:ln>
                <a:noFill/>
              </a:ln>
              <a:effectLst/>
              <a:scene3d>
                <a:camera prst="orthographicFront"/>
                <a:lightRig rig="threePt" dir="t"/>
              </a:scene3d>
              <a:sp3d/>
            </c:spPr>
            <c:extLst>
              <c:ext xmlns:c16="http://schemas.microsoft.com/office/drawing/2014/chart" uri="{C3380CC4-5D6E-409C-BE32-E72D297353CC}">
                <c16:uniqueId val="{00000005-F76F-497B-AA1E-9063F52C1C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'Executive View'!$A$8:$A$11</c:f>
              <c:strCache>
                <c:ptCount val="3"/>
                <c:pt idx="0">
                  <c:v>High Performance</c:v>
                </c:pt>
                <c:pt idx="1">
                  <c:v>Low Performance</c:v>
                </c:pt>
                <c:pt idx="2">
                  <c:v>Medium Performance</c:v>
                </c:pt>
              </c:strCache>
            </c:strRef>
          </c:cat>
          <c:val>
            <c:numRef>
              <c:f>'Executive View'!$B$8:$B$11</c:f>
              <c:numCache>
                <c:formatCode>0.00%</c:formatCode>
                <c:ptCount val="3"/>
                <c:pt idx="0">
                  <c:v>0.39</c:v>
                </c:pt>
                <c:pt idx="1">
                  <c:v>0.23749999999999999</c:v>
                </c:pt>
                <c:pt idx="2">
                  <c:v>0.3725</c:v>
                </c:pt>
              </c:numCache>
            </c:numRef>
          </c:val>
          <c:extLst>
            <c:ext xmlns:c16="http://schemas.microsoft.com/office/drawing/2014/chart" uri="{C3380CC4-5D6E-409C-BE32-E72D297353CC}">
              <c16:uniqueId val="{00000000-4B76-4214-8782-49B1400859A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 Report.xlsx]Operational View!PivotTable3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Performance by Job Role SUM of Task Completed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rgbClr val="92D050"/>
              </a:gs>
              <a:gs pos="100000">
                <a:schemeClr val="accent3">
                  <a:lumMod val="75000"/>
                </a:schemeClr>
              </a:gs>
            </a:gsLst>
            <a:lin ang="5400000" scaled="1"/>
          </a:gradFill>
          <a:ln w="19050">
            <a:gradFill>
              <a:gsLst>
                <a:gs pos="0">
                  <a:schemeClr val="accent1">
                    <a:lumMod val="5000"/>
                    <a:lumOff val="95000"/>
                    <a:alpha val="75000"/>
                  </a:schemeClr>
                </a:gs>
                <a:gs pos="100000">
                  <a:schemeClr val="accent3">
                    <a:lumMod val="20000"/>
                    <a:lumOff val="8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pivotFmt>
    </c:pivotFmts>
    <c:plotArea>
      <c:layout/>
      <c:barChart>
        <c:barDir val="col"/>
        <c:grouping val="clustered"/>
        <c:varyColors val="0"/>
        <c:ser>
          <c:idx val="0"/>
          <c:order val="0"/>
          <c:tx>
            <c:strRef>
              <c:f>'Operational View'!$B$3</c:f>
              <c:strCache>
                <c:ptCount val="1"/>
                <c:pt idx="0">
                  <c:v>Total</c:v>
                </c:pt>
              </c:strCache>
            </c:strRef>
          </c:tx>
          <c:spPr>
            <a:gradFill>
              <a:gsLst>
                <a:gs pos="0">
                  <a:srgbClr val="92D050"/>
                </a:gs>
                <a:gs pos="100000">
                  <a:schemeClr val="accent3">
                    <a:lumMod val="75000"/>
                  </a:schemeClr>
                </a:gs>
              </a:gsLst>
              <a:lin ang="5400000" scaled="1"/>
            </a:gradFill>
            <a:ln w="19050">
              <a:gradFill>
                <a:gsLst>
                  <a:gs pos="0">
                    <a:schemeClr val="accent1">
                      <a:lumMod val="5000"/>
                      <a:lumOff val="95000"/>
                      <a:alpha val="75000"/>
                    </a:schemeClr>
                  </a:gs>
                  <a:gs pos="100000">
                    <a:schemeClr val="accent3">
                      <a:lumMod val="20000"/>
                      <a:lumOff val="80000"/>
                    </a:schemeClr>
                  </a:gs>
                </a:gsLst>
                <a:lin ang="5400000" scaled="1"/>
              </a:gradFill>
            </a:ln>
            <a:effectLst/>
          </c:spPr>
          <c:invertIfNegative val="0"/>
          <c:cat>
            <c:strRef>
              <c:f>'Operational View'!$A$4:$A$9</c:f>
              <c:strCache>
                <c:ptCount val="5"/>
                <c:pt idx="0">
                  <c:v>Analyst</c:v>
                </c:pt>
                <c:pt idx="1">
                  <c:v>Associate</c:v>
                </c:pt>
                <c:pt idx="2">
                  <c:v>Developer</c:v>
                </c:pt>
                <c:pt idx="3">
                  <c:v>Executive</c:v>
                </c:pt>
                <c:pt idx="4">
                  <c:v>Manager</c:v>
                </c:pt>
              </c:strCache>
            </c:strRef>
          </c:cat>
          <c:val>
            <c:numRef>
              <c:f>'Operational View'!$B$4:$B$9</c:f>
              <c:numCache>
                <c:formatCode>#,##0</c:formatCode>
                <c:ptCount val="5"/>
                <c:pt idx="0">
                  <c:v>1409</c:v>
                </c:pt>
                <c:pt idx="1">
                  <c:v>1519</c:v>
                </c:pt>
                <c:pt idx="2">
                  <c:v>1573</c:v>
                </c:pt>
                <c:pt idx="3">
                  <c:v>1198</c:v>
                </c:pt>
                <c:pt idx="4">
                  <c:v>1552</c:v>
                </c:pt>
              </c:numCache>
            </c:numRef>
          </c:val>
          <c:extLst>
            <c:ext xmlns:c16="http://schemas.microsoft.com/office/drawing/2014/chart" uri="{C3380CC4-5D6E-409C-BE32-E72D297353CC}">
              <c16:uniqueId val="{00000000-0D10-4105-8A3D-377D045ACD45}"/>
            </c:ext>
          </c:extLst>
        </c:ser>
        <c:dLbls>
          <c:showLegendKey val="0"/>
          <c:showVal val="0"/>
          <c:showCatName val="0"/>
          <c:showSerName val="0"/>
          <c:showPercent val="0"/>
          <c:showBubbleSize val="0"/>
        </c:dLbls>
        <c:gapWidth val="150"/>
        <c:axId val="288512176"/>
        <c:axId val="288507376"/>
      </c:barChart>
      <c:catAx>
        <c:axId val="28851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507376"/>
        <c:crosses val="autoZero"/>
        <c:auto val="1"/>
        <c:lblAlgn val="ctr"/>
        <c:lblOffset val="100"/>
        <c:noMultiLvlLbl val="0"/>
      </c:catAx>
      <c:valAx>
        <c:axId val="2885073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51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 Report.xlsx]Operational View!PivotTable2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Performance by Department  by SUM of Monthly Hours</a:t>
            </a:r>
            <a:r>
              <a:rPr lang="en-US" sz="900" baseline="0"/>
              <a:t> Worked</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00B050"/>
              </a:gs>
              <a:gs pos="0">
                <a:schemeClr val="accent3">
                  <a:lumMod val="40000"/>
                  <a:lumOff val="60000"/>
                </a:schemeClr>
              </a:gs>
            </a:gsLst>
            <a:path path="circle">
              <a:fillToRect l="100000" t="100000"/>
            </a:path>
            <a:tileRect r="-100000" b="-100000"/>
          </a:gradFill>
          <a:ln>
            <a:solidFill>
              <a:schemeClr val="accent6">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'Operational View'!$G$3</c:f>
              <c:strCache>
                <c:ptCount val="1"/>
                <c:pt idx="0">
                  <c:v>Total</c:v>
                </c:pt>
              </c:strCache>
            </c:strRef>
          </c:tx>
          <c:spPr>
            <a:gradFill flip="none" rotWithShape="1">
              <a:gsLst>
                <a:gs pos="100000">
                  <a:srgbClr val="00B050"/>
                </a:gs>
                <a:gs pos="0">
                  <a:schemeClr val="accent3">
                    <a:lumMod val="40000"/>
                    <a:lumOff val="60000"/>
                  </a:schemeClr>
                </a:gs>
              </a:gsLst>
              <a:path path="circle">
                <a:fillToRect l="100000" t="100000"/>
              </a:path>
              <a:tileRect r="-100000" b="-100000"/>
            </a:gradFill>
            <a:ln>
              <a:solidFill>
                <a:schemeClr val="accent6">
                  <a:alpha val="50000"/>
                </a:schemeClr>
              </a:solidFill>
            </a:ln>
            <a:effectLst/>
          </c:spPr>
          <c:invertIfNegative val="1"/>
          <c:cat>
            <c:strRef>
              <c:f>'Operational View'!$F$4:$F$9</c:f>
              <c:strCache>
                <c:ptCount val="5"/>
                <c:pt idx="0">
                  <c:v>Finance</c:v>
                </c:pt>
                <c:pt idx="1">
                  <c:v>HR</c:v>
                </c:pt>
                <c:pt idx="2">
                  <c:v>IT</c:v>
                </c:pt>
                <c:pt idx="3">
                  <c:v>Marketing</c:v>
                </c:pt>
                <c:pt idx="4">
                  <c:v>Sales</c:v>
                </c:pt>
              </c:strCache>
            </c:strRef>
          </c:cat>
          <c:val>
            <c:numRef>
              <c:f>'Operational View'!$G$4:$G$9</c:f>
              <c:numCache>
                <c:formatCode>#,##0.00</c:formatCode>
                <c:ptCount val="5"/>
                <c:pt idx="0">
                  <c:v>38376.80000000001</c:v>
                </c:pt>
                <c:pt idx="1">
                  <c:v>38721.899999999972</c:v>
                </c:pt>
                <c:pt idx="2">
                  <c:v>40327.400000000031</c:v>
                </c:pt>
                <c:pt idx="3">
                  <c:v>38404.699999999975</c:v>
                </c:pt>
                <c:pt idx="4">
                  <c:v>36354.700000000004</c:v>
                </c:pt>
              </c:numCache>
            </c:numRef>
          </c:val>
          <c:extLst>
            <c:ext xmlns:c16="http://schemas.microsoft.com/office/drawing/2014/chart" uri="{C3380CC4-5D6E-409C-BE32-E72D297353CC}">
              <c16:uniqueId val="{00000000-4D6E-42B2-8FBA-B850587CAE09}"/>
            </c:ext>
          </c:extLst>
        </c:ser>
        <c:dLbls>
          <c:showLegendKey val="0"/>
          <c:showVal val="0"/>
          <c:showCatName val="0"/>
          <c:showSerName val="0"/>
          <c:showPercent val="0"/>
          <c:showBubbleSize val="0"/>
        </c:dLbls>
        <c:gapWidth val="182"/>
        <c:axId val="119193440"/>
        <c:axId val="244106800"/>
      </c:barChart>
      <c:catAx>
        <c:axId val="119193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106800"/>
        <c:crosses val="autoZero"/>
        <c:auto val="1"/>
        <c:lblAlgn val="ctr"/>
        <c:lblOffset val="100"/>
        <c:noMultiLvlLbl val="0"/>
      </c:catAx>
      <c:valAx>
        <c:axId val="244106800"/>
        <c:scaling>
          <c:orientation val="minMax"/>
        </c:scaling>
        <c:delete val="0"/>
        <c:axPos val="b"/>
        <c:numFmt formatCode="#,\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9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 Report.xlsx]Monitoring View!PivotTable4</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900"/>
              <a:t>Monthly Performance Trend  by SUM of</a:t>
            </a:r>
            <a:r>
              <a:rPr lang="en-US" sz="900" baseline="0"/>
              <a:t> </a:t>
            </a:r>
            <a:r>
              <a:rPr lang="en-US" sz="900"/>
              <a:t>Performance Score</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sq">
            <a:gradFill>
              <a:gsLst>
                <a:gs pos="58000">
                  <a:schemeClr val="accent3">
                    <a:lumMod val="40000"/>
                    <a:lumOff val="60000"/>
                  </a:schemeClr>
                </a:gs>
                <a:gs pos="0">
                  <a:schemeClr val="accent6">
                    <a:lumMod val="20000"/>
                    <a:lumOff val="80000"/>
                  </a:schemeClr>
                </a:gs>
                <a:gs pos="100000">
                  <a:schemeClr val="accent3">
                    <a:lumMod val="60000"/>
                    <a:lumOff val="40000"/>
                  </a:schemeClr>
                </a:gs>
              </a:gsLst>
              <a:lin ang="5400000" scaled="1"/>
            </a:gradFill>
            <a:prstDash val="solid"/>
            <a:round/>
          </a:ln>
          <a:effectLst/>
        </c:spPr>
        <c:marker>
          <c:symbol val="circle"/>
          <c:size val="5"/>
          <c:spPr>
            <a:solidFill>
              <a:schemeClr val="accent6"/>
            </a:solidFill>
            <a:ln w="9525">
              <a:gradFill>
                <a:gsLst>
                  <a:gs pos="0">
                    <a:schemeClr val="accent3">
                      <a:lumMod val="40000"/>
                      <a:lumOff val="60000"/>
                    </a:schemeClr>
                  </a:gs>
                  <a:gs pos="100000">
                    <a:schemeClr val="accent3">
                      <a:lumMod val="60000"/>
                      <a:lumOff val="4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s>
    <c:plotArea>
      <c:layout/>
      <c:lineChart>
        <c:grouping val="standard"/>
        <c:varyColors val="0"/>
        <c:ser>
          <c:idx val="0"/>
          <c:order val="0"/>
          <c:tx>
            <c:strRef>
              <c:f>'Monitoring View'!$B$3</c:f>
              <c:strCache>
                <c:ptCount val="1"/>
                <c:pt idx="0">
                  <c:v>Total</c:v>
                </c:pt>
              </c:strCache>
            </c:strRef>
          </c:tx>
          <c:spPr>
            <a:ln w="19050" cap="sq">
              <a:gradFill>
                <a:gsLst>
                  <a:gs pos="58000">
                    <a:schemeClr val="accent3">
                      <a:lumMod val="40000"/>
                      <a:lumOff val="60000"/>
                    </a:schemeClr>
                  </a:gs>
                  <a:gs pos="0">
                    <a:schemeClr val="accent6">
                      <a:lumMod val="20000"/>
                      <a:lumOff val="80000"/>
                    </a:schemeClr>
                  </a:gs>
                  <a:gs pos="100000">
                    <a:schemeClr val="accent3">
                      <a:lumMod val="60000"/>
                      <a:lumOff val="40000"/>
                    </a:schemeClr>
                  </a:gs>
                </a:gsLst>
                <a:lin ang="5400000" scaled="1"/>
              </a:gradFill>
              <a:prstDash val="solid"/>
              <a:round/>
            </a:ln>
            <a:effectLst/>
          </c:spPr>
          <c:marker>
            <c:symbol val="circle"/>
            <c:size val="5"/>
            <c:spPr>
              <a:solidFill>
                <a:schemeClr val="accent6"/>
              </a:solidFill>
              <a:ln w="9525">
                <a:gradFill>
                  <a:gsLst>
                    <a:gs pos="0">
                      <a:schemeClr val="accent3">
                        <a:lumMod val="40000"/>
                        <a:lumOff val="60000"/>
                      </a:schemeClr>
                    </a:gs>
                    <a:gs pos="100000">
                      <a:schemeClr val="accent3">
                        <a:lumMod val="60000"/>
                        <a:lumOff val="40000"/>
                      </a:schemeClr>
                    </a:gs>
                  </a:gsLst>
                  <a:lin ang="5400000" scaled="1"/>
                </a:gradFill>
              </a:ln>
              <a:effectLst/>
            </c:spPr>
          </c:marker>
          <c:cat>
            <c:strRef>
              <c:f>'Monitoring View'!$A$4:$A$14</c:f>
              <c:strCache>
                <c:ptCount val="10"/>
                <c:pt idx="0">
                  <c:v>Jan</c:v>
                </c:pt>
                <c:pt idx="1">
                  <c:v>Mar</c:v>
                </c:pt>
                <c:pt idx="2">
                  <c:v>Apr</c:v>
                </c:pt>
                <c:pt idx="3">
                  <c:v>May</c:v>
                </c:pt>
                <c:pt idx="4">
                  <c:v>Jun</c:v>
                </c:pt>
                <c:pt idx="5">
                  <c:v>Jul</c:v>
                </c:pt>
                <c:pt idx="6">
                  <c:v>Aug</c:v>
                </c:pt>
                <c:pt idx="7">
                  <c:v>Sep</c:v>
                </c:pt>
                <c:pt idx="8">
                  <c:v>Oct</c:v>
                </c:pt>
                <c:pt idx="9">
                  <c:v>Nov</c:v>
                </c:pt>
              </c:strCache>
            </c:strRef>
          </c:cat>
          <c:val>
            <c:numRef>
              <c:f>'Monitoring View'!$B$4:$B$14</c:f>
              <c:numCache>
                <c:formatCode>#,##0.00</c:formatCode>
                <c:ptCount val="10"/>
                <c:pt idx="0">
                  <c:v>2749.4700000000003</c:v>
                </c:pt>
                <c:pt idx="1">
                  <c:v>2741.6600000000026</c:v>
                </c:pt>
                <c:pt idx="2">
                  <c:v>1334.6800000000003</c:v>
                </c:pt>
                <c:pt idx="3">
                  <c:v>1293.8199999999995</c:v>
                </c:pt>
                <c:pt idx="4">
                  <c:v>1416.2499999999995</c:v>
                </c:pt>
                <c:pt idx="5">
                  <c:v>1357.98</c:v>
                </c:pt>
                <c:pt idx="6">
                  <c:v>1419.2399999999998</c:v>
                </c:pt>
                <c:pt idx="7">
                  <c:v>1330.4600000000005</c:v>
                </c:pt>
                <c:pt idx="8">
                  <c:v>1410.1900000000007</c:v>
                </c:pt>
                <c:pt idx="9">
                  <c:v>1312.17</c:v>
                </c:pt>
              </c:numCache>
            </c:numRef>
          </c:val>
          <c:smooth val="0"/>
          <c:extLst>
            <c:ext xmlns:c16="http://schemas.microsoft.com/office/drawing/2014/chart" uri="{C3380CC4-5D6E-409C-BE32-E72D297353CC}">
              <c16:uniqueId val="{00000000-F2F5-4CE5-B7CB-BE9BA8A3333C}"/>
            </c:ext>
          </c:extLst>
        </c:ser>
        <c:dLbls>
          <c:showLegendKey val="0"/>
          <c:showVal val="0"/>
          <c:showCatName val="0"/>
          <c:showSerName val="0"/>
          <c:showPercent val="0"/>
          <c:showBubbleSize val="0"/>
        </c:dLbls>
        <c:marker val="1"/>
        <c:smooth val="0"/>
        <c:axId val="242801712"/>
        <c:axId val="242802672"/>
      </c:lineChart>
      <c:catAx>
        <c:axId val="2428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02672"/>
        <c:crosses val="autoZero"/>
        <c:auto val="1"/>
        <c:lblAlgn val="ctr"/>
        <c:lblOffset val="100"/>
        <c:noMultiLvlLbl val="0"/>
      </c:catAx>
      <c:valAx>
        <c:axId val="24280267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80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 Report.xlsx]Operational View!PivotTable9</c:name>
    <c:fmtId val="8"/>
  </c:pivotSource>
  <c:chart>
    <c:title>
      <c:tx>
        <c:rich>
          <a:bodyPr rot="0" spcFirstLastPara="1" vertOverflow="ellipsis" vert="horz" wrap="square" anchor="b" anchorCtr="0"/>
          <a:lstStyle/>
          <a:p>
            <a:pPr>
              <a:defRPr sz="900" b="0" i="0" u="none" strike="noStrike" kern="1200" spc="0" baseline="0">
                <a:solidFill>
                  <a:schemeClr val="tx1">
                    <a:lumMod val="65000"/>
                    <a:lumOff val="35000"/>
                  </a:schemeClr>
                </a:solidFill>
                <a:latin typeface="+mn-lt"/>
                <a:ea typeface="+mn-ea"/>
                <a:cs typeface="+mn-cs"/>
              </a:defRPr>
            </a:pPr>
            <a:r>
              <a:rPr lang="en-US" sz="900"/>
              <a:t>Work Location Comparison</a:t>
            </a:r>
            <a:r>
              <a:rPr lang="en-US" sz="900" baseline="0"/>
              <a:t> </a:t>
            </a:r>
            <a:r>
              <a:rPr lang="en-US" sz="900"/>
              <a:t>by</a:t>
            </a:r>
            <a:r>
              <a:rPr lang="en-US" sz="900" baseline="0"/>
              <a:t> AVG Performance Score</a:t>
            </a:r>
            <a:endParaRPr lang="en-US" sz="900"/>
          </a:p>
        </c:rich>
      </c:tx>
      <c:overlay val="0"/>
      <c:spPr>
        <a:noFill/>
        <a:ln>
          <a:noFill/>
        </a:ln>
        <a:effectLst/>
      </c:spPr>
      <c:txPr>
        <a:bodyPr rot="0" spcFirstLastPara="1" vertOverflow="ellipsis" vert="horz" wrap="square" anchor="b" anchorCtr="0"/>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00B050"/>
          </a:solidFill>
          <a:ln w="19050">
            <a:solidFill>
              <a:schemeClr val="lt1"/>
            </a:solidFill>
          </a:ln>
          <a:effectLst/>
        </c:spPr>
      </c:pivotFmt>
      <c:pivotFmt>
        <c:idx val="2"/>
        <c:spPr>
          <a:solidFill>
            <a:schemeClr val="accent3">
              <a:lumMod val="20000"/>
              <a:lumOff val="8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B615278-D1CF-48EE-A58F-05E983B11FC5}" type="VALUE">
                  <a:rPr lang="en-US">
                    <a:solidFill>
                      <a:schemeClr val="tx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19050">
            <a:solidFill>
              <a:schemeClr val="lt1"/>
            </a:solidFill>
          </a:ln>
          <a:effectLst/>
        </c:spPr>
      </c:pivotFmt>
      <c:pivotFmt>
        <c:idx val="5"/>
        <c:spPr>
          <a:solidFill>
            <a:schemeClr val="accent3">
              <a:lumMod val="20000"/>
              <a:lumOff val="8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B615278-D1CF-48EE-A58F-05E983B11FC5}" type="VALUE">
                  <a:rPr lang="en-US">
                    <a:solidFill>
                      <a:schemeClr val="tx1"/>
                    </a:solidFill>
                  </a:rPr>
                  <a:pPr>
                    <a:defRPr sz="900" b="0" i="0" u="none" strike="noStrike" kern="1200" baseline="0">
                      <a:solidFill>
                        <a:schemeClr val="bg1"/>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pivotFmt>
      <c:pivotFmt>
        <c:idx val="9"/>
        <c:spPr>
          <a:solidFill>
            <a:schemeClr val="accent3">
              <a:lumMod val="20000"/>
              <a:lumOff val="80000"/>
            </a:schemeClr>
          </a:solidFill>
          <a:ln w="19050">
            <a:solidFill>
              <a:schemeClr val="lt1"/>
            </a:solidFill>
          </a:ln>
          <a:effectLst/>
        </c:spPr>
      </c:pivotFmt>
      <c:pivotFmt>
        <c:idx val="10"/>
        <c:spPr>
          <a:solidFill>
            <a:srgbClr val="92D050"/>
          </a:solidFill>
          <a:ln w="19050">
            <a:solidFill>
              <a:schemeClr val="lt1"/>
            </a:solidFill>
          </a:ln>
          <a:effectLst/>
        </c:spPr>
      </c:pivotFmt>
    </c:pivotFmts>
    <c:plotArea>
      <c:layout/>
      <c:barChart>
        <c:barDir val="col"/>
        <c:grouping val="clustered"/>
        <c:varyColors val="0"/>
        <c:ser>
          <c:idx val="0"/>
          <c:order val="0"/>
          <c:tx>
            <c:strRef>
              <c:f>'Operational View'!$B$12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1-1EF9-4FF8-BC5E-4E0688916C75}"/>
              </c:ext>
            </c:extLst>
          </c:dPt>
          <c:dPt>
            <c:idx val="1"/>
            <c:invertIfNegative val="0"/>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3-1EF9-4FF8-BC5E-4E0688916C75}"/>
              </c:ext>
            </c:extLst>
          </c:dPt>
          <c:dPt>
            <c:idx val="2"/>
            <c:invertIfNegative val="0"/>
            <c:bubble3D val="0"/>
            <c:spPr>
              <a:solidFill>
                <a:srgbClr val="92D050"/>
              </a:solidFill>
              <a:ln w="19050">
                <a:solidFill>
                  <a:schemeClr val="lt1"/>
                </a:solidFill>
              </a:ln>
              <a:effectLst/>
            </c:spPr>
            <c:extLst>
              <c:ext xmlns:c16="http://schemas.microsoft.com/office/drawing/2014/chart" uri="{C3380CC4-5D6E-409C-BE32-E72D297353CC}">
                <c16:uniqueId val="{00000005-1EF9-4FF8-BC5E-4E0688916C75}"/>
              </c:ext>
            </c:extLst>
          </c:dPt>
          <c:cat>
            <c:strRef>
              <c:f>'Operational View'!$A$13:$A$16</c:f>
              <c:strCache>
                <c:ptCount val="3"/>
                <c:pt idx="0">
                  <c:v>Hybrid</c:v>
                </c:pt>
                <c:pt idx="1">
                  <c:v>Onsite</c:v>
                </c:pt>
                <c:pt idx="2">
                  <c:v>Remote</c:v>
                </c:pt>
              </c:strCache>
            </c:strRef>
          </c:cat>
          <c:val>
            <c:numRef>
              <c:f>'Operational View'!$B$13:$B$16</c:f>
              <c:numCache>
                <c:formatCode>0.00</c:formatCode>
                <c:ptCount val="3"/>
                <c:pt idx="0">
                  <c:v>13.822062350119905</c:v>
                </c:pt>
                <c:pt idx="1">
                  <c:v>13.628880778588792</c:v>
                </c:pt>
                <c:pt idx="2">
                  <c:v>13.442607526881712</c:v>
                </c:pt>
              </c:numCache>
            </c:numRef>
          </c:val>
          <c:extLst>
            <c:ext xmlns:c16="http://schemas.microsoft.com/office/drawing/2014/chart" uri="{C3380CC4-5D6E-409C-BE32-E72D297353CC}">
              <c16:uniqueId val="{00000006-1EF9-4FF8-BC5E-4E0688916C75}"/>
            </c:ext>
          </c:extLst>
        </c:ser>
        <c:dLbls>
          <c:showLegendKey val="0"/>
          <c:showVal val="0"/>
          <c:showCatName val="0"/>
          <c:showSerName val="0"/>
          <c:showPercent val="0"/>
          <c:showBubbleSize val="0"/>
        </c:dLbls>
        <c:gapWidth val="100"/>
        <c:axId val="421215312"/>
        <c:axId val="421216752"/>
      </c:barChart>
      <c:catAx>
        <c:axId val="421215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6752"/>
        <c:crosses val="autoZero"/>
        <c:auto val="1"/>
        <c:lblAlgn val="ctr"/>
        <c:lblOffset val="100"/>
        <c:noMultiLvlLbl val="0"/>
      </c:catAx>
      <c:valAx>
        <c:axId val="421216752"/>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1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 Report.xlsx]Monitoring View!PivotTable5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solidFill>
                  <a:schemeClr val="tx1"/>
                </a:solidFill>
              </a:rPr>
              <a:t>Top 10 Employee Ranking by SUM of Task Completed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'Monitoring View'!$G$3</c:f>
              <c:strCache>
                <c:ptCount val="1"/>
                <c:pt idx="0">
                  <c:v>Total</c:v>
                </c:pt>
              </c:strCache>
            </c:strRef>
          </c:tx>
          <c:spPr>
            <a:solidFill>
              <a:schemeClr val="accent6"/>
            </a:solidFill>
            <a:ln>
              <a:noFill/>
            </a:ln>
            <a:effectLst/>
          </c:spPr>
          <c:invertIfNegative val="0"/>
          <c:cat>
            <c:strRef>
              <c:f>'Monitoring View'!$F$4:$F$15</c:f>
              <c:strCache>
                <c:ptCount val="11"/>
                <c:pt idx="0">
                  <c:v>E1094</c:v>
                </c:pt>
                <c:pt idx="1">
                  <c:v>E1093</c:v>
                </c:pt>
                <c:pt idx="2">
                  <c:v>E1085</c:v>
                </c:pt>
                <c:pt idx="3">
                  <c:v>E1077</c:v>
                </c:pt>
                <c:pt idx="4">
                  <c:v>E1074</c:v>
                </c:pt>
                <c:pt idx="5">
                  <c:v>E1061</c:v>
                </c:pt>
                <c:pt idx="6">
                  <c:v>E1050</c:v>
                </c:pt>
                <c:pt idx="7">
                  <c:v>E1046</c:v>
                </c:pt>
                <c:pt idx="8">
                  <c:v>E1018</c:v>
                </c:pt>
                <c:pt idx="9">
                  <c:v>E1013</c:v>
                </c:pt>
                <c:pt idx="10">
                  <c:v>E1010</c:v>
                </c:pt>
              </c:strCache>
            </c:strRef>
          </c:cat>
          <c:val>
            <c:numRef>
              <c:f>'Monitoring View'!$G$4:$G$15</c:f>
              <c:numCache>
                <c:formatCode>General</c:formatCode>
                <c:ptCount val="11"/>
                <c:pt idx="0">
                  <c:v>84</c:v>
                </c:pt>
                <c:pt idx="1">
                  <c:v>89</c:v>
                </c:pt>
                <c:pt idx="2">
                  <c:v>83</c:v>
                </c:pt>
                <c:pt idx="3">
                  <c:v>86</c:v>
                </c:pt>
                <c:pt idx="4">
                  <c:v>87</c:v>
                </c:pt>
                <c:pt idx="5">
                  <c:v>95</c:v>
                </c:pt>
                <c:pt idx="6">
                  <c:v>88</c:v>
                </c:pt>
                <c:pt idx="7">
                  <c:v>89</c:v>
                </c:pt>
                <c:pt idx="8">
                  <c:v>90</c:v>
                </c:pt>
                <c:pt idx="9">
                  <c:v>88</c:v>
                </c:pt>
                <c:pt idx="10">
                  <c:v>83</c:v>
                </c:pt>
              </c:numCache>
            </c:numRef>
          </c:val>
          <c:extLst>
            <c:ext xmlns:c16="http://schemas.microsoft.com/office/drawing/2014/chart" uri="{C3380CC4-5D6E-409C-BE32-E72D297353CC}">
              <c16:uniqueId val="{00000000-5E0B-48B2-9AEA-E6DC85D33237}"/>
            </c:ext>
          </c:extLst>
        </c:ser>
        <c:dLbls>
          <c:showLegendKey val="0"/>
          <c:showVal val="0"/>
          <c:showCatName val="0"/>
          <c:showSerName val="0"/>
          <c:showPercent val="0"/>
          <c:showBubbleSize val="0"/>
        </c:dLbls>
        <c:gapWidth val="219"/>
        <c:axId val="555444080"/>
        <c:axId val="555444560"/>
      </c:barChart>
      <c:catAx>
        <c:axId val="55544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55444560"/>
        <c:crosses val="autoZero"/>
        <c:auto val="1"/>
        <c:lblAlgn val="ctr"/>
        <c:lblOffset val="100"/>
        <c:noMultiLvlLbl val="0"/>
      </c:catAx>
      <c:valAx>
        <c:axId val="55544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4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 Report.xlsx]Performance Cat Distr!PivotTable6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Performance</a:t>
            </a:r>
            <a:r>
              <a:rPr lang="en-US" sz="900" baseline="0"/>
              <a:t> Category Distribution by COUNT of Employee ID</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lumMod val="50000"/>
                </a:schemeClr>
              </a:gs>
              <a:gs pos="0">
                <a:srgbClr val="92D050"/>
              </a:gs>
            </a:gsLst>
            <a:path path="circle">
              <a:fillToRect l="100000" t="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Cat Distr'!$B$3</c:f>
              <c:strCache>
                <c:ptCount val="1"/>
                <c:pt idx="0">
                  <c:v>Total</c:v>
                </c:pt>
              </c:strCache>
            </c:strRef>
          </c:tx>
          <c:spPr>
            <a:gradFill>
              <a:gsLst>
                <a:gs pos="100000">
                  <a:schemeClr val="accent3">
                    <a:lumMod val="50000"/>
                  </a:schemeClr>
                </a:gs>
                <a:gs pos="0">
                  <a:srgbClr val="92D050"/>
                </a:gs>
              </a:gsLst>
              <a:path path="circle">
                <a:fillToRect l="100000" t="100000"/>
              </a:path>
            </a:gradFill>
            <a:ln>
              <a:noFill/>
            </a:ln>
            <a:effectLst/>
          </c:spPr>
          <c:invertIfNegative val="0"/>
          <c:cat>
            <c:strRef>
              <c:f>'Performance Cat Distr'!$A$4:$A$7</c:f>
              <c:strCache>
                <c:ptCount val="3"/>
                <c:pt idx="0">
                  <c:v>High Performance</c:v>
                </c:pt>
                <c:pt idx="1">
                  <c:v>Low Performance</c:v>
                </c:pt>
                <c:pt idx="2">
                  <c:v>Medium Performance</c:v>
                </c:pt>
              </c:strCache>
            </c:strRef>
          </c:cat>
          <c:val>
            <c:numRef>
              <c:f>'Performance Cat Distr'!$B$4:$B$7</c:f>
              <c:numCache>
                <c:formatCode>#,##0</c:formatCode>
                <c:ptCount val="3"/>
                <c:pt idx="0">
                  <c:v>468</c:v>
                </c:pt>
                <c:pt idx="1">
                  <c:v>285</c:v>
                </c:pt>
                <c:pt idx="2">
                  <c:v>447</c:v>
                </c:pt>
              </c:numCache>
            </c:numRef>
          </c:val>
          <c:extLst>
            <c:ext xmlns:c16="http://schemas.microsoft.com/office/drawing/2014/chart" uri="{C3380CC4-5D6E-409C-BE32-E72D297353CC}">
              <c16:uniqueId val="{00000000-FB83-407B-86F4-639D54C87392}"/>
            </c:ext>
          </c:extLst>
        </c:ser>
        <c:dLbls>
          <c:showLegendKey val="0"/>
          <c:showVal val="0"/>
          <c:showCatName val="0"/>
          <c:showSerName val="0"/>
          <c:showPercent val="0"/>
          <c:showBubbleSize val="0"/>
        </c:dLbls>
        <c:gapWidth val="150"/>
        <c:axId val="841704384"/>
        <c:axId val="841704864"/>
      </c:barChart>
      <c:catAx>
        <c:axId val="84170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704864"/>
        <c:crosses val="autoZero"/>
        <c:auto val="1"/>
        <c:lblAlgn val="ctr"/>
        <c:lblOffset val="100"/>
        <c:noMultiLvlLbl val="0"/>
      </c:catAx>
      <c:valAx>
        <c:axId val="84170486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7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 Report.xlsx]Performance Cat Distr!PivotTable7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Training Vs Performance by AVG of Performance</a:t>
            </a:r>
            <a:r>
              <a:rPr lang="en-US" sz="900" baseline="0"/>
              <a:t> Score</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6">
              <a:lumMod val="20000"/>
              <a:lumOff val="80000"/>
            </a:schemeClr>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pivotFmt>
      <c:pivotFmt>
        <c:idx val="20"/>
        <c:spPr>
          <a:solidFill>
            <a:schemeClr val="accent3">
              <a:lumMod val="50000"/>
            </a:schemeClr>
          </a:solidFill>
          <a:ln w="25400">
            <a:solidFill>
              <a:schemeClr val="lt1"/>
            </a:solidFill>
          </a:ln>
          <a:effectLst/>
          <a:sp3d contourW="25400">
            <a:contourClr>
              <a:schemeClr val="lt1"/>
            </a:contourClr>
          </a:sp3d>
        </c:spPr>
      </c:pivotFmt>
      <c:pivotFmt>
        <c:idx val="21"/>
        <c:spPr>
          <a:solidFill>
            <a:srgbClr val="92D050"/>
          </a:solidFill>
          <a:ln w="25400">
            <a:solidFill>
              <a:schemeClr val="lt1"/>
            </a:solidFill>
          </a:ln>
          <a:effectLst/>
          <a:sp3d contourW="25400">
            <a:contourClr>
              <a:schemeClr val="lt1"/>
            </a:contourClr>
          </a:sp3d>
        </c:spPr>
      </c:pivotFmt>
      <c:pivotFmt>
        <c:idx val="22"/>
        <c:spPr>
          <a:solidFill>
            <a:srgbClr val="00B050"/>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369568-5D55-44AE-8C30-3B5587B51ADD}"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6">
              <a:lumMod val="7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1D86A9A-BF76-406C-AE4A-8359B5D7C4E4}"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3">
              <a:lumMod val="60000"/>
              <a:lumOff val="40000"/>
            </a:schemeClr>
          </a:solidFill>
          <a:ln w="25400">
            <a:solidFill>
              <a:schemeClr val="lt1"/>
            </a:solidFill>
          </a:ln>
          <a:effectLst/>
          <a:sp3d contourW="25400">
            <a:contourClr>
              <a:schemeClr val="lt1"/>
            </a:contourClr>
          </a:sp3d>
        </c:spPr>
      </c:pivotFmt>
      <c:pivotFmt>
        <c:idx val="26"/>
        <c:spPr>
          <a:solidFill>
            <a:schemeClr val="accent6">
              <a:lumMod val="75000"/>
            </a:schemeClr>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'Performance Cat Distr'!$E$3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B0D-4E02-9FD5-01729BBF2FF2}"/>
              </c:ext>
            </c:extLst>
          </c:dPt>
          <c:dPt>
            <c:idx val="1"/>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B0D-4E02-9FD5-01729BBF2FF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B0D-4E02-9FD5-01729BBF2FF2}"/>
              </c:ext>
            </c:extLst>
          </c:dPt>
          <c:dPt>
            <c:idx val="3"/>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7-AB0D-4E02-9FD5-01729BBF2FF2}"/>
              </c:ext>
            </c:extLst>
          </c:dPt>
          <c:dPt>
            <c:idx val="4"/>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AB0D-4E02-9FD5-01729BBF2FF2}"/>
              </c:ext>
            </c:extLst>
          </c:dPt>
          <c:dPt>
            <c:idx val="5"/>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B-AB0D-4E02-9FD5-01729BBF2FF2}"/>
              </c:ext>
            </c:extLst>
          </c:dPt>
          <c:dPt>
            <c:idx val="6"/>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D-AB0D-4E02-9FD5-01729BBF2FF2}"/>
              </c:ext>
            </c:extLst>
          </c:dPt>
          <c:dPt>
            <c:idx val="7"/>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B0D-4E02-9FD5-01729BBF2FF2}"/>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B0D-4E02-9FD5-01729BBF2FF2}"/>
              </c:ext>
            </c:extLst>
          </c:dPt>
          <c:dPt>
            <c:idx val="9"/>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B0D-4E02-9FD5-01729BBF2FF2}"/>
              </c:ext>
            </c:extLst>
          </c:dPt>
          <c:dPt>
            <c:idx val="10"/>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B0D-4E02-9FD5-01729BBF2FF2}"/>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B0D-4E02-9FD5-01729BBF2FF2}"/>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B0D-4E02-9FD5-01729BBF2FF2}"/>
              </c:ext>
            </c:extLst>
          </c:dPt>
          <c:dLbls>
            <c:dLbl>
              <c:idx val="6"/>
              <c:tx>
                <c:rich>
                  <a:bodyPr/>
                  <a:lstStyle/>
                  <a:p>
                    <a:fld id="{35369568-5D55-44AE-8C30-3B5587B51ADD}"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AB0D-4E02-9FD5-01729BBF2FF2}"/>
                </c:ext>
              </c:extLst>
            </c:dLbl>
            <c:dLbl>
              <c:idx val="7"/>
              <c:tx>
                <c:rich>
                  <a:bodyPr/>
                  <a:lstStyle/>
                  <a:p>
                    <a:fld id="{01D86A9A-BF76-406C-AE4A-8359B5D7C4E4}" type="VALUE">
                      <a:rPr lang="en-US">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AB0D-4E02-9FD5-01729BBF2F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Cat Distr'!$D$4:$D$17</c:f>
              <c:strCache>
                <c:ptCount val="13"/>
                <c:pt idx="0">
                  <c:v>(blank)</c:v>
                </c:pt>
                <c:pt idx="1">
                  <c:v>0-1</c:v>
                </c:pt>
                <c:pt idx="2">
                  <c:v>1-2</c:v>
                </c:pt>
                <c:pt idx="3">
                  <c:v>2-3</c:v>
                </c:pt>
                <c:pt idx="4">
                  <c:v>3-4</c:v>
                </c:pt>
                <c:pt idx="5">
                  <c:v>4-5</c:v>
                </c:pt>
                <c:pt idx="6">
                  <c:v>5-6</c:v>
                </c:pt>
                <c:pt idx="7">
                  <c:v>6-7</c:v>
                </c:pt>
                <c:pt idx="8">
                  <c:v>7-8</c:v>
                </c:pt>
                <c:pt idx="9">
                  <c:v>8-9</c:v>
                </c:pt>
                <c:pt idx="10">
                  <c:v>9-10</c:v>
                </c:pt>
                <c:pt idx="11">
                  <c:v>10-11</c:v>
                </c:pt>
                <c:pt idx="12">
                  <c:v>11-12</c:v>
                </c:pt>
              </c:strCache>
            </c:strRef>
          </c:cat>
          <c:val>
            <c:numRef>
              <c:f>'Performance Cat Distr'!$E$4:$E$17</c:f>
              <c:numCache>
                <c:formatCode>0.00</c:formatCode>
                <c:ptCount val="13"/>
                <c:pt idx="0">
                  <c:v>13.625833333333333</c:v>
                </c:pt>
                <c:pt idx="1">
                  <c:v>12.909999999999998</c:v>
                </c:pt>
                <c:pt idx="2">
                  <c:v>12.61340425531915</c:v>
                </c:pt>
                <c:pt idx="3">
                  <c:v>13.878500000000003</c:v>
                </c:pt>
                <c:pt idx="4">
                  <c:v>13.038000000000007</c:v>
                </c:pt>
                <c:pt idx="5">
                  <c:v>13.671141552511427</c:v>
                </c:pt>
                <c:pt idx="6">
                  <c:v>13.816531531531538</c:v>
                </c:pt>
                <c:pt idx="7">
                  <c:v>13.628465909090918</c:v>
                </c:pt>
                <c:pt idx="8">
                  <c:v>14.132020202020207</c:v>
                </c:pt>
                <c:pt idx="9">
                  <c:v>13.813333333333331</c:v>
                </c:pt>
                <c:pt idx="10">
                  <c:v>14.479000000000003</c:v>
                </c:pt>
                <c:pt idx="11">
                  <c:v>14.65</c:v>
                </c:pt>
                <c:pt idx="12">
                  <c:v>13.48</c:v>
                </c:pt>
              </c:numCache>
            </c:numRef>
          </c:val>
          <c:extLst>
            <c:ext xmlns:c16="http://schemas.microsoft.com/office/drawing/2014/chart" uri="{C3380CC4-5D6E-409C-BE32-E72D297353CC}">
              <c16:uniqueId val="{0000001A-AB0D-4E02-9FD5-01729BBF2FF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 Report.xlsx]Performance Cat Distr!PivotTable8</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a:t>Promotion Analysis by AVG of Performance Score and COUNT of Employee</a:t>
            </a:r>
            <a:r>
              <a:rPr lang="en-US" sz="900" baseline="0"/>
              <a:t> ID</a:t>
            </a:r>
            <a:endParaRPr lang="en-US" sz="9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w="19050">
            <a:solidFill>
              <a:schemeClr val="lt1"/>
            </a:solidFill>
          </a:ln>
          <a:effectLst/>
        </c:spPr>
      </c:pivotFmt>
      <c:pivotFmt>
        <c:idx val="3"/>
        <c:spPr>
          <a:solidFill>
            <a:schemeClr val="accent3">
              <a:lumMod val="75000"/>
            </a:schemeClr>
          </a:solidFill>
          <a:ln w="19050">
            <a:solidFill>
              <a:schemeClr val="lt1"/>
            </a:solidFill>
          </a:ln>
          <a:effectLst/>
        </c:spPr>
      </c:pivotFmt>
      <c:pivotFmt>
        <c:idx val="4"/>
        <c:spPr>
          <a:solidFill>
            <a:schemeClr val="accent3">
              <a:lumMod val="75000"/>
            </a:schemeClr>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 Cat Distr'!$H$3</c:f>
              <c:strCache>
                <c:ptCount val="1"/>
                <c:pt idx="0">
                  <c:v>Average of performance_score</c:v>
                </c:pt>
              </c:strCache>
            </c:strRef>
          </c:tx>
          <c:spPr>
            <a:solidFill>
              <a:schemeClr val="accent6">
                <a:lumMod val="60000"/>
                <a:lumOff val="4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Cat Distr'!$G$4:$G$7</c:f>
              <c:strCache>
                <c:ptCount val="3"/>
                <c:pt idx="0">
                  <c:v>0</c:v>
                </c:pt>
                <c:pt idx="1">
                  <c:v>1</c:v>
                </c:pt>
                <c:pt idx="2">
                  <c:v>2</c:v>
                </c:pt>
              </c:strCache>
            </c:strRef>
          </c:cat>
          <c:val>
            <c:numRef>
              <c:f>'Performance Cat Distr'!$H$4:$H$7</c:f>
              <c:numCache>
                <c:formatCode>0.00</c:formatCode>
                <c:ptCount val="3"/>
                <c:pt idx="0">
                  <c:v>13.940391644908614</c:v>
                </c:pt>
                <c:pt idx="1">
                  <c:v>13.01221052631578</c:v>
                </c:pt>
                <c:pt idx="2">
                  <c:v>13.75814814814815</c:v>
                </c:pt>
              </c:numCache>
            </c:numRef>
          </c:val>
          <c:extLst>
            <c:ext xmlns:c16="http://schemas.microsoft.com/office/drawing/2014/chart" uri="{C3380CC4-5D6E-409C-BE32-E72D297353CC}">
              <c16:uniqueId val="{00000000-703F-481C-A61C-7062852909F3}"/>
            </c:ext>
          </c:extLst>
        </c:ser>
        <c:ser>
          <c:idx val="1"/>
          <c:order val="1"/>
          <c:tx>
            <c:strRef>
              <c:f>'Performance Cat Distr'!$I$3</c:f>
              <c:strCache>
                <c:ptCount val="1"/>
                <c:pt idx="0">
                  <c:v>Count of employee_id</c:v>
                </c:pt>
              </c:strCache>
            </c:strRef>
          </c:tx>
          <c:spPr>
            <a:solidFill>
              <a:schemeClr val="accent3">
                <a:lumMod val="75000"/>
              </a:schemeClr>
            </a:solidFill>
            <a:ln w="19050">
              <a:solidFill>
                <a:schemeClr val="lt1"/>
              </a:solidFill>
            </a:ln>
            <a:effectLst/>
          </c:spPr>
          <c:invertIfNegative val="0"/>
          <c:cat>
            <c:strRef>
              <c:f>'Performance Cat Distr'!$G$4:$G$7</c:f>
              <c:strCache>
                <c:ptCount val="3"/>
                <c:pt idx="0">
                  <c:v>0</c:v>
                </c:pt>
                <c:pt idx="1">
                  <c:v>1</c:v>
                </c:pt>
                <c:pt idx="2">
                  <c:v>2</c:v>
                </c:pt>
              </c:strCache>
            </c:strRef>
          </c:cat>
          <c:val>
            <c:numRef>
              <c:f>'Performance Cat Distr'!$I$4:$I$7</c:f>
              <c:numCache>
                <c:formatCode>#,##0</c:formatCode>
                <c:ptCount val="3"/>
                <c:pt idx="0">
                  <c:v>766</c:v>
                </c:pt>
                <c:pt idx="1">
                  <c:v>380</c:v>
                </c:pt>
                <c:pt idx="2">
                  <c:v>54</c:v>
                </c:pt>
              </c:numCache>
            </c:numRef>
          </c:val>
          <c:extLst>
            <c:ext xmlns:c16="http://schemas.microsoft.com/office/drawing/2014/chart" uri="{C3380CC4-5D6E-409C-BE32-E72D297353CC}">
              <c16:uniqueId val="{00000001-703F-481C-A61C-7062852909F3}"/>
            </c:ext>
          </c:extLst>
        </c:ser>
        <c:dLbls>
          <c:showLegendKey val="0"/>
          <c:showVal val="0"/>
          <c:showCatName val="0"/>
          <c:showSerName val="0"/>
          <c:showPercent val="0"/>
          <c:showBubbleSize val="0"/>
        </c:dLbls>
        <c:gapWidth val="150"/>
        <c:axId val="264004384"/>
        <c:axId val="247465872"/>
      </c:barChart>
      <c:catAx>
        <c:axId val="2640043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65872"/>
        <c:crosses val="autoZero"/>
        <c:auto val="1"/>
        <c:lblAlgn val="ctr"/>
        <c:lblOffset val="100"/>
        <c:noMultiLvlLbl val="0"/>
      </c:catAx>
      <c:valAx>
        <c:axId val="247465872"/>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0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2</xdr:row>
      <xdr:rowOff>0</xdr:rowOff>
    </xdr:from>
    <xdr:to>
      <xdr:col>4</xdr:col>
      <xdr:colOff>28575</xdr:colOff>
      <xdr:row>19</xdr:row>
      <xdr:rowOff>177165</xdr:rowOff>
    </xdr:to>
    <mc:AlternateContent xmlns:mc="http://schemas.openxmlformats.org/markup-compatibility/2006" xmlns:a14="http://schemas.microsoft.com/office/drawing/2010/main">
      <mc:Choice Requires="a14">
        <xdr:graphicFrame macro="">
          <xdr:nvGraphicFramePr>
            <xdr:cNvPr id="3" name="Months (month)">
              <a:extLst>
                <a:ext uri="{FF2B5EF4-FFF2-40B4-BE49-F238E27FC236}">
                  <a16:creationId xmlns:a16="http://schemas.microsoft.com/office/drawing/2014/main" id="{D8BE3130-1C41-4960-A565-5BCD3A519176}"/>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mlns="">
        <xdr:sp macro="" textlink="">
          <xdr:nvSpPr>
            <xdr:cNvPr id="0" name=""/>
            <xdr:cNvSpPr>
              <a:spLocks noTextEdit="1"/>
            </xdr:cNvSpPr>
          </xdr:nvSpPr>
          <xdr:spPr>
            <a:xfrm>
              <a:off x="638175" y="358588"/>
              <a:ext cx="1828800" cy="3225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38100</xdr:colOff>
      <xdr:row>20</xdr:row>
      <xdr:rowOff>105896</xdr:rowOff>
    </xdr:from>
    <xdr:to>
      <xdr:col>4</xdr:col>
      <xdr:colOff>38100</xdr:colOff>
      <xdr:row>30</xdr:row>
      <xdr:rowOff>171450</xdr:rowOff>
    </xdr:to>
    <mc:AlternateContent xmlns:mc="http://schemas.openxmlformats.org/markup-compatibility/2006" xmlns:a14="http://schemas.microsoft.com/office/drawing/2010/main">
      <mc:Choice Requires="a14">
        <xdr:graphicFrame macro="">
          <xdr:nvGraphicFramePr>
            <xdr:cNvPr id="4" name="work_location">
              <a:extLst>
                <a:ext uri="{FF2B5EF4-FFF2-40B4-BE49-F238E27FC236}">
                  <a16:creationId xmlns:a16="http://schemas.microsoft.com/office/drawing/2014/main" id="{5EB4FEA2-0AB0-4961-AB2B-DBA6B38C8606}"/>
                </a:ext>
              </a:extLst>
            </xdr:cNvPr>
            <xdr:cNvGraphicFramePr/>
          </xdr:nvGraphicFramePr>
          <xdr:xfrm>
            <a:off x="0" y="0"/>
            <a:ext cx="0" cy="0"/>
          </xdr:xfrm>
          <a:graphic>
            <a:graphicData uri="http://schemas.microsoft.com/office/drawing/2010/slicer">
              <sle:slicer xmlns:sle="http://schemas.microsoft.com/office/drawing/2010/slicer" name="work_location"/>
            </a:graphicData>
          </a:graphic>
        </xdr:graphicFrame>
      </mc:Choice>
      <mc:Fallback xmlns="">
        <xdr:sp macro="" textlink="">
          <xdr:nvSpPr>
            <xdr:cNvPr id="0" name=""/>
            <xdr:cNvSpPr>
              <a:spLocks noTextEdit="1"/>
            </xdr:cNvSpPr>
          </xdr:nvSpPr>
          <xdr:spPr>
            <a:xfrm>
              <a:off x="647700" y="3691778"/>
              <a:ext cx="1828800" cy="1858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31</xdr:row>
      <xdr:rowOff>108138</xdr:rowOff>
    </xdr:from>
    <xdr:to>
      <xdr:col>4</xdr:col>
      <xdr:colOff>28575</xdr:colOff>
      <xdr:row>39</xdr:row>
      <xdr:rowOff>10885</xdr:rowOff>
    </xdr:to>
    <mc:AlternateContent xmlns:mc="http://schemas.openxmlformats.org/markup-compatibility/2006" xmlns:a14="http://schemas.microsoft.com/office/drawing/2010/main">
      <mc:Choice Requires="a14">
        <xdr:graphicFrame macro="">
          <xdr:nvGraphicFramePr>
            <xdr:cNvPr id="5" name="performance_category">
              <a:extLst>
                <a:ext uri="{FF2B5EF4-FFF2-40B4-BE49-F238E27FC236}">
                  <a16:creationId xmlns:a16="http://schemas.microsoft.com/office/drawing/2014/main" id="{7CE8D26A-DF21-4395-A50B-57F359B1157B}"/>
                </a:ext>
              </a:extLst>
            </xdr:cNvPr>
            <xdr:cNvGraphicFramePr/>
          </xdr:nvGraphicFramePr>
          <xdr:xfrm>
            <a:off x="0" y="0"/>
            <a:ext cx="0" cy="0"/>
          </xdr:xfrm>
          <a:graphic>
            <a:graphicData uri="http://schemas.microsoft.com/office/drawing/2010/slicer">
              <sle:slicer xmlns:sle="http://schemas.microsoft.com/office/drawing/2010/slicer" name="performance_category"/>
            </a:graphicData>
          </a:graphic>
        </xdr:graphicFrame>
      </mc:Choice>
      <mc:Fallback xmlns="">
        <xdr:sp macro="" textlink="">
          <xdr:nvSpPr>
            <xdr:cNvPr id="0" name=""/>
            <xdr:cNvSpPr>
              <a:spLocks noTextEdit="1"/>
            </xdr:cNvSpPr>
          </xdr:nvSpPr>
          <xdr:spPr>
            <a:xfrm>
              <a:off x="638175" y="5666256"/>
              <a:ext cx="1828800" cy="133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381000</xdr:colOff>
      <xdr:row>2</xdr:row>
      <xdr:rowOff>0</xdr:rowOff>
    </xdr:from>
    <xdr:to>
      <xdr:col>26</xdr:col>
      <xdr:colOff>381000</xdr:colOff>
      <xdr:row>8</xdr:row>
      <xdr:rowOff>171443</xdr:rowOff>
    </xdr:to>
    <mc:AlternateContent xmlns:mc="http://schemas.openxmlformats.org/markup-compatibility/2006" xmlns:a14="http://schemas.microsoft.com/office/drawing/2010/main">
      <mc:Choice Requires="a14">
        <xdr:graphicFrame macro="">
          <xdr:nvGraphicFramePr>
            <xdr:cNvPr id="6" name="salary_band">
              <a:extLst>
                <a:ext uri="{FF2B5EF4-FFF2-40B4-BE49-F238E27FC236}">
                  <a16:creationId xmlns:a16="http://schemas.microsoft.com/office/drawing/2014/main" id="{7A2E97B9-BA4A-4DB5-ADA0-E88A2B47E717}"/>
                </a:ext>
              </a:extLst>
            </xdr:cNvPr>
            <xdr:cNvGraphicFramePr/>
          </xdr:nvGraphicFramePr>
          <xdr:xfrm>
            <a:off x="0" y="0"/>
            <a:ext cx="0" cy="0"/>
          </xdr:xfrm>
          <a:graphic>
            <a:graphicData uri="http://schemas.microsoft.com/office/drawing/2010/slicer">
              <sle:slicer xmlns:sle="http://schemas.microsoft.com/office/drawing/2010/slicer" name="salary_band"/>
            </a:graphicData>
          </a:graphic>
        </xdr:graphicFrame>
      </mc:Choice>
      <mc:Fallback xmlns="">
        <xdr:sp macro="" textlink="">
          <xdr:nvSpPr>
            <xdr:cNvPr id="0" name=""/>
            <xdr:cNvSpPr>
              <a:spLocks noTextEdit="1"/>
            </xdr:cNvSpPr>
          </xdr:nvSpPr>
          <xdr:spPr>
            <a:xfrm>
              <a:off x="14401800" y="358588"/>
              <a:ext cx="1828800" cy="1247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390525</xdr:colOff>
      <xdr:row>9</xdr:row>
      <xdr:rowOff>87403</xdr:rowOff>
    </xdr:from>
    <xdr:to>
      <xdr:col>26</xdr:col>
      <xdr:colOff>390525</xdr:colOff>
      <xdr:row>19</xdr:row>
      <xdr:rowOff>60732</xdr:rowOff>
    </xdr:to>
    <mc:AlternateContent xmlns:mc="http://schemas.openxmlformats.org/markup-compatibility/2006" xmlns:a14="http://schemas.microsoft.com/office/drawing/2010/main">
      <mc:Choice Requires="a14">
        <xdr:graphicFrame macro="">
          <xdr:nvGraphicFramePr>
            <xdr:cNvPr id="7" name="job_role">
              <a:extLst>
                <a:ext uri="{FF2B5EF4-FFF2-40B4-BE49-F238E27FC236}">
                  <a16:creationId xmlns:a16="http://schemas.microsoft.com/office/drawing/2014/main" id="{7829391B-2F49-403A-8F74-3F9E47C3D296}"/>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14411325" y="1701050"/>
              <a:ext cx="1828800" cy="1766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390525</xdr:colOff>
      <xdr:row>20</xdr:row>
      <xdr:rowOff>95808</xdr:rowOff>
    </xdr:from>
    <xdr:to>
      <xdr:col>26</xdr:col>
      <xdr:colOff>390525</xdr:colOff>
      <xdr:row>30</xdr:row>
      <xdr:rowOff>133349</xdr:rowOff>
    </xdr:to>
    <mc:AlternateContent xmlns:mc="http://schemas.openxmlformats.org/markup-compatibility/2006" xmlns:a14="http://schemas.microsoft.com/office/drawing/2010/main">
      <mc:Choice Requires="a14">
        <xdr:graphicFrame macro="">
          <xdr:nvGraphicFramePr>
            <xdr:cNvPr id="8" name="attendance_rate">
              <a:extLst>
                <a:ext uri="{FF2B5EF4-FFF2-40B4-BE49-F238E27FC236}">
                  <a16:creationId xmlns:a16="http://schemas.microsoft.com/office/drawing/2014/main" id="{FF02E860-1012-4F6D-A1F1-C2E66E1F14CC}"/>
                </a:ext>
              </a:extLst>
            </xdr:cNvPr>
            <xdr:cNvGraphicFramePr/>
          </xdr:nvGraphicFramePr>
          <xdr:xfrm>
            <a:off x="0" y="0"/>
            <a:ext cx="0" cy="0"/>
          </xdr:xfrm>
          <a:graphic>
            <a:graphicData uri="http://schemas.microsoft.com/office/drawing/2010/slicer">
              <sle:slicer xmlns:sle="http://schemas.microsoft.com/office/drawing/2010/slicer" name="attendance_rate"/>
            </a:graphicData>
          </a:graphic>
        </xdr:graphicFrame>
      </mc:Choice>
      <mc:Fallback xmlns="">
        <xdr:sp macro="" textlink="">
          <xdr:nvSpPr>
            <xdr:cNvPr id="0" name=""/>
            <xdr:cNvSpPr>
              <a:spLocks noTextEdit="1"/>
            </xdr:cNvSpPr>
          </xdr:nvSpPr>
          <xdr:spPr>
            <a:xfrm>
              <a:off x="14411325" y="3681690"/>
              <a:ext cx="1828800" cy="1830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400050</xdr:colOff>
      <xdr:row>31</xdr:row>
      <xdr:rowOff>57153</xdr:rowOff>
    </xdr:from>
    <xdr:to>
      <xdr:col>26</xdr:col>
      <xdr:colOff>400050</xdr:colOff>
      <xdr:row>39</xdr:row>
      <xdr:rowOff>0</xdr:rowOff>
    </xdr:to>
    <mc:AlternateContent xmlns:mc="http://schemas.openxmlformats.org/markup-compatibility/2006" xmlns:a14="http://schemas.microsoft.com/office/drawing/2010/main">
      <mc:Choice Requires="a14">
        <xdr:graphicFrame macro="">
          <xdr:nvGraphicFramePr>
            <xdr:cNvPr id="9" name="promotions_last_3years">
              <a:extLst>
                <a:ext uri="{FF2B5EF4-FFF2-40B4-BE49-F238E27FC236}">
                  <a16:creationId xmlns:a16="http://schemas.microsoft.com/office/drawing/2014/main" id="{EA35744C-4410-4716-AB76-9971F5FC9953}"/>
                </a:ext>
              </a:extLst>
            </xdr:cNvPr>
            <xdr:cNvGraphicFramePr/>
          </xdr:nvGraphicFramePr>
          <xdr:xfrm>
            <a:off x="0" y="0"/>
            <a:ext cx="0" cy="0"/>
          </xdr:xfrm>
          <a:graphic>
            <a:graphicData uri="http://schemas.microsoft.com/office/drawing/2010/slicer">
              <sle:slicer xmlns:sle="http://schemas.microsoft.com/office/drawing/2010/slicer" name="promotions_last_3years"/>
            </a:graphicData>
          </a:graphic>
        </xdr:graphicFrame>
      </mc:Choice>
      <mc:Fallback xmlns="">
        <xdr:sp macro="" textlink="">
          <xdr:nvSpPr>
            <xdr:cNvPr id="0" name=""/>
            <xdr:cNvSpPr>
              <a:spLocks noTextEdit="1"/>
            </xdr:cNvSpPr>
          </xdr:nvSpPr>
          <xdr:spPr>
            <a:xfrm>
              <a:off x="14420850" y="5615271"/>
              <a:ext cx="1828800" cy="137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171450</xdr:colOff>
      <xdr:row>6</xdr:row>
      <xdr:rowOff>104775</xdr:rowOff>
    </xdr:from>
    <xdr:to>
      <xdr:col>23</xdr:col>
      <xdr:colOff>209550</xdr:colOff>
      <xdr:row>18</xdr:row>
      <xdr:rowOff>28575</xdr:rowOff>
    </xdr:to>
    <xdr:graphicFrame macro="">
      <xdr:nvGraphicFramePr>
        <xdr:cNvPr id="10" name="Chart 9">
          <a:extLst>
            <a:ext uri="{FF2B5EF4-FFF2-40B4-BE49-F238E27FC236}">
              <a16:creationId xmlns:a16="http://schemas.microsoft.com/office/drawing/2014/main" id="{BD35E172-B724-41AB-81BA-F1AA63A06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333375</xdr:colOff>
      <xdr:row>6</xdr:row>
      <xdr:rowOff>123825</xdr:rowOff>
    </xdr:from>
    <xdr:to>
      <xdr:col>17</xdr:col>
      <xdr:colOff>38100</xdr:colOff>
      <xdr:row>18</xdr:row>
      <xdr:rowOff>38100</xdr:rowOff>
    </xdr:to>
    <xdr:graphicFrame macro="">
      <xdr:nvGraphicFramePr>
        <xdr:cNvPr id="11" name="Chart 10">
          <a:extLst>
            <a:ext uri="{FF2B5EF4-FFF2-40B4-BE49-F238E27FC236}">
              <a16:creationId xmlns:a16="http://schemas.microsoft.com/office/drawing/2014/main" id="{897FFC3A-70AA-434E-B7A7-13393B359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6</xdr:row>
      <xdr:rowOff>142875</xdr:rowOff>
    </xdr:from>
    <xdr:to>
      <xdr:col>10</xdr:col>
      <xdr:colOff>200025</xdr:colOff>
      <xdr:row>18</xdr:row>
      <xdr:rowOff>19050</xdr:rowOff>
    </xdr:to>
    <xdr:graphicFrame macro="">
      <xdr:nvGraphicFramePr>
        <xdr:cNvPr id="13" name="Chart 12">
          <a:extLst>
            <a:ext uri="{FF2B5EF4-FFF2-40B4-BE49-F238E27FC236}">
              <a16:creationId xmlns:a16="http://schemas.microsoft.com/office/drawing/2014/main" id="{91CB02DD-D3B8-40C7-97A8-E7D96190A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161925</xdr:colOff>
      <xdr:row>18</xdr:row>
      <xdr:rowOff>95250</xdr:rowOff>
    </xdr:from>
    <xdr:to>
      <xdr:col>10</xdr:col>
      <xdr:colOff>200025</xdr:colOff>
      <xdr:row>28</xdr:row>
      <xdr:rowOff>104775</xdr:rowOff>
    </xdr:to>
    <xdr:graphicFrame macro="">
      <xdr:nvGraphicFramePr>
        <xdr:cNvPr id="14" name="Chart 13">
          <a:extLst>
            <a:ext uri="{FF2B5EF4-FFF2-40B4-BE49-F238E27FC236}">
              <a16:creationId xmlns:a16="http://schemas.microsoft.com/office/drawing/2014/main" id="{4C6836A7-3F47-4AE4-B83F-9CF5E58C7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331694</xdr:colOff>
      <xdr:row>18</xdr:row>
      <xdr:rowOff>107577</xdr:rowOff>
    </xdr:from>
    <xdr:to>
      <xdr:col>17</xdr:col>
      <xdr:colOff>62753</xdr:colOff>
      <xdr:row>28</xdr:row>
      <xdr:rowOff>107578</xdr:rowOff>
    </xdr:to>
    <xdr:graphicFrame macro="">
      <xdr:nvGraphicFramePr>
        <xdr:cNvPr id="15" name="Chart 14">
          <a:extLst>
            <a:ext uri="{FF2B5EF4-FFF2-40B4-BE49-F238E27FC236}">
              <a16:creationId xmlns:a16="http://schemas.microsoft.com/office/drawing/2014/main" id="{3C0246C2-02AE-4931-9D15-9CCBAE5FF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161365</xdr:colOff>
      <xdr:row>18</xdr:row>
      <xdr:rowOff>107578</xdr:rowOff>
    </xdr:from>
    <xdr:to>
      <xdr:col>23</xdr:col>
      <xdr:colOff>215153</xdr:colOff>
      <xdr:row>28</xdr:row>
      <xdr:rowOff>125506</xdr:rowOff>
    </xdr:to>
    <xdr:graphicFrame macro="">
      <xdr:nvGraphicFramePr>
        <xdr:cNvPr id="16" name="Chart 15">
          <a:extLst>
            <a:ext uri="{FF2B5EF4-FFF2-40B4-BE49-F238E27FC236}">
              <a16:creationId xmlns:a16="http://schemas.microsoft.com/office/drawing/2014/main" id="{96A63287-47CC-4C95-BD30-E1587681E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163286</xdr:colOff>
      <xdr:row>29</xdr:row>
      <xdr:rowOff>32657</xdr:rowOff>
    </xdr:from>
    <xdr:to>
      <xdr:col>10</xdr:col>
      <xdr:colOff>206188</xdr:colOff>
      <xdr:row>39</xdr:row>
      <xdr:rowOff>32657</xdr:rowOff>
    </xdr:to>
    <xdr:graphicFrame macro="">
      <xdr:nvGraphicFramePr>
        <xdr:cNvPr id="17" name="Chart 16">
          <a:extLst>
            <a:ext uri="{FF2B5EF4-FFF2-40B4-BE49-F238E27FC236}">
              <a16:creationId xmlns:a16="http://schemas.microsoft.com/office/drawing/2014/main" id="{8E471281-AC93-4290-A8E1-1C2D7DB3B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340659</xdr:colOff>
      <xdr:row>29</xdr:row>
      <xdr:rowOff>62753</xdr:rowOff>
    </xdr:from>
    <xdr:to>
      <xdr:col>17</xdr:col>
      <xdr:colOff>98612</xdr:colOff>
      <xdr:row>39</xdr:row>
      <xdr:rowOff>80682</xdr:rowOff>
    </xdr:to>
    <xdr:graphicFrame macro="">
      <xdr:nvGraphicFramePr>
        <xdr:cNvPr id="18" name="Chart 17">
          <a:extLst>
            <a:ext uri="{FF2B5EF4-FFF2-40B4-BE49-F238E27FC236}">
              <a16:creationId xmlns:a16="http://schemas.microsoft.com/office/drawing/2014/main" id="{C47537CF-0E1E-4D3D-BFB4-E0C11F6CB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170330</xdr:colOff>
      <xdr:row>29</xdr:row>
      <xdr:rowOff>53789</xdr:rowOff>
    </xdr:from>
    <xdr:to>
      <xdr:col>23</xdr:col>
      <xdr:colOff>242047</xdr:colOff>
      <xdr:row>39</xdr:row>
      <xdr:rowOff>80682</xdr:rowOff>
    </xdr:to>
    <xdr:graphicFrame macro="">
      <xdr:nvGraphicFramePr>
        <xdr:cNvPr id="19" name="Chart 18">
          <a:extLst>
            <a:ext uri="{FF2B5EF4-FFF2-40B4-BE49-F238E27FC236}">
              <a16:creationId xmlns:a16="http://schemas.microsoft.com/office/drawing/2014/main" id="{B9D227A1-3FBA-449F-88B3-C73A1A7B1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185057</xdr:colOff>
      <xdr:row>1</xdr:row>
      <xdr:rowOff>174173</xdr:rowOff>
    </xdr:from>
    <xdr:to>
      <xdr:col>8</xdr:col>
      <xdr:colOff>566056</xdr:colOff>
      <xdr:row>5</xdr:row>
      <xdr:rowOff>174179</xdr:rowOff>
    </xdr:to>
    <xdr:sp macro="" textlink="'Executive View'!A18">
      <xdr:nvSpPr>
        <xdr:cNvPr id="20" name="Rectangle 19">
          <a:extLst>
            <a:ext uri="{FF2B5EF4-FFF2-40B4-BE49-F238E27FC236}">
              <a16:creationId xmlns:a16="http://schemas.microsoft.com/office/drawing/2014/main" id="{C5D1F6A0-138B-4209-A00B-055934FD9681}"/>
            </a:ext>
          </a:extLst>
        </xdr:cNvPr>
        <xdr:cNvSpPr/>
      </xdr:nvSpPr>
      <xdr:spPr>
        <a:xfrm>
          <a:off x="2623457" y="357053"/>
          <a:ext cx="2819399" cy="731526"/>
        </a:xfrm>
        <a:prstGeom prst="rect">
          <a:avLst/>
        </a:prstGeom>
        <a:gradFill>
          <a:gsLst>
            <a:gs pos="100000">
              <a:schemeClr val="accent6">
                <a:lumMod val="75000"/>
              </a:schemeClr>
            </a:gs>
            <a:gs pos="0">
              <a:srgbClr val="92D050"/>
            </a:gs>
          </a:gsLst>
          <a:path path="circle">
            <a:fillToRect l="100000" t="100000"/>
          </a:path>
        </a:gra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0650C49-B48F-49EB-982B-AA4A2A399361}" type="TxLink">
            <a:rPr lang="en-US" sz="3200" b="1" i="0" u="none" strike="noStrike">
              <a:solidFill>
                <a:schemeClr val="bg1"/>
              </a:solidFill>
              <a:latin typeface="+mj-lt"/>
            </a:rPr>
            <a:pPr algn="r"/>
            <a:t>13.64</a:t>
          </a:fld>
          <a:endParaRPr lang="en-US" sz="3200" b="1" i="0" u="none" strike="noStrike">
            <a:solidFill>
              <a:schemeClr val="bg1"/>
            </a:solidFill>
            <a:latin typeface="+mj-lt"/>
          </a:endParaRPr>
        </a:p>
      </xdr:txBody>
    </xdr:sp>
    <xdr:clientData/>
  </xdr:twoCellAnchor>
  <xdr:twoCellAnchor>
    <xdr:from>
      <xdr:col>9</xdr:col>
      <xdr:colOff>65314</xdr:colOff>
      <xdr:row>1</xdr:row>
      <xdr:rowOff>174174</xdr:rowOff>
    </xdr:from>
    <xdr:to>
      <xdr:col>13</xdr:col>
      <xdr:colOff>446313</xdr:colOff>
      <xdr:row>5</xdr:row>
      <xdr:rowOff>174180</xdr:rowOff>
    </xdr:to>
    <xdr:sp macro="" textlink="'Executive View'!B18">
      <xdr:nvSpPr>
        <xdr:cNvPr id="27" name="Rectangle 26">
          <a:extLst>
            <a:ext uri="{FF2B5EF4-FFF2-40B4-BE49-F238E27FC236}">
              <a16:creationId xmlns:a16="http://schemas.microsoft.com/office/drawing/2014/main" id="{D99DA8FD-FDCD-47D1-83C9-B16CEF15DF89}"/>
            </a:ext>
          </a:extLst>
        </xdr:cNvPr>
        <xdr:cNvSpPr/>
      </xdr:nvSpPr>
      <xdr:spPr>
        <a:xfrm>
          <a:off x="5551714" y="359231"/>
          <a:ext cx="2819399" cy="740235"/>
        </a:xfrm>
        <a:prstGeom prst="rect">
          <a:avLst/>
        </a:prstGeom>
        <a:gradFill>
          <a:gsLst>
            <a:gs pos="100000">
              <a:schemeClr val="accent6">
                <a:lumMod val="75000"/>
              </a:schemeClr>
            </a:gs>
            <a:gs pos="0">
              <a:srgbClr val="92D050"/>
            </a:gs>
          </a:gsLst>
          <a:path path="circle">
            <a:fillToRect l="100000" t="100000"/>
          </a:path>
        </a:gra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9262B4C-C69E-468F-96B6-0E906C3C3E8D}" type="TxLink">
            <a:rPr lang="en-US" sz="3200" b="1" i="0" u="none" strike="noStrike">
              <a:solidFill>
                <a:schemeClr val="bg1"/>
              </a:solidFill>
              <a:latin typeface="+mj-lt"/>
            </a:rPr>
            <a:pPr algn="r"/>
            <a:t>94.65</a:t>
          </a:fld>
          <a:endParaRPr lang="en-US" sz="3200" b="1" i="0" u="none" strike="noStrike">
            <a:solidFill>
              <a:schemeClr val="bg1"/>
            </a:solidFill>
            <a:latin typeface="+mj-lt"/>
          </a:endParaRPr>
        </a:p>
      </xdr:txBody>
    </xdr:sp>
    <xdr:clientData/>
  </xdr:twoCellAnchor>
  <xdr:twoCellAnchor>
    <xdr:from>
      <xdr:col>13</xdr:col>
      <xdr:colOff>555170</xdr:colOff>
      <xdr:row>1</xdr:row>
      <xdr:rowOff>163287</xdr:rowOff>
    </xdr:from>
    <xdr:to>
      <xdr:col>18</xdr:col>
      <xdr:colOff>326569</xdr:colOff>
      <xdr:row>5</xdr:row>
      <xdr:rowOff>163293</xdr:rowOff>
    </xdr:to>
    <xdr:sp macro="" textlink="'Executive View'!C18">
      <xdr:nvSpPr>
        <xdr:cNvPr id="28" name="Rectangle 27">
          <a:extLst>
            <a:ext uri="{FF2B5EF4-FFF2-40B4-BE49-F238E27FC236}">
              <a16:creationId xmlns:a16="http://schemas.microsoft.com/office/drawing/2014/main" id="{115AA1E6-9186-4A62-BA45-9197123A965D}"/>
            </a:ext>
          </a:extLst>
        </xdr:cNvPr>
        <xdr:cNvSpPr/>
      </xdr:nvSpPr>
      <xdr:spPr>
        <a:xfrm>
          <a:off x="8479970" y="348344"/>
          <a:ext cx="2819399" cy="740235"/>
        </a:xfrm>
        <a:prstGeom prst="rect">
          <a:avLst/>
        </a:prstGeom>
        <a:gradFill>
          <a:gsLst>
            <a:gs pos="100000">
              <a:schemeClr val="accent6">
                <a:lumMod val="75000"/>
              </a:schemeClr>
            </a:gs>
            <a:gs pos="0">
              <a:srgbClr val="92D050"/>
            </a:gs>
          </a:gsLst>
          <a:path path="circle">
            <a:fillToRect l="100000" t="100000"/>
          </a:path>
        </a:gra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1E32502-61BB-4437-B674-5C80A430F73E}" type="TxLink">
            <a:rPr lang="en-US" sz="3200" b="1" i="0" u="none" strike="noStrike">
              <a:solidFill>
                <a:schemeClr val="bg1"/>
              </a:solidFill>
              <a:latin typeface="+mj-lt"/>
            </a:rPr>
            <a:pPr algn="r"/>
            <a:t>7,251</a:t>
          </a:fld>
          <a:endParaRPr lang="en-US" sz="3200" b="1" i="0" u="none" strike="noStrike">
            <a:solidFill>
              <a:schemeClr val="bg1"/>
            </a:solidFill>
            <a:latin typeface="+mj-lt"/>
          </a:endParaRPr>
        </a:p>
      </xdr:txBody>
    </xdr:sp>
    <xdr:clientData/>
  </xdr:twoCellAnchor>
  <xdr:twoCellAnchor>
    <xdr:from>
      <xdr:col>18</xdr:col>
      <xdr:colOff>435427</xdr:colOff>
      <xdr:row>1</xdr:row>
      <xdr:rowOff>174172</xdr:rowOff>
    </xdr:from>
    <xdr:to>
      <xdr:col>23</xdr:col>
      <xdr:colOff>206826</xdr:colOff>
      <xdr:row>5</xdr:row>
      <xdr:rowOff>174178</xdr:rowOff>
    </xdr:to>
    <xdr:sp macro="" textlink="'Executive View'!D18">
      <xdr:nvSpPr>
        <xdr:cNvPr id="29" name="Rectangle 28">
          <a:extLst>
            <a:ext uri="{FF2B5EF4-FFF2-40B4-BE49-F238E27FC236}">
              <a16:creationId xmlns:a16="http://schemas.microsoft.com/office/drawing/2014/main" id="{EF03A609-B13B-42FA-B4D0-011123EB9506}"/>
            </a:ext>
          </a:extLst>
        </xdr:cNvPr>
        <xdr:cNvSpPr/>
      </xdr:nvSpPr>
      <xdr:spPr>
        <a:xfrm>
          <a:off x="11408227" y="357052"/>
          <a:ext cx="2819399" cy="731526"/>
        </a:xfrm>
        <a:prstGeom prst="rect">
          <a:avLst/>
        </a:prstGeom>
        <a:gradFill>
          <a:gsLst>
            <a:gs pos="100000">
              <a:schemeClr val="accent6">
                <a:lumMod val="75000"/>
              </a:schemeClr>
            </a:gs>
            <a:gs pos="0">
              <a:srgbClr val="92D050"/>
            </a:gs>
          </a:gsLst>
          <a:path path="circle">
            <a:fillToRect l="100000" t="100000"/>
          </a:path>
        </a:grad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24ADB13-BE24-4A8E-B31F-639604540C20}" type="TxLink">
            <a:rPr lang="en-US" sz="3200" b="1" i="0" u="none" strike="noStrike">
              <a:solidFill>
                <a:schemeClr val="bg1"/>
              </a:solidFill>
              <a:latin typeface="+mj-lt"/>
            </a:rPr>
            <a:pPr algn="r"/>
            <a:t>6.93</a:t>
          </a:fld>
          <a:endParaRPr lang="en-US" sz="3200" b="1" i="0" u="none" strike="noStrike">
            <a:solidFill>
              <a:schemeClr val="bg1"/>
            </a:solidFill>
            <a:latin typeface="+mj-lt"/>
          </a:endParaRPr>
        </a:p>
      </xdr:txBody>
    </xdr:sp>
    <xdr:clientData/>
  </xdr:twoCellAnchor>
  <xdr:twoCellAnchor>
    <xdr:from>
      <xdr:col>4</xdr:col>
      <xdr:colOff>435427</xdr:colOff>
      <xdr:row>2</xdr:row>
      <xdr:rowOff>91441</xdr:rowOff>
    </xdr:from>
    <xdr:to>
      <xdr:col>5</xdr:col>
      <xdr:colOff>359226</xdr:colOff>
      <xdr:row>5</xdr:row>
      <xdr:rowOff>69668</xdr:rowOff>
    </xdr:to>
    <xdr:sp macro="" textlink="">
      <xdr:nvSpPr>
        <xdr:cNvPr id="30" name="Oval 29">
          <a:extLst>
            <a:ext uri="{FF2B5EF4-FFF2-40B4-BE49-F238E27FC236}">
              <a16:creationId xmlns:a16="http://schemas.microsoft.com/office/drawing/2014/main" id="{AF9084AE-7CFB-7E60-C7D5-14A3129FCC25}"/>
            </a:ext>
          </a:extLst>
        </xdr:cNvPr>
        <xdr:cNvSpPr/>
      </xdr:nvSpPr>
      <xdr:spPr>
        <a:xfrm>
          <a:off x="2873827" y="457201"/>
          <a:ext cx="533399" cy="52686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460057</xdr:colOff>
      <xdr:row>1</xdr:row>
      <xdr:rowOff>180023</xdr:rowOff>
    </xdr:from>
    <xdr:to>
      <xdr:col>8</xdr:col>
      <xdr:colOff>574358</xdr:colOff>
      <xdr:row>3</xdr:row>
      <xdr:rowOff>32385</xdr:rowOff>
    </xdr:to>
    <xdr:sp macro="" textlink="">
      <xdr:nvSpPr>
        <xdr:cNvPr id="34" name="TextBox 33">
          <a:extLst>
            <a:ext uri="{FF2B5EF4-FFF2-40B4-BE49-F238E27FC236}">
              <a16:creationId xmlns:a16="http://schemas.microsoft.com/office/drawing/2014/main" id="{F9535E9B-4C05-0EB0-BECC-ED8629134F51}"/>
            </a:ext>
          </a:extLst>
        </xdr:cNvPr>
        <xdr:cNvSpPr txBox="1"/>
      </xdr:nvSpPr>
      <xdr:spPr>
        <a:xfrm>
          <a:off x="4117657" y="362903"/>
          <a:ext cx="1333501" cy="21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bg1"/>
              </a:solidFill>
            </a:rPr>
            <a:t>Avg Performance Score</a:t>
          </a:r>
        </a:p>
      </xdr:txBody>
    </xdr:sp>
    <xdr:clientData/>
  </xdr:twoCellAnchor>
  <xdr:twoCellAnchor>
    <xdr:from>
      <xdr:col>11</xdr:col>
      <xdr:colOff>392429</xdr:colOff>
      <xdr:row>2</xdr:row>
      <xdr:rowOff>6668</xdr:rowOff>
    </xdr:from>
    <xdr:to>
      <xdr:col>13</xdr:col>
      <xdr:colOff>506730</xdr:colOff>
      <xdr:row>3</xdr:row>
      <xdr:rowOff>41910</xdr:rowOff>
    </xdr:to>
    <xdr:sp macro="" textlink="">
      <xdr:nvSpPr>
        <xdr:cNvPr id="36" name="TextBox 35">
          <a:extLst>
            <a:ext uri="{FF2B5EF4-FFF2-40B4-BE49-F238E27FC236}">
              <a16:creationId xmlns:a16="http://schemas.microsoft.com/office/drawing/2014/main" id="{C90B901D-2578-413D-90FB-84A0D36945BB}"/>
            </a:ext>
          </a:extLst>
        </xdr:cNvPr>
        <xdr:cNvSpPr txBox="1"/>
      </xdr:nvSpPr>
      <xdr:spPr>
        <a:xfrm>
          <a:off x="7098029" y="372428"/>
          <a:ext cx="1333501" cy="21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bg1"/>
              </a:solidFill>
            </a:rPr>
            <a:t>Avg Attendance</a:t>
          </a:r>
          <a:r>
            <a:rPr lang="en-US" sz="900" b="1" baseline="0">
              <a:solidFill>
                <a:schemeClr val="bg1"/>
              </a:solidFill>
            </a:rPr>
            <a:t> Rate</a:t>
          </a:r>
          <a:endParaRPr lang="en-US" sz="900" b="1">
            <a:solidFill>
              <a:schemeClr val="bg1"/>
            </a:solidFill>
          </a:endParaRPr>
        </a:p>
      </xdr:txBody>
    </xdr:sp>
    <xdr:clientData/>
  </xdr:twoCellAnchor>
  <xdr:twoCellAnchor>
    <xdr:from>
      <xdr:col>16</xdr:col>
      <xdr:colOff>156209</xdr:colOff>
      <xdr:row>1</xdr:row>
      <xdr:rowOff>178118</xdr:rowOff>
    </xdr:from>
    <xdr:to>
      <xdr:col>18</xdr:col>
      <xdr:colOff>270510</xdr:colOff>
      <xdr:row>3</xdr:row>
      <xdr:rowOff>30480</xdr:rowOff>
    </xdr:to>
    <xdr:sp macro="" textlink="">
      <xdr:nvSpPr>
        <xdr:cNvPr id="37" name="TextBox 36">
          <a:extLst>
            <a:ext uri="{FF2B5EF4-FFF2-40B4-BE49-F238E27FC236}">
              <a16:creationId xmlns:a16="http://schemas.microsoft.com/office/drawing/2014/main" id="{68C7973D-EDDD-4D81-B7A2-E5B686B4ACA1}"/>
            </a:ext>
          </a:extLst>
        </xdr:cNvPr>
        <xdr:cNvSpPr txBox="1"/>
      </xdr:nvSpPr>
      <xdr:spPr>
        <a:xfrm>
          <a:off x="9909809" y="360998"/>
          <a:ext cx="1333501" cy="21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bg1"/>
              </a:solidFill>
            </a:rPr>
            <a:t>Sum of Task Completed</a:t>
          </a:r>
        </a:p>
      </xdr:txBody>
    </xdr:sp>
    <xdr:clientData/>
  </xdr:twoCellAnchor>
  <xdr:twoCellAnchor>
    <xdr:from>
      <xdr:col>21</xdr:col>
      <xdr:colOff>118109</xdr:colOff>
      <xdr:row>2</xdr:row>
      <xdr:rowOff>2858</xdr:rowOff>
    </xdr:from>
    <xdr:to>
      <xdr:col>23</xdr:col>
      <xdr:colOff>232410</xdr:colOff>
      <xdr:row>3</xdr:row>
      <xdr:rowOff>38100</xdr:rowOff>
    </xdr:to>
    <xdr:sp macro="" textlink="">
      <xdr:nvSpPr>
        <xdr:cNvPr id="38" name="TextBox 37">
          <a:extLst>
            <a:ext uri="{FF2B5EF4-FFF2-40B4-BE49-F238E27FC236}">
              <a16:creationId xmlns:a16="http://schemas.microsoft.com/office/drawing/2014/main" id="{B28FBD96-600B-4829-BB38-839B62FF7C06}"/>
            </a:ext>
          </a:extLst>
        </xdr:cNvPr>
        <xdr:cNvSpPr txBox="1"/>
      </xdr:nvSpPr>
      <xdr:spPr>
        <a:xfrm>
          <a:off x="12919709" y="368618"/>
          <a:ext cx="1333501" cy="21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chemeClr val="bg1"/>
              </a:solidFill>
            </a:rPr>
            <a:t>Avg of Manager Rating</a:t>
          </a:r>
        </a:p>
      </xdr:txBody>
    </xdr:sp>
    <xdr:clientData/>
  </xdr:twoCellAnchor>
  <xdr:twoCellAnchor>
    <xdr:from>
      <xdr:col>9</xdr:col>
      <xdr:colOff>305887</xdr:colOff>
      <xdr:row>2</xdr:row>
      <xdr:rowOff>91441</xdr:rowOff>
    </xdr:from>
    <xdr:to>
      <xdr:col>10</xdr:col>
      <xdr:colOff>229686</xdr:colOff>
      <xdr:row>5</xdr:row>
      <xdr:rowOff>69668</xdr:rowOff>
    </xdr:to>
    <xdr:sp macro="" textlink="">
      <xdr:nvSpPr>
        <xdr:cNvPr id="41" name="Oval 40">
          <a:extLst>
            <a:ext uri="{FF2B5EF4-FFF2-40B4-BE49-F238E27FC236}">
              <a16:creationId xmlns:a16="http://schemas.microsoft.com/office/drawing/2014/main" id="{2DE21ABE-729F-0B56-FFDF-B806F2C801ED}"/>
            </a:ext>
          </a:extLst>
        </xdr:cNvPr>
        <xdr:cNvSpPr/>
      </xdr:nvSpPr>
      <xdr:spPr>
        <a:xfrm>
          <a:off x="5792287" y="457201"/>
          <a:ext cx="533399" cy="52686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191587</xdr:colOff>
      <xdr:row>2</xdr:row>
      <xdr:rowOff>91441</xdr:rowOff>
    </xdr:from>
    <xdr:to>
      <xdr:col>15</xdr:col>
      <xdr:colOff>115386</xdr:colOff>
      <xdr:row>5</xdr:row>
      <xdr:rowOff>69668</xdr:rowOff>
    </xdr:to>
    <xdr:sp macro="" textlink="">
      <xdr:nvSpPr>
        <xdr:cNvPr id="43" name="Oval 42">
          <a:extLst>
            <a:ext uri="{FF2B5EF4-FFF2-40B4-BE49-F238E27FC236}">
              <a16:creationId xmlns:a16="http://schemas.microsoft.com/office/drawing/2014/main" id="{63F2AC63-BE81-BACB-69E0-88BE92AB9D23}"/>
            </a:ext>
          </a:extLst>
        </xdr:cNvPr>
        <xdr:cNvSpPr/>
      </xdr:nvSpPr>
      <xdr:spPr>
        <a:xfrm>
          <a:off x="8725987" y="457201"/>
          <a:ext cx="533399" cy="52686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77287</xdr:colOff>
      <xdr:row>2</xdr:row>
      <xdr:rowOff>91441</xdr:rowOff>
    </xdr:from>
    <xdr:to>
      <xdr:col>20</xdr:col>
      <xdr:colOff>1086</xdr:colOff>
      <xdr:row>5</xdr:row>
      <xdr:rowOff>69668</xdr:rowOff>
    </xdr:to>
    <xdr:sp macro="" textlink="">
      <xdr:nvSpPr>
        <xdr:cNvPr id="44" name="Oval 43">
          <a:extLst>
            <a:ext uri="{FF2B5EF4-FFF2-40B4-BE49-F238E27FC236}">
              <a16:creationId xmlns:a16="http://schemas.microsoft.com/office/drawing/2014/main" id="{B74C874D-EA8E-C8CC-2DB5-5A8D89305959}"/>
            </a:ext>
          </a:extLst>
        </xdr:cNvPr>
        <xdr:cNvSpPr/>
      </xdr:nvSpPr>
      <xdr:spPr>
        <a:xfrm>
          <a:off x="11659687" y="457201"/>
          <a:ext cx="533399" cy="526867"/>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411480</xdr:colOff>
      <xdr:row>2</xdr:row>
      <xdr:rowOff>160020</xdr:rowOff>
    </xdr:from>
    <xdr:to>
      <xdr:col>10</xdr:col>
      <xdr:colOff>144780</xdr:colOff>
      <xdr:row>4</xdr:row>
      <xdr:rowOff>137160</xdr:rowOff>
    </xdr:to>
    <xdr:pic>
      <xdr:nvPicPr>
        <xdr:cNvPr id="46" name="Picture 45">
          <a:extLst>
            <a:ext uri="{FF2B5EF4-FFF2-40B4-BE49-F238E27FC236}">
              <a16:creationId xmlns:a16="http://schemas.microsoft.com/office/drawing/2014/main" id="{F71F43CE-94D6-F868-49DA-90C95E72CD61}"/>
            </a:ext>
          </a:extLst>
        </xdr:cNvPr>
        <xdr:cNvPicPr>
          <a:picLocks noChangeAspect="1"/>
        </xdr:cNvPicPr>
      </xdr:nvPicPr>
      <xdr:blipFill>
        <a:blip xmlns:r="http://schemas.openxmlformats.org/officeDocument/2006/relationships" r:embed="rId10"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897880" y="525780"/>
          <a:ext cx="342900" cy="342900"/>
        </a:xfrm>
        <a:prstGeom prst="rect">
          <a:avLst/>
        </a:prstGeom>
      </xdr:spPr>
    </xdr:pic>
    <xdr:clientData/>
  </xdr:twoCellAnchor>
  <xdr:twoCellAnchor editAs="oneCell">
    <xdr:from>
      <xdr:col>14</xdr:col>
      <xdr:colOff>289561</xdr:colOff>
      <xdr:row>3</xdr:row>
      <xdr:rowOff>22861</xdr:rowOff>
    </xdr:from>
    <xdr:to>
      <xdr:col>14</xdr:col>
      <xdr:colOff>594360</xdr:colOff>
      <xdr:row>4</xdr:row>
      <xdr:rowOff>144780</xdr:rowOff>
    </xdr:to>
    <xdr:pic>
      <xdr:nvPicPr>
        <xdr:cNvPr id="48" name="Picture 47">
          <a:extLst>
            <a:ext uri="{FF2B5EF4-FFF2-40B4-BE49-F238E27FC236}">
              <a16:creationId xmlns:a16="http://schemas.microsoft.com/office/drawing/2014/main" id="{0D514E83-F5F2-B9CD-1DAD-00FDB12A7E2C}"/>
            </a:ext>
          </a:extLst>
        </xdr:cNvPr>
        <xdr:cNvPicPr>
          <a:picLocks noChangeAspect="1"/>
        </xdr:cNvPicPr>
      </xdr:nvPicPr>
      <xdr:blipFill>
        <a:blip xmlns:r="http://schemas.openxmlformats.org/officeDocument/2006/relationships" r:embed="rId1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823961" y="571501"/>
          <a:ext cx="304799" cy="304799"/>
        </a:xfrm>
        <a:prstGeom prst="rect">
          <a:avLst/>
        </a:prstGeom>
      </xdr:spPr>
    </xdr:pic>
    <xdr:clientData/>
  </xdr:twoCellAnchor>
  <xdr:twoCellAnchor editAs="oneCell">
    <xdr:from>
      <xdr:col>19</xdr:col>
      <xdr:colOff>144781</xdr:colOff>
      <xdr:row>2</xdr:row>
      <xdr:rowOff>152401</xdr:rowOff>
    </xdr:from>
    <xdr:to>
      <xdr:col>19</xdr:col>
      <xdr:colOff>518160</xdr:colOff>
      <xdr:row>4</xdr:row>
      <xdr:rowOff>160020</xdr:rowOff>
    </xdr:to>
    <xdr:pic>
      <xdr:nvPicPr>
        <xdr:cNvPr id="50" name="Picture 49">
          <a:extLst>
            <a:ext uri="{FF2B5EF4-FFF2-40B4-BE49-F238E27FC236}">
              <a16:creationId xmlns:a16="http://schemas.microsoft.com/office/drawing/2014/main" id="{66C3F884-C2E1-4F12-DBE8-5D603DBBC822}"/>
            </a:ext>
          </a:extLst>
        </xdr:cNvPr>
        <xdr:cNvPicPr>
          <a:picLocks noChangeAspect="1"/>
        </xdr:cNvPicPr>
      </xdr:nvPicPr>
      <xdr:blipFill>
        <a:blip xmlns:r="http://schemas.openxmlformats.org/officeDocument/2006/relationships" r:embed="rId1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1727181" y="518161"/>
          <a:ext cx="373379" cy="373379"/>
        </a:xfrm>
        <a:prstGeom prst="rect">
          <a:avLst/>
        </a:prstGeom>
      </xdr:spPr>
    </xdr:pic>
    <xdr:clientData/>
  </xdr:twoCellAnchor>
  <xdr:twoCellAnchor editAs="oneCell">
    <xdr:from>
      <xdr:col>4</xdr:col>
      <xdr:colOff>502920</xdr:colOff>
      <xdr:row>2</xdr:row>
      <xdr:rowOff>137160</xdr:rowOff>
    </xdr:from>
    <xdr:to>
      <xdr:col>5</xdr:col>
      <xdr:colOff>289560</xdr:colOff>
      <xdr:row>4</xdr:row>
      <xdr:rowOff>167640</xdr:rowOff>
    </xdr:to>
    <xdr:pic>
      <xdr:nvPicPr>
        <xdr:cNvPr id="52" name="Picture 51">
          <a:extLst>
            <a:ext uri="{FF2B5EF4-FFF2-40B4-BE49-F238E27FC236}">
              <a16:creationId xmlns:a16="http://schemas.microsoft.com/office/drawing/2014/main" id="{7592C660-B7B9-8B1A-43BB-577B636385C0}"/>
            </a:ext>
          </a:extLst>
        </xdr:cNvPr>
        <xdr:cNvPicPr>
          <a:picLocks noChangeAspect="1"/>
        </xdr:cNvPicPr>
      </xdr:nvPicPr>
      <xdr:blipFill>
        <a:blip xmlns:r="http://schemas.openxmlformats.org/officeDocument/2006/relationships" r:embed="rId1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2941320" y="502920"/>
          <a:ext cx="396240" cy="3962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NATHANOGANA" refreshedDate="46140.624405324073" createdVersion="8" refreshedVersion="8" minRefreshableVersion="3" recordCount="1200" xr:uid="{584D580B-58FE-44DD-BDF9-80A08B4EAB4B}">
  <cacheSource type="worksheet">
    <worksheetSource name="Table1_1"/>
  </cacheSource>
  <cacheFields count="20">
    <cacheField name="employee_id" numFmtId="0">
      <sharedItems count="100">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haredItems>
    </cacheField>
    <cacheField name="department" numFmtId="0">
      <sharedItems count="5">
        <s v="HR"/>
        <s v="IT"/>
        <s v="Marketing"/>
        <s v="Finance"/>
        <s v="Sales"/>
      </sharedItems>
    </cacheField>
    <cacheField name="job_role" numFmtId="0">
      <sharedItems count="5">
        <s v="Manager"/>
        <s v="Executive"/>
        <s v="Developer"/>
        <s v="Analyst"/>
        <s v="Associate"/>
      </sharedItems>
    </cacheField>
    <cacheField name="education_level" numFmtId="0">
      <sharedItems/>
    </cacheField>
    <cacheField name="years_at_company" numFmtId="0">
      <sharedItems containsSemiMixedTypes="0" containsString="0" containsNumber="1" containsInteger="1" minValue="1" maxValue="10"/>
    </cacheField>
    <cacheField name="monthly_hours_worked" numFmtId="0">
      <sharedItems containsSemiMixedTypes="0" containsString="0" containsNumber="1" minValue="127.5" maxValue="191"/>
    </cacheField>
    <cacheField name="attendance_rate" numFmtId="0">
      <sharedItems containsSemiMixedTypes="0" containsString="0" containsNumber="1" minValue="78.099999999999994" maxValue="100" count="173">
        <n v="97.6"/>
        <n v="100"/>
        <n v="92.4"/>
        <n v="88"/>
        <n v="98.1"/>
        <n v="89"/>
        <n v="96.8"/>
        <n v="99.8"/>
        <n v="90.9"/>
        <n v="92.8"/>
        <n v="98.9"/>
        <n v="94.9"/>
        <n v="90.7"/>
        <n v="86.3"/>
        <n v="95.4"/>
        <n v="85"/>
        <n v="94.5"/>
        <n v="99.6"/>
        <n v="96"/>
        <n v="94.6"/>
        <n v="95.1"/>
        <n v="89.7"/>
        <n v="85.9"/>
        <n v="91.6"/>
        <n v="95.2"/>
        <n v="99.5"/>
        <n v="96.1"/>
        <n v="94"/>
        <n v="82.7"/>
        <n v="84.4"/>
        <n v="92.6"/>
        <n v="97.3"/>
        <n v="86.6"/>
        <n v="98.2"/>
        <n v="92.9"/>
        <n v="83.3"/>
        <n v="99.1"/>
        <n v="87.7"/>
        <n v="97.2"/>
        <n v="98.3"/>
        <n v="94.2"/>
        <n v="89.4"/>
        <n v="93.1"/>
        <n v="91.9"/>
        <n v="88.7"/>
        <n v="90.1"/>
        <n v="97.8"/>
        <n v="93.9"/>
        <n v="95.7"/>
        <n v="93.6"/>
        <n v="93.5"/>
        <n v="91.7"/>
        <n v="92.5"/>
        <n v="90.6"/>
        <n v="93"/>
        <n v="88.9"/>
        <n v="91.5"/>
        <n v="87.8"/>
        <n v="89.5"/>
        <n v="99.4"/>
        <n v="92.1"/>
        <n v="96.3"/>
        <n v="90.5"/>
        <n v="84.6"/>
        <n v="84.2"/>
        <n v="95.9"/>
        <n v="90.2"/>
        <n v="93.7"/>
        <n v="95"/>
        <n v="89.9"/>
        <n v="93.4"/>
        <n v="89.1"/>
        <n v="94.3"/>
        <n v="99.3"/>
        <n v="99.9"/>
        <n v="97"/>
        <n v="94.8"/>
        <n v="92"/>
        <n v="92.7"/>
        <n v="90.8"/>
        <n v="97.7"/>
        <n v="99"/>
        <n v="97.9"/>
        <n v="96.4"/>
        <n v="91.2"/>
        <n v="90"/>
        <n v="87.4"/>
        <n v="94.1"/>
        <n v="95.3"/>
        <n v="96.5"/>
        <n v="95.5"/>
        <n v="91.8"/>
        <n v="97.1"/>
        <n v="88.4"/>
        <n v="80.3"/>
        <n v="90.3"/>
        <n v="93.2"/>
        <n v="91.4"/>
        <n v="98.5"/>
        <n v="98.7"/>
        <n v="78.099999999999994"/>
        <n v="88.2"/>
        <n v="97.5"/>
        <n v="88.6"/>
        <n v="93.3"/>
        <n v="93.8"/>
        <n v="98.6"/>
        <n v="97.4"/>
        <n v="83.4"/>
        <n v="96.7"/>
        <n v="99.2"/>
        <n v="98.8"/>
        <n v="86.9"/>
        <n v="88.5"/>
        <n v="92.3"/>
        <n v="98"/>
        <n v="80.2"/>
        <n v="88.8"/>
        <n v="78.3"/>
        <n v="91"/>
        <n v="85.2"/>
        <n v="96.2"/>
        <n v="83.1"/>
        <n v="91.3"/>
        <n v="80.5"/>
        <n v="85.6"/>
        <n v="99.7"/>
        <n v="89.6"/>
        <n v="85.5"/>
        <n v="95.8"/>
        <n v="83.8"/>
        <n v="88.3"/>
        <n v="85.3"/>
        <n v="86.8"/>
        <n v="95.6"/>
        <n v="85.4"/>
        <n v="85.8"/>
        <n v="88.1"/>
        <n v="92.2"/>
        <n v="91.1"/>
        <n v="84.1"/>
        <n v="87.6"/>
        <n v="83.7"/>
        <n v="98.4"/>
        <n v="81.3"/>
        <n v="96.6"/>
        <n v="85.1"/>
        <n v="94.7"/>
        <n v="89.2"/>
        <n v="94.4"/>
        <n v="83.2"/>
        <n v="87.3"/>
        <n v="81.599999999999994"/>
        <n v="82.5"/>
        <n v="89.8"/>
        <n v="84.5"/>
        <n v="84.9"/>
        <n v="96.9"/>
        <n v="90.4"/>
        <n v="84"/>
        <n v="87.2"/>
        <n v="86.4"/>
        <n v="86.1"/>
        <n v="87"/>
        <n v="86.7"/>
        <n v="80.900000000000006"/>
        <n v="82.6"/>
        <n v="89.3"/>
        <n v="86.2"/>
        <n v="82.2"/>
        <n v="87.5"/>
        <n v="87.9"/>
        <n v="86.5"/>
      </sharedItems>
      <fieldGroup base="6">
        <rangePr startNum="78.099999999999994" endNum="100" groupInterval="10"/>
        <groupItems count="5">
          <s v="&lt;78.1"/>
          <s v="78.1-88.1"/>
          <s v="88.1-98.1"/>
          <s v="98.1-108.1"/>
          <s v="&gt;108.1"/>
        </groupItems>
      </fieldGroup>
    </cacheField>
    <cacheField name="training_hours" numFmtId="0">
      <sharedItems containsString="0" containsBlank="1" containsNumber="1" minValue="0" maxValue="11.3" count="105">
        <n v="5.9"/>
        <n v="0.1"/>
        <n v="3.8"/>
        <n v="0.6"/>
        <m/>
        <n v="6.6"/>
        <n v="8"/>
        <n v="3.6"/>
        <n v="4"/>
        <n v="3.7"/>
        <n v="6.2"/>
        <n v="2.5"/>
        <n v="7.7"/>
        <n v="2.9"/>
        <n v="2.2999999999999998"/>
        <n v="6.8"/>
        <n v="3.2"/>
        <n v="3.3"/>
        <n v="1"/>
        <n v="6.4"/>
        <n v="5.4"/>
        <n v="4.0999999999999996"/>
        <n v="4.7"/>
        <n v="6"/>
        <n v="1.2"/>
        <n v="7.3"/>
        <n v="3.9"/>
        <n v="4.5999999999999996"/>
        <n v="1.5"/>
        <n v="5.0999999999999996"/>
        <n v="3.4"/>
        <n v="3.5"/>
        <n v="5.6"/>
        <n v="0.4"/>
        <n v="7.6"/>
        <n v="5.5"/>
        <n v="7.2"/>
        <n v="2.2000000000000002"/>
        <n v="10.1"/>
        <n v="9"/>
        <n v="4.4000000000000004"/>
        <n v="5.7"/>
        <n v="5.3"/>
        <n v="4.2"/>
        <n v="4.3"/>
        <n v="5.2"/>
        <n v="4.9000000000000004"/>
        <n v="8.3000000000000007"/>
        <n v="7"/>
        <n v="1.9"/>
        <n v="0.5"/>
        <n v="4.5"/>
        <n v="0.2"/>
        <n v="6.9"/>
        <n v="5.8"/>
        <n v="7.4"/>
        <n v="9.9"/>
        <n v="2.6"/>
        <n v="6.1"/>
        <n v="2"/>
        <n v="6.5"/>
        <n v="9.3000000000000007"/>
        <n v="8.6999999999999993"/>
        <n v="0.3"/>
        <n v="5"/>
        <n v="7.9"/>
        <n v="4.8"/>
        <n v="2.8"/>
        <n v="6.3"/>
        <n v="7.5"/>
        <n v="1.6"/>
        <n v="1.8"/>
        <n v="8.4"/>
        <n v="7.1"/>
        <n v="2.7"/>
        <n v="6.7"/>
        <n v="1.7"/>
        <n v="1.1000000000000001"/>
        <n v="2.4"/>
        <n v="2.1"/>
        <n v="1.3"/>
        <n v="3"/>
        <n v="10.4"/>
        <n v="3.1"/>
        <n v="10"/>
        <n v="8.1999999999999993"/>
        <n v="8.1"/>
        <n v="7.8"/>
        <n v="8.8000000000000007"/>
        <n v="9.1999999999999993"/>
        <n v="1.4"/>
        <n v="9.1"/>
        <n v="0"/>
        <n v="9.4"/>
        <n v="10.3"/>
        <n v="8.9"/>
        <n v="0.9"/>
        <n v="0.7"/>
        <n v="0.8"/>
        <n v="9.5"/>
        <n v="10.9"/>
        <n v="10.5"/>
        <n v="9.6999999999999993"/>
        <n v="11.3"/>
        <n v="8.5"/>
      </sharedItems>
      <fieldGroup base="7">
        <rangePr startNum="0" endNum="11.3"/>
        <groupItems count="14">
          <s v="(blank)"/>
          <s v="0-1"/>
          <s v="1-2"/>
          <s v="2-3"/>
          <s v="3-4"/>
          <s v="4-5"/>
          <s v="5-6"/>
          <s v="6-7"/>
          <s v="7-8"/>
          <s v="8-9"/>
          <s v="9-10"/>
          <s v="10-11"/>
          <s v="11-12"/>
          <s v="&gt;12"/>
        </groupItems>
      </fieldGroup>
    </cacheField>
    <cacheField name="tasks_completed" numFmtId="0">
      <sharedItems containsSemiMixedTypes="0" containsString="0" containsNumber="1" containsInteger="1" minValue="0" maxValue="15" count="16">
        <n v="4"/>
        <n v="3"/>
        <n v="12"/>
        <n v="9"/>
        <n v="6"/>
        <n v="7"/>
        <n v="8"/>
        <n v="10"/>
        <n v="5"/>
        <n v="11"/>
        <n v="2"/>
        <n v="0"/>
        <n v="1"/>
        <n v="14"/>
        <n v="15"/>
        <n v="13"/>
      </sharedItems>
    </cacheField>
    <cacheField name="peer_review_score" numFmtId="0">
      <sharedItems containsString="0" containsBlank="1" containsNumber="1" minValue="2.79" maxValue="10"/>
    </cacheField>
    <cacheField name="manager_rating" numFmtId="0">
      <sharedItems containsSemiMixedTypes="0" containsString="0" containsNumber="1" minValue="1" maxValue="10" count="552">
        <n v="6.03"/>
        <n v="4.05"/>
        <n v="8.65"/>
        <n v="5.31"/>
        <n v="7.66"/>
        <n v="7.17"/>
        <n v="8.83"/>
        <n v="1.69"/>
        <n v="9.17"/>
        <n v="9.2899999999999991"/>
        <n v="10"/>
        <n v="7.03"/>
        <n v="7.35"/>
        <n v="9.6"/>
        <n v="6.1"/>
        <n v="4.95"/>
        <n v="6.77"/>
        <n v="6.53"/>
        <n v="7.81"/>
        <n v="5.91"/>
        <n v="8.9"/>
        <n v="8.5299999999999994"/>
        <n v="7.65"/>
        <n v="9.31"/>
        <n v="9.89"/>
        <n v="7.14"/>
        <n v="5.03"/>
        <n v="6.85"/>
        <n v="7.44"/>
        <n v="7.72"/>
        <n v="3.95"/>
        <n v="5.99"/>
        <n v="6.78"/>
        <n v="7.8"/>
        <n v="5.71"/>
        <n v="2.84"/>
        <n v="7.78"/>
        <n v="8.9700000000000006"/>
        <n v="8.16"/>
        <n v="7.04"/>
        <n v="6.3"/>
        <n v="4.88"/>
        <n v="5.25"/>
        <n v="6.62"/>
        <n v="5.4"/>
        <n v="3.93"/>
        <n v="8.8699999999999992"/>
        <n v="5.79"/>
        <n v="5"/>
        <n v="7.51"/>
        <n v="6.55"/>
        <n v="7.47"/>
        <n v="7.86"/>
        <n v="9.7100000000000009"/>
        <n v="9.06"/>
        <n v="6.12"/>
        <n v="3.28"/>
        <n v="7.33"/>
        <n v="6.93"/>
        <n v="4.66"/>
        <n v="8.64"/>
        <n v="8.5399999999999991"/>
        <n v="4.5"/>
        <n v="6.65"/>
        <n v="6.99"/>
        <n v="8.84"/>
        <n v="6.56"/>
        <n v="8.01"/>
        <n v="6.18"/>
        <n v="6.06"/>
        <n v="8.69"/>
        <n v="4.53"/>
        <n v="6.79"/>
        <n v="6.87"/>
        <n v="9.68"/>
        <n v="8.9600000000000009"/>
        <n v="4.57"/>
        <n v="6.73"/>
        <n v="5.65"/>
        <n v="4.3499999999999996"/>
        <n v="8.14"/>
        <n v="5.76"/>
        <n v="6.98"/>
        <n v="9.18"/>
        <n v="8.42"/>
        <n v="3.01"/>
        <n v="4.93"/>
        <n v="8.02"/>
        <n v="7.3"/>
        <n v="5.85"/>
        <n v="6.97"/>
        <n v="8.36"/>
        <n v="7.18"/>
        <n v="7.57"/>
        <n v="9.91"/>
        <n v="7.61"/>
        <n v="9.25"/>
        <n v="7.79"/>
        <n v="9.0500000000000007"/>
        <n v="6.83"/>
        <n v="4.18"/>
        <n v="1.57"/>
        <n v="6.8"/>
        <n v="9.11"/>
        <n v="4.78"/>
        <n v="5.74"/>
        <n v="4.43"/>
        <n v="7.07"/>
        <n v="8.4700000000000006"/>
        <n v="6.36"/>
        <n v="7.69"/>
        <n v="5.93"/>
        <n v="3.6"/>
        <n v="5.96"/>
        <n v="7.71"/>
        <n v="4.1900000000000004"/>
        <n v="5.23"/>
        <n v="9.1"/>
        <n v="9.66"/>
        <n v="3.08"/>
        <n v="6.38"/>
        <n v="5.38"/>
        <n v="3.4"/>
        <n v="7.53"/>
        <n v="6.9"/>
        <n v="6.61"/>
        <n v="5.0599999999999996"/>
        <n v="7.36"/>
        <n v="5.57"/>
        <n v="5.29"/>
        <n v="5.61"/>
        <n v="9.85"/>
        <n v="2.15"/>
        <n v="9.08"/>
        <n v="8.23"/>
        <n v="8.35"/>
        <n v="8.91"/>
        <n v="7.85"/>
        <n v="8.32"/>
        <n v="7.02"/>
        <n v="5.81"/>
        <n v="5.8"/>
        <n v="8.27"/>
        <n v="7.97"/>
        <n v="2.69"/>
        <n v="6.22"/>
        <n v="4.7699999999999996"/>
        <n v="7.39"/>
        <n v="6.57"/>
        <n v="5.33"/>
        <n v="4.42"/>
        <n v="6.51"/>
        <n v="6.21"/>
        <n v="9.1300000000000008"/>
        <n v="2.36"/>
        <n v="5.58"/>
        <n v="9.98"/>
        <n v="5.01"/>
        <n v="4.32"/>
        <n v="6.63"/>
        <n v="7.21"/>
        <n v="7.59"/>
        <n v="9.07"/>
        <n v="5.37"/>
        <n v="6.74"/>
        <n v="9.24"/>
        <n v="9.4600000000000009"/>
        <n v="9.74"/>
        <n v="7.23"/>
        <n v="4.8"/>
        <n v="4.24"/>
        <n v="9.34"/>
        <n v="6.14"/>
        <n v="9.42"/>
        <n v="8.75"/>
        <n v="8.6"/>
        <n v="4.9400000000000004"/>
        <n v="3.69"/>
        <n v="6.08"/>
        <n v="6.95"/>
        <n v="2.4900000000000002"/>
        <n v="6.81"/>
        <n v="4.7300000000000004"/>
        <n v="6.64"/>
        <n v="1.19"/>
        <n v="7.77"/>
        <n v="6.25"/>
        <n v="3.66"/>
        <n v="8.8000000000000007"/>
        <n v="6.89"/>
        <n v="8.31"/>
        <n v="3.84"/>
        <n v="6.28"/>
        <n v="7.76"/>
        <n v="5.04"/>
        <n v="5.46"/>
        <n v="5.82"/>
        <n v="6.04"/>
        <n v="7.1"/>
        <n v="8.24"/>
        <n v="8.06"/>
        <n v="5.84"/>
        <n v="5.14"/>
        <n v="8.92"/>
        <n v="3.82"/>
        <n v="7.7"/>
        <n v="3.92"/>
        <n v="4.51"/>
        <n v="7.31"/>
        <n v="7.32"/>
        <n v="9.5299999999999994"/>
        <n v="7.9"/>
        <n v="7.12"/>
        <n v="7.43"/>
        <n v="7.64"/>
        <n v="8.58"/>
        <n v="7.5"/>
        <n v="4.8899999999999997"/>
        <n v="6.2"/>
        <n v="7.92"/>
        <n v="6.34"/>
        <n v="7.74"/>
        <n v="6.75"/>
        <n v="7.63"/>
        <n v="5.78"/>
        <n v="6.69"/>
        <n v="3.97"/>
        <n v="3.19"/>
        <n v="5.64"/>
        <n v="6.66"/>
        <n v="3.78"/>
        <n v="6.42"/>
        <n v="4.1399999999999997"/>
        <n v="3.71"/>
        <n v="7.89"/>
        <n v="9.8699999999999992"/>
        <n v="9.2100000000000009"/>
        <n v="7.83"/>
        <n v="7.29"/>
        <n v="6.24"/>
        <n v="6.05"/>
        <n v="9.09"/>
        <n v="7.26"/>
        <n v="6.5"/>
        <n v="5.44"/>
        <n v="7.16"/>
        <n v="6.07"/>
        <n v="8.1"/>
        <n v="5.0199999999999996"/>
        <n v="5.26"/>
        <n v="6.68"/>
        <n v="9.7200000000000006"/>
        <n v="4.46"/>
        <n v="7.2"/>
        <n v="6.43"/>
        <n v="8.93"/>
        <n v="8.8800000000000008"/>
        <n v="6.92"/>
        <n v="4.8499999999999996"/>
        <n v="6.35"/>
        <n v="9.94"/>
        <n v="7.62"/>
        <n v="7.82"/>
        <n v="5.42"/>
        <n v="3.86"/>
        <n v="4.6500000000000004"/>
        <n v="8.26"/>
        <n v="1.85"/>
        <n v="7.37"/>
        <n v="7.24"/>
        <n v="6.23"/>
        <n v="4.87"/>
        <n v="9.93"/>
        <n v="3.35"/>
        <n v="9.82"/>
        <n v="9.61"/>
        <n v="5.72"/>
        <n v="9.5"/>
        <n v="8.2899999999999991"/>
        <n v="7.96"/>
        <n v="6.15"/>
        <n v="5.24"/>
        <n v="8.4499999999999993"/>
        <n v="8.4"/>
        <n v="4.03"/>
        <n v="8.76"/>
        <n v="9.65"/>
        <n v="7.95"/>
        <n v="9.26"/>
        <n v="9.4499999999999993"/>
        <n v="7.67"/>
        <n v="5.62"/>
        <n v="8.68"/>
        <n v="5.28"/>
        <n v="7.27"/>
        <n v="8.2200000000000006"/>
        <n v="4.71"/>
        <n v="5.05"/>
        <n v="5.08"/>
        <n v="7.45"/>
        <n v="8.52"/>
        <n v="8.59"/>
        <n v="5.87"/>
        <n v="8.7100000000000009"/>
        <n v="6.86"/>
        <n v="7.68"/>
        <n v="2.46"/>
        <n v="7.58"/>
        <n v="4.01"/>
        <n v="5.1100000000000003"/>
        <n v="6.46"/>
        <n v="4.22"/>
        <n v="3.9"/>
        <n v="7.19"/>
        <n v="5.2"/>
        <n v="5.15"/>
        <n v="2.52"/>
        <n v="9.4"/>
        <n v="4.41"/>
        <n v="8.49"/>
        <n v="8.41"/>
        <n v="4.12"/>
        <n v="5.45"/>
        <n v="4.4400000000000004"/>
        <n v="4.0599999999999996"/>
        <n v="4.83"/>
        <n v="2.54"/>
        <n v="8.3800000000000008"/>
        <n v="2.85"/>
        <n v="2.0699999999999998"/>
        <n v="8.48"/>
        <n v="6.19"/>
        <n v="9.0299999999999994"/>
        <n v="3.34"/>
        <n v="7.56"/>
        <n v="4.79"/>
        <n v="4.55"/>
        <n v="4.6399999999999997"/>
        <n v="8"/>
        <n v="5.94"/>
        <n v="5.43"/>
        <n v="7.01"/>
        <n v="7.93"/>
        <n v="6.37"/>
        <n v="8.5500000000000007"/>
        <n v="6.94"/>
        <n v="3.57"/>
        <n v="8.08"/>
        <n v="4.82"/>
        <n v="7.54"/>
        <n v="5.17"/>
        <n v="1"/>
        <n v="7.46"/>
        <n v="7.15"/>
        <n v="9.2200000000000006"/>
        <n v="5.51"/>
        <n v="9.6300000000000008"/>
        <n v="8.5"/>
        <n v="9.0399999999999991"/>
        <n v="6.76"/>
        <n v="7.94"/>
        <n v="5.13"/>
        <n v="1.72"/>
        <n v="7.87"/>
        <n v="5.27"/>
        <n v="5.36"/>
        <n v="4.67"/>
        <n v="3.98"/>
        <n v="3.25"/>
        <n v="7.08"/>
        <n v="8.0399999999999991"/>
        <n v="5.18"/>
        <n v="4.9800000000000004"/>
        <n v="5.92"/>
        <n v="6.47"/>
        <n v="6.49"/>
        <n v="5.39"/>
        <n v="5.6"/>
        <n v="9.99"/>
        <n v="8.4600000000000009"/>
        <n v="8.94"/>
        <n v="8.15"/>
        <n v="3.64"/>
        <n v="6.58"/>
        <n v="6.26"/>
        <n v="7.98"/>
        <n v="6.48"/>
        <n v="4.26"/>
        <n v="6.71"/>
        <n v="7.28"/>
        <n v="3.38"/>
        <n v="5.07"/>
        <n v="4.9000000000000004"/>
        <n v="3.49"/>
        <n v="3.63"/>
        <n v="9.32"/>
        <n v="3.7"/>
        <n v="3.99"/>
        <n v="8.43"/>
        <n v="3.17"/>
        <n v="5.83"/>
        <n v="4.5199999999999996"/>
        <n v="3.72"/>
        <n v="4.91"/>
        <n v="5.3"/>
        <n v="9.01"/>
        <n v="9.33"/>
        <n v="7.13"/>
        <n v="9.36"/>
        <n v="8.74"/>
        <n v="9.9600000000000009"/>
        <n v="7.49"/>
        <n v="7.6"/>
        <n v="6.4"/>
        <n v="4.33"/>
        <n v="6.27"/>
        <n v="6.39"/>
        <n v="7.84"/>
        <n v="7.4"/>
        <n v="3.61"/>
        <n v="3.58"/>
        <n v="5.12"/>
        <n v="9.67"/>
        <n v="8.56"/>
        <n v="5.41"/>
        <n v="8.86"/>
        <n v="6.33"/>
        <n v="7"/>
        <n v="8.73"/>
        <n v="5.77"/>
        <n v="4.0199999999999996"/>
        <n v="4.21"/>
        <n v="6.16"/>
        <n v="4.2699999999999996"/>
        <n v="9"/>
        <n v="5.35"/>
        <n v="7.88"/>
        <n v="8.11"/>
        <n v="4.63"/>
        <n v="6.41"/>
        <n v="3.56"/>
        <n v="7.09"/>
        <n v="5.89"/>
        <n v="9.15"/>
        <n v="5.22"/>
        <n v="8.9499999999999993"/>
        <n v="3.59"/>
        <n v="4"/>
        <n v="4.4000000000000004"/>
        <n v="8.2799999999999994"/>
        <n v="9.19"/>
        <n v="9.9499999999999993"/>
        <n v="5.19"/>
        <n v="5.69"/>
        <n v="6.88"/>
        <n v="9.84"/>
        <n v="3.29"/>
        <n v="3.67"/>
        <n v="7.34"/>
        <n v="9.2799999999999994"/>
        <n v="3.22"/>
        <n v="4.92"/>
        <n v="8.1199999999999992"/>
        <n v="5.63"/>
        <n v="3.77"/>
        <n v="9.35"/>
        <n v="4.68"/>
        <n v="8.39"/>
        <n v="6.96"/>
        <n v="4.28"/>
        <n v="5.52"/>
        <n v="2.9"/>
        <n v="3.85"/>
        <n v="2.2400000000000002"/>
        <n v="5.66"/>
        <n v="6.59"/>
        <n v="7.75"/>
        <n v="9.5500000000000007"/>
        <n v="8.7200000000000006"/>
        <n v="4.0999999999999996"/>
        <n v="6.09"/>
        <n v="7.73"/>
        <n v="9.3000000000000007"/>
        <n v="9.02"/>
        <n v="4.2300000000000004"/>
        <n v="6.82"/>
        <n v="8.51"/>
        <n v="8.18"/>
        <n v="8.85"/>
        <n v="4.6900000000000004"/>
        <n v="6"/>
        <n v="4.76"/>
        <n v="4.74"/>
        <n v="3.74"/>
        <n v="6.7"/>
        <n v="6.11"/>
        <n v="8.0299999999999994"/>
        <n v="6.67"/>
        <n v="9.92"/>
        <n v="4.6100000000000003"/>
        <n v="5.75"/>
        <n v="4.3899999999999997"/>
        <n v="5.32"/>
        <n v="6.45"/>
        <n v="6.01"/>
        <n v="9.57"/>
        <n v="4.2"/>
        <n v="4.5999999999999996"/>
        <n v="8.7899999999999991"/>
        <n v="8.3000000000000007"/>
        <n v="4.13"/>
        <n v="8.33"/>
        <n v="7.38"/>
        <n v="8.44"/>
        <n v="5.55"/>
        <n v="8.81"/>
        <n v="4.62"/>
        <n v="3.81"/>
        <n v="6.52"/>
        <n v="9.83"/>
        <n v="8.07"/>
        <n v="9.3800000000000008"/>
        <n v="4.1500000000000004"/>
        <n v="5.59"/>
        <n v="9.76"/>
        <n v="9.27"/>
        <n v="7.52"/>
        <n v="8.77"/>
        <n v="8.67"/>
        <n v="3.45"/>
        <n v="7.25"/>
        <n v="2.96"/>
        <n v="8.17"/>
        <n v="5.73"/>
        <n v="9.39"/>
        <n v="5.56"/>
        <n v="9.56"/>
        <n v="9.77"/>
        <n v="5.88"/>
        <n v="3.51"/>
        <n v="5.47"/>
        <n v="6.54"/>
        <n v="4.3099999999999996"/>
        <n v="5.48"/>
        <n v="5.98"/>
        <n v="5.09"/>
        <n v="8.6199999999999992"/>
        <n v="9.3699999999999992"/>
        <n v="8.1999999999999993"/>
        <n v="8.61"/>
        <n v="5.21"/>
        <n v="4.97"/>
      </sharedItems>
    </cacheField>
    <cacheField name="promotions_last_3years" numFmtId="0">
      <sharedItems containsSemiMixedTypes="0" containsString="0" containsNumber="1" containsInteger="1" minValue="0" maxValue="2" count="3">
        <n v="1"/>
        <n v="2"/>
        <n v="0"/>
      </sharedItems>
    </cacheField>
    <cacheField name="salary_band" numFmtId="0">
      <sharedItems count="3">
        <s v="Medium"/>
        <s v="Low"/>
        <s v="High"/>
      </sharedItems>
    </cacheField>
    <cacheField name="work_location" numFmtId="0">
      <sharedItems count="3">
        <s v="Onsite"/>
        <s v="Hybrid"/>
        <s v="Remote"/>
      </sharedItems>
    </cacheField>
    <cacheField name="performance_score" numFmtId="0">
      <sharedItems containsSemiMixedTypes="0" containsString="0" containsNumber="1" minValue="0" maxValue="30.89" count="871">
        <n v="14.66"/>
        <n v="20.21"/>
        <n v="7.4"/>
        <n v="10.69"/>
        <n v="18.920000000000002"/>
        <n v="12.73"/>
        <n v="15.25"/>
        <n v="14.38"/>
        <n v="17.84"/>
        <n v="17.53"/>
        <n v="17.88"/>
        <n v="15.65"/>
        <n v="7.64"/>
        <n v="8.39"/>
        <n v="16.64"/>
        <n v="5.99"/>
        <n v="15.83"/>
        <n v="22.93"/>
        <n v="16.32"/>
        <n v="23.71"/>
        <n v="17.350000000000001"/>
        <n v="8.49"/>
        <n v="20.6"/>
        <n v="8.2799999999999994"/>
        <n v="12.45"/>
        <n v="22.25"/>
        <n v="12.04"/>
        <n v="5.33"/>
        <n v="18.75"/>
        <n v="10.38"/>
        <n v="12.14"/>
        <n v="10.08"/>
        <n v="10.26"/>
        <n v="23.88"/>
        <n v="19.09"/>
        <n v="19.489999999999998"/>
        <n v="11.54"/>
        <n v="9.6199999999999992"/>
        <n v="5.48"/>
        <n v="12.41"/>
        <n v="12.76"/>
        <n v="18.91"/>
        <n v="9.33"/>
        <n v="16.309999999999999"/>
        <n v="22.34"/>
        <n v="10.89"/>
        <n v="11.51"/>
        <n v="13.13"/>
        <n v="17.309999999999999"/>
        <n v="16.45"/>
        <n v="11.63"/>
        <n v="26.28"/>
        <n v="13.69"/>
        <n v="21"/>
        <n v="22.13"/>
        <n v="18.5"/>
        <n v="19.68"/>
        <n v="14.7"/>
        <n v="10.55"/>
        <n v="15.64"/>
        <n v="7.0000000000000007E-2"/>
        <n v="6.24"/>
        <n v="7.16"/>
        <n v="10.46"/>
        <n v="15.72"/>
        <n v="11.15"/>
        <n v="23.68"/>
        <n v="6.7"/>
        <n v="15.97"/>
        <n v="13.86"/>
        <n v="15.29"/>
        <n v="19.52"/>
        <n v="21.06"/>
        <n v="9.09"/>
        <n v="6.72"/>
        <n v="9.56"/>
        <n v="4.12"/>
        <n v="14.35"/>
        <n v="12.33"/>
        <n v="15.37"/>
        <n v="20.39"/>
        <n v="16.38"/>
        <n v="14.79"/>
        <n v="12.03"/>
        <n v="16.690000000000001"/>
        <n v="22.59"/>
        <n v="10.49"/>
        <n v="10.98"/>
        <n v="12.02"/>
        <n v="14.01"/>
        <n v="15.2"/>
        <n v="16.48"/>
        <n v="22.05"/>
        <n v="15.18"/>
        <n v="13.68"/>
        <n v="16.79"/>
        <n v="18.64"/>
        <n v="18.16"/>
        <n v="19.75"/>
        <n v="14.62"/>
        <n v="11.56"/>
        <n v="16.07"/>
        <n v="0.23"/>
        <n v="15.86"/>
        <n v="12.21"/>
        <n v="21.93"/>
        <n v="10.02"/>
        <n v="23.24"/>
        <n v="16.37"/>
        <n v="10.72"/>
        <n v="8.65"/>
        <n v="13.01"/>
        <n v="10.42"/>
        <n v="16.559999999999999"/>
        <n v="12.95"/>
        <n v="8.15"/>
        <n v="9.0399999999999991"/>
        <n v="13.46"/>
        <n v="23.5"/>
        <n v="15.33"/>
        <n v="19.54"/>
        <n v="16.25"/>
        <n v="8.8000000000000007"/>
        <n v="18.21"/>
        <n v="9.69"/>
        <n v="12.49"/>
        <n v="11.93"/>
        <n v="11"/>
        <n v="14.05"/>
        <n v="13.94"/>
        <n v="17.02"/>
        <n v="19.29"/>
        <n v="13.48"/>
        <n v="14.02"/>
        <n v="11.36"/>
        <n v="9.5500000000000007"/>
        <n v="12.37"/>
        <n v="17.97"/>
        <n v="16.2"/>
        <n v="7.04"/>
        <n v="16.34"/>
        <n v="16.29"/>
        <n v="5.22"/>
        <n v="17.5"/>
        <n v="22.12"/>
        <n v="22.06"/>
        <n v="20.05"/>
        <n v="5.09"/>
        <n v="14.15"/>
        <n v="14.43"/>
        <n v="15.15"/>
        <n v="22.14"/>
        <n v="19.170000000000002"/>
        <n v="12.56"/>
        <n v="12.75"/>
        <n v="13.23"/>
        <n v="17.239999999999998"/>
        <n v="12.25"/>
        <n v="17.71"/>
        <n v="14.37"/>
        <n v="13.53"/>
        <n v="16.079999999999998"/>
        <n v="5.49"/>
        <n v="12.78"/>
        <n v="17.739999999999998"/>
        <n v="15.42"/>
        <n v="26.67"/>
        <n v="15.07"/>
        <n v="16.68"/>
        <n v="15.34"/>
        <n v="18.399999999999999"/>
        <n v="12.48"/>
        <n v="18.54"/>
        <n v="5.63"/>
        <n v="26.05"/>
        <n v="8.33"/>
        <n v="14.99"/>
        <n v="16.05"/>
        <n v="21.26"/>
        <n v="7.93"/>
        <n v="17.8"/>
        <n v="3.4"/>
        <n v="7.22"/>
        <n v="11.57"/>
        <n v="16.399999999999999"/>
        <n v="11.58"/>
        <n v="12.52"/>
        <n v="10.67"/>
        <n v="16.809999999999999"/>
        <n v="16.36"/>
        <n v="11.13"/>
        <n v="13.16"/>
        <n v="9.43"/>
        <n v="16.43"/>
        <n v="17.3"/>
        <n v="16"/>
        <n v="17.38"/>
        <n v="17.79"/>
        <n v="0.74"/>
        <n v="8.41"/>
        <n v="12.77"/>
        <n v="22.5"/>
        <n v="14.26"/>
        <n v="17.2"/>
        <n v="15.06"/>
        <n v="12.38"/>
        <n v="4.49"/>
        <n v="22.45"/>
        <n v="20.61"/>
        <n v="9.23"/>
        <n v="8.84"/>
        <n v="13.92"/>
        <n v="8.27"/>
        <n v="6.4"/>
        <n v="5.84"/>
        <n v="18.239999999999998"/>
        <n v="10.7"/>
        <n v="21.07"/>
        <n v="20.09"/>
        <n v="10.33"/>
        <n v="15.49"/>
        <n v="18.61"/>
        <n v="14.23"/>
        <n v="13.5"/>
        <n v="9.4700000000000006"/>
        <n v="11.98"/>
        <n v="19.940000000000001"/>
        <n v="9.8800000000000008"/>
        <n v="22.03"/>
        <n v="9.1300000000000008"/>
        <n v="14.67"/>
        <n v="9.57"/>
        <n v="9.83"/>
        <n v="15.57"/>
        <n v="15.79"/>
        <n v="14.76"/>
        <n v="13.87"/>
        <n v="11.99"/>
        <n v="7.24"/>
        <n v="4.8099999999999996"/>
        <n v="17.78"/>
        <n v="15.69"/>
        <n v="11.73"/>
        <n v="7.05"/>
        <n v="23.64"/>
        <n v="7.92"/>
        <n v="18.690000000000001"/>
        <n v="11.67"/>
        <n v="7.76"/>
        <n v="16.47"/>
        <n v="14.31"/>
        <n v="20.48"/>
        <n v="8.77"/>
        <n v="5.8"/>
        <n v="21.22"/>
        <n v="14.1"/>
        <n v="24.78"/>
        <n v="21.54"/>
        <n v="15.98"/>
        <n v="14.34"/>
        <n v="10.27"/>
        <n v="13.71"/>
        <n v="6.46"/>
        <n v="5.03"/>
        <n v="8"/>
        <n v="7.66"/>
        <n v="20.11"/>
        <n v="10.07"/>
        <n v="14.52"/>
        <n v="14.53"/>
        <n v="17.850000000000001"/>
        <n v="13.95"/>
        <n v="13.35"/>
        <n v="10.58"/>
        <n v="12.94"/>
        <n v="16.73"/>
        <n v="19.07"/>
        <n v="22.9"/>
        <n v="14.65"/>
        <n v="3.08"/>
        <n v="9.3699999999999992"/>
        <n v="7.74"/>
        <n v="10.96"/>
        <n v="9.77"/>
        <n v="11.39"/>
        <n v="0"/>
        <n v="9.5399999999999991"/>
        <n v="12.18"/>
        <n v="17.36"/>
        <n v="14.96"/>
        <n v="4.99"/>
        <n v="16.11"/>
        <n v="7.12"/>
        <n v="16.7"/>
        <n v="3.74"/>
        <n v="12.82"/>
        <n v="12.36"/>
        <n v="24.44"/>
        <n v="24.69"/>
        <n v="9.7899999999999991"/>
        <n v="10.09"/>
        <n v="5.97"/>
        <n v="17.45"/>
        <n v="5"/>
        <n v="5.36"/>
        <n v="17.16"/>
        <n v="18.350000000000001"/>
        <n v="11.14"/>
        <n v="7.47"/>
        <n v="10.84"/>
        <n v="14.87"/>
        <n v="16.100000000000001"/>
        <n v="10.82"/>
        <n v="17.03"/>
        <n v="20.399999999999999"/>
        <n v="11.91"/>
        <n v="9.67"/>
        <n v="11.01"/>
        <n v="11.18"/>
        <n v="17.37"/>
        <n v="21.15"/>
        <n v="14.85"/>
        <n v="14.41"/>
        <n v="13.34"/>
        <n v="9.91"/>
        <n v="9.6300000000000008"/>
        <n v="13.65"/>
        <n v="16.260000000000002"/>
        <n v="11.61"/>
        <n v="13.21"/>
        <n v="3.99"/>
        <n v="13.06"/>
        <n v="11.31"/>
        <n v="17.440000000000001"/>
        <n v="21.12"/>
        <n v="12.23"/>
        <n v="11.29"/>
        <n v="18.079999999999998"/>
        <n v="11.24"/>
        <n v="21.62"/>
        <n v="18.45"/>
        <n v="14.57"/>
        <n v="8.5299999999999994"/>
        <n v="17.43"/>
        <n v="14.33"/>
        <n v="11.53"/>
        <n v="11.45"/>
        <n v="18.78"/>
        <n v="14.19"/>
        <n v="16.63"/>
        <n v="9.58"/>
        <n v="11.6"/>
        <n v="25.58"/>
        <n v="18.670000000000002"/>
        <n v="13.43"/>
        <n v="13.4"/>
        <n v="17.760000000000002"/>
        <n v="17.510000000000002"/>
        <n v="13.56"/>
        <n v="19.05"/>
        <n v="9.93"/>
        <n v="14.63"/>
        <n v="10.79"/>
        <n v="8.11"/>
        <n v="23.17"/>
        <n v="13.08"/>
        <n v="8.31"/>
        <n v="15.55"/>
        <n v="11.38"/>
        <n v="18.09"/>
        <n v="14.78"/>
        <n v="12.8"/>
        <n v="19.46"/>
        <n v="17.010000000000002"/>
        <n v="21.31"/>
        <n v="21.39"/>
        <n v="8.57"/>
        <n v="16.440000000000001"/>
        <n v="15.59"/>
        <n v="14.71"/>
        <n v="12.09"/>
        <n v="26"/>
        <n v="15.71"/>
        <n v="2.7"/>
        <n v="12.53"/>
        <n v="11.42"/>
        <n v="14.49"/>
        <n v="11.46"/>
        <n v="5.76"/>
        <n v="25.04"/>
        <n v="15.31"/>
        <n v="19.38"/>
        <n v="16.239999999999998"/>
        <n v="10.64"/>
        <n v="9.17"/>
        <n v="11.85"/>
        <n v="12.91"/>
        <n v="9.35"/>
        <n v="17.54"/>
        <n v="9.85"/>
        <n v="20.73"/>
        <n v="18.149999999999999"/>
        <n v="4.43"/>
        <n v="6.41"/>
        <n v="23.07"/>
        <n v="13.79"/>
        <n v="8.09"/>
        <n v="19"/>
        <n v="11.94"/>
        <n v="13.49"/>
        <n v="17.93"/>
        <n v="13.9"/>
        <n v="13.29"/>
        <n v="14.72"/>
        <n v="16.989999999999998"/>
        <n v="19.2"/>
        <n v="8.76"/>
        <n v="4.74"/>
        <n v="17.46"/>
        <n v="16.93"/>
        <n v="11.3"/>
        <n v="8.64"/>
        <n v="11.11"/>
        <n v="21.53"/>
        <n v="10.76"/>
        <n v="19.420000000000002"/>
        <n v="12.58"/>
        <n v="10.53"/>
        <n v="12.4"/>
        <n v="18.38"/>
        <n v="8.3800000000000008"/>
        <n v="14.68"/>
        <n v="10.9"/>
        <n v="21.11"/>
        <n v="8.75"/>
        <n v="11.32"/>
        <n v="15.24"/>
        <n v="3.14"/>
        <n v="20.83"/>
        <n v="14.81"/>
        <n v="13.82"/>
        <n v="10.94"/>
        <n v="13.57"/>
        <n v="14.58"/>
        <n v="4.4400000000000004"/>
        <n v="13.04"/>
        <n v="9.52"/>
        <n v="20.63"/>
        <n v="14.94"/>
        <n v="13.91"/>
        <n v="8.89"/>
        <n v="13.1"/>
        <n v="3.89"/>
        <n v="10.01"/>
        <n v="10.6"/>
        <n v="16.02"/>
        <n v="17"/>
        <n v="7.14"/>
        <n v="13.36"/>
        <n v="8.52"/>
        <n v="19.63"/>
        <n v="21.76"/>
        <n v="4.45"/>
        <n v="11.23"/>
        <n v="12.85"/>
        <n v="17.149999999999999"/>
        <n v="18.29"/>
        <n v="15.52"/>
        <n v="12.35"/>
        <n v="12.05"/>
        <n v="26.23"/>
        <n v="1.24"/>
        <n v="10.92"/>
        <n v="10.95"/>
        <n v="16.149999999999999"/>
        <n v="9.92"/>
        <n v="9.02"/>
        <n v="16.55"/>
        <n v="15.9"/>
        <n v="22.02"/>
        <n v="19.16"/>
        <n v="24.03"/>
        <n v="21.59"/>
        <n v="10.91"/>
        <n v="13.74"/>
        <n v="4.58"/>
        <n v="14.44"/>
        <n v="18.63"/>
        <n v="6.67"/>
        <n v="6.82"/>
        <n v="4.96"/>
        <n v="17.489999999999998"/>
        <n v="9.6999999999999993"/>
        <n v="6.27"/>
        <n v="7"/>
        <n v="18.04"/>
        <n v="14.17"/>
        <n v="3.18"/>
        <n v="9.2100000000000009"/>
        <n v="4.33"/>
        <n v="7.65"/>
        <n v="7.86"/>
        <n v="11.62"/>
        <n v="12.72"/>
        <n v="17.12"/>
        <n v="9.6"/>
        <n v="4.38"/>
        <n v="19.57"/>
        <n v="9.99"/>
        <n v="9.1199999999999992"/>
        <n v="22.51"/>
        <n v="20.22"/>
        <n v="12.08"/>
        <n v="21.64"/>
        <n v="13.99"/>
        <n v="15.99"/>
        <n v="15.4"/>
        <n v="13.84"/>
        <n v="9.84"/>
        <n v="19.7"/>
        <n v="20.7"/>
        <n v="17.23"/>
        <n v="12.07"/>
        <n v="19.5"/>
        <n v="16.579999999999998"/>
        <n v="25.08"/>
        <n v="16.71"/>
        <n v="8.7799999999999994"/>
        <n v="7.97"/>
        <n v="12.28"/>
        <n v="10.51"/>
        <n v="5.64"/>
        <n v="17.100000000000001"/>
        <n v="14.88"/>
        <n v="6.08"/>
        <n v="10.74"/>
        <n v="8.08"/>
        <n v="4"/>
        <n v="10.15"/>
        <n v="11.86"/>
        <n v="10.48"/>
        <n v="25.48"/>
        <n v="18.739999999999998"/>
        <n v="17.600000000000001"/>
        <n v="30.89"/>
        <n v="8.17"/>
        <n v="16.46"/>
        <n v="7.38"/>
        <n v="16.23"/>
        <n v="9.9"/>
        <n v="13"/>
        <n v="1.18"/>
        <n v="15.93"/>
        <n v="20.16"/>
        <n v="5.65"/>
        <n v="12.42"/>
        <n v="23.09"/>
        <n v="14.54"/>
        <n v="16.940000000000001"/>
        <n v="7.17"/>
        <n v="19.260000000000002"/>
        <n v="4.18"/>
        <n v="18.43"/>
        <n v="16.510000000000002"/>
        <n v="18.55"/>
        <n v="2.1"/>
        <n v="6.97"/>
        <n v="13.55"/>
        <n v="17.48"/>
        <n v="15.22"/>
        <n v="14.77"/>
        <n v="15.8"/>
        <n v="9.14"/>
        <n v="11.76"/>
        <n v="14.08"/>
        <n v="19.18"/>
        <n v="15.1"/>
        <n v="14"/>
        <n v="15.27"/>
        <n v="17.91"/>
        <n v="11.5"/>
        <n v="21.38"/>
        <n v="19.239999999999998"/>
        <n v="23.26"/>
        <n v="10.24"/>
        <n v="9.16"/>
        <n v="8.26"/>
        <n v="16.670000000000002"/>
        <n v="15.81"/>
        <n v="15.56"/>
        <n v="15.92"/>
        <n v="15.35"/>
        <n v="14.16"/>
        <n v="19.329999999999998"/>
        <n v="13.02"/>
        <n v="14.04"/>
        <n v="21.18"/>
        <n v="20"/>
        <n v="13.03"/>
        <n v="9.06"/>
        <n v="15.51"/>
        <n v="11.08"/>
        <n v="20.97"/>
        <n v="9.4499999999999993"/>
        <n v="17.22"/>
        <n v="19.97"/>
        <n v="15.54"/>
        <n v="13.76"/>
        <n v="9.41"/>
        <n v="17.77"/>
        <n v="6.78"/>
        <n v="19.48"/>
        <n v="20.72"/>
        <n v="21.29"/>
        <n v="19.41"/>
        <n v="13.41"/>
        <n v="14.98"/>
        <n v="8.56"/>
        <n v="12.99"/>
        <n v="17.47"/>
        <n v="8.68"/>
        <n v="13.6"/>
        <n v="19.45"/>
        <n v="10.43"/>
        <n v="9.64"/>
        <n v="12.26"/>
        <n v="18.07"/>
        <n v="22.11"/>
        <n v="16.03"/>
        <n v="21.83"/>
        <n v="7.06"/>
        <n v="7.73"/>
        <n v="13.11"/>
        <n v="13.52"/>
        <n v="16.21"/>
        <n v="5.16"/>
        <n v="6.9"/>
        <n v="2.89"/>
        <n v="16.22"/>
        <n v="13.44"/>
        <n v="15.84"/>
        <n v="15.04"/>
        <n v="9.89"/>
        <n v="4.63"/>
        <n v="23.96"/>
        <n v="12.15"/>
        <n v="14.46"/>
        <n v="17.670000000000002"/>
        <n v="8.35"/>
        <n v="3.8"/>
        <n v="6.75"/>
        <n v="9.49"/>
        <n v="25.25"/>
        <n v="6.52"/>
        <n v="8.61"/>
        <n v="10.29"/>
        <n v="19.21"/>
        <n v="20.260000000000002"/>
        <n v="7.01"/>
        <n v="23.45"/>
        <n v="20.25"/>
        <n v="15.61"/>
        <n v="18.37"/>
        <n v="18.559999999999999"/>
        <n v="12.29"/>
        <n v="22.88"/>
        <n v="12.69"/>
        <n v="24.93"/>
        <n v="12.63"/>
        <n v="3.79"/>
        <n v="24.47"/>
        <n v="4.66"/>
        <n v="12.98"/>
        <n v="10.220000000000001"/>
        <n v="6.88"/>
        <n v="18.059999999999999"/>
        <n v="18.59"/>
        <n v="11.05"/>
        <n v="13.39"/>
        <n v="9.2200000000000006"/>
        <n v="15"/>
        <n v="8.4"/>
        <n v="15.39"/>
        <n v="11.9"/>
        <n v="20.78"/>
        <n v="19.190000000000001"/>
        <n v="10.130000000000001"/>
        <n v="17.29"/>
        <n v="12.7"/>
        <n v="10.41"/>
        <n v="8.1300000000000008"/>
        <n v="9.44"/>
        <n v="10.039999999999999"/>
        <n v="19.64"/>
        <n v="0.61"/>
        <n v="7.57"/>
        <n v="8.6"/>
        <n v="13.63"/>
        <n v="6.57"/>
        <n v="9.4"/>
        <n v="11.35"/>
        <n v="20.27"/>
        <n v="12.51"/>
        <n v="19.27"/>
        <n v="7.72"/>
        <n v="11.79"/>
        <n v="18.600000000000001"/>
        <n v="15.94"/>
        <n v="4.9800000000000004"/>
        <n v="14.27"/>
        <n v="27.31"/>
        <n v="19.47"/>
        <n v="8.7100000000000009"/>
        <n v="15.01"/>
        <n v="23.03"/>
        <n v="13.31"/>
        <n v="18.579999999999998"/>
        <n v="17.11"/>
        <n v="14.48"/>
        <n v="8.48"/>
        <n v="10.99"/>
        <n v="19.440000000000001"/>
        <n v="5.74"/>
        <n v="17.21"/>
        <n v="20.59"/>
        <n v="18.28"/>
        <n v="12.66"/>
        <n v="18.84"/>
        <n v="7.54"/>
        <n v="14.75"/>
        <n v="19.79"/>
        <n v="15.67"/>
        <n v="14.84"/>
        <n v="13.45"/>
        <n v="20.94"/>
        <n v="11.03"/>
        <n v="7.79"/>
        <n v="16.53"/>
        <n v="13.3"/>
        <n v="17.95"/>
        <n v="8.6199999999999992"/>
        <n v="12.39"/>
        <n v="8.67"/>
        <n v="3.17"/>
        <n v="4.34"/>
        <n v="16.88"/>
        <n v="4.82"/>
        <n v="5.38"/>
        <n v="21.5"/>
        <n v="16.78"/>
        <n v="17.260000000000002"/>
        <n v="18.98"/>
        <n v="24.52"/>
        <n v="14.86"/>
        <n v="8.7899999999999991"/>
        <n v="20.89"/>
        <n v="9.61"/>
        <n v="9.31"/>
        <n v="16.75"/>
        <n v="15.91"/>
        <n v="18.02"/>
        <n v="18.96"/>
        <n v="8.51"/>
        <n v="9.8699999999999992"/>
        <n v="20.41"/>
        <n v="6.2"/>
        <n v="6.02"/>
        <n v="10"/>
        <n v="6.53"/>
        <n v="12.65"/>
        <n v="8.59"/>
        <n v="17.32"/>
        <n v="20.68"/>
        <n v="20.84"/>
        <n v="10.16"/>
        <n v="14.22"/>
        <n v="12.3"/>
        <n v="13.85"/>
        <n v="14.61"/>
        <n v="13.27"/>
        <n v="4.09"/>
        <n v="8.58"/>
        <n v="19.98"/>
        <n v="16.87"/>
        <n v="14.25"/>
        <n v="6.42"/>
        <n v="17.73"/>
        <n v="8.43"/>
        <n v="13.32"/>
        <n v="21.13"/>
        <n v="13.64"/>
        <n v="11.22"/>
        <n v="2.54"/>
        <n v="8.82"/>
        <n v="17.940000000000001"/>
        <n v="6.23"/>
        <n v="8.92"/>
        <n v="12.93"/>
        <n v="21.99"/>
        <n v="13.14"/>
        <n v="17.18"/>
        <n v="14.83"/>
        <n v="12.46"/>
        <n v="18.11"/>
        <n v="7.39"/>
        <n v="20.12"/>
        <n v="8.5399999999999991"/>
        <n v="12.34"/>
        <n v="10.44"/>
        <n v="11.55"/>
        <n v="6.03"/>
        <n v="15.48"/>
        <n v="10.39"/>
        <n v="14.07"/>
        <n v="12.68"/>
        <n v="11.2"/>
        <n v="11.78"/>
        <n v="13.07"/>
        <n v="15.68"/>
        <n v="6.05"/>
        <n v="6.37"/>
        <n v="13.26"/>
        <n v="12.64"/>
        <n v="2.33"/>
        <n v="12.1"/>
        <n v="25.07"/>
        <n v="21.02"/>
        <n v="7.9"/>
        <n v="29.91"/>
        <n v="13.38"/>
        <n v="22.4"/>
        <n v="18.940000000000001"/>
        <n v="12.27"/>
        <n v="16.86"/>
        <n v="18.850000000000001"/>
        <n v="12.43"/>
        <n v="7.32"/>
        <n v="11.34"/>
        <n v="19.920000000000002"/>
        <n v="8.94"/>
        <n v="17.28"/>
        <n v="19.899999999999999"/>
        <n v="13.81"/>
        <n v="7.62"/>
        <n v="14.39"/>
        <n v="13.93"/>
        <n v="15.75"/>
        <n v="18.97"/>
        <n v="23.21"/>
        <n v="14.55"/>
        <n v="15.5"/>
        <n v="23.34"/>
        <n v="11.52"/>
        <n v="14.14"/>
        <n v="10.1"/>
        <n v="17.399999999999999"/>
        <n v="12.87"/>
        <n v="23.66"/>
        <n v="16.420000000000002"/>
        <n v="21.72"/>
        <n v="15.36"/>
        <n v="4.6399999999999997"/>
        <n v="10.36"/>
        <n v="15.7"/>
        <n v="26.13"/>
        <n v="14.18"/>
        <n v="8.93"/>
        <n v="10.11"/>
        <n v="17.82"/>
        <n v="8.18"/>
        <n v="5.71"/>
      </sharedItems>
    </cacheField>
    <cacheField name="month" numFmtId="14">
      <sharedItems containsSemiMixedTypes="0" containsNonDate="0" containsDate="1" containsString="0" minDate="2024-01-01T00:00:00" maxDate="2024-11-02T00:00:00" count="10">
        <d v="2024-01-01T00:00:00"/>
        <d v="2024-03-01T00:00:00"/>
        <d v="2024-04-01T00:00:00"/>
        <d v="2024-05-01T00:00:00"/>
        <d v="2024-06-01T00:00:00"/>
        <d v="2024-07-01T00:00:00"/>
        <d v="2024-08-01T00:00:00"/>
        <d v="2024-09-01T00:00:00"/>
        <d v="2024-10-01T00:00:00"/>
        <d v="2024-11-01T00:00:00"/>
      </sharedItems>
      <fieldGroup par="19"/>
    </cacheField>
    <cacheField name="performance_category" numFmtId="0">
      <sharedItems count="3">
        <s v="Medium Performance"/>
        <s v="High Performance"/>
        <s v="Low Performance"/>
      </sharedItems>
    </cacheField>
    <cacheField name="productivity_score" numFmtId="9">
      <sharedItems containsSemiMixedTypes="0" containsString="0" containsNumber="1" minValue="0" maxValue="0.1097293343087052" count="991">
        <n v="2.5889967637540454E-2"/>
        <n v="1.7182130584192441E-2"/>
        <n v="2.4813895781637719E-2"/>
        <n v="7.3529411764705885E-2"/>
        <n v="1.95822454308094E-2"/>
        <n v="6.044325050369375E-2"/>
        <n v="1.9011406844106463E-2"/>
        <n v="2.4844720496894408E-2"/>
        <n v="2.6507620941020542E-2"/>
        <n v="3.7267080745341616E-2"/>
        <n v="2.2988505747126436E-2"/>
        <n v="4.5278137128072445E-2"/>
        <n v="4.9200492004920049E-2"/>
        <n v="6.8166325835037497E-2"/>
        <n v="3.6079374624173176E-2"/>
        <n v="3.7759597230962866E-2"/>
        <n v="7.9787234042553182E-2"/>
        <n v="3.2071840923669021E-2"/>
        <n v="2.722940776038121E-2"/>
        <n v="2.9498525073746312E-2"/>
        <n v="3.3990482664853841E-2"/>
        <n v="4.8959608323133411E-2"/>
        <n v="1.9342359767891684E-2"/>
        <n v="4.2553191489361701E-2"/>
        <n v="1.7331022530329289E-2"/>
        <n v="5.2805280528052806E-2"/>
        <n v="3.0102347983142687E-2"/>
        <n v="3.5063113604488078E-2"/>
        <n v="3.6764705882352942E-2"/>
        <n v="4.7505938242280284E-2"/>
        <n v="6.4591896652965344E-2"/>
        <n v="1.1514104778353483E-2"/>
        <n v="4.3722673329169272E-2"/>
        <n v="6.4599483204134361E-2"/>
        <n v="1.6750418760469014E-2"/>
        <n v="5.7845263919016628E-2"/>
        <n v="2.7453671928620454E-2"/>
        <n v="3.0902348578491962E-2"/>
        <n v="1.1415525114155252E-2"/>
        <n v="6.3897763578274758E-2"/>
        <n v="3.9087947882736153E-2"/>
        <n v="5.6285178236397747E-2"/>
        <n v="2.9620853080568717E-2"/>
        <n v="3.0395136778115502E-2"/>
        <n v="4.2708968883465523E-2"/>
        <n v="6.5907729179149194E-2"/>
        <n v="4.472843450479233E-2"/>
        <n v="2.5657472738935212E-2"/>
        <n v="5.5487053020961782E-2"/>
        <n v="5.2631578947368418E-2"/>
        <n v="1.7857142857142856E-2"/>
        <n v="6.0240963855421686E-2"/>
        <n v="1.9157088122605366E-2"/>
        <n v="7.8791858174655283E-2"/>
        <n v="4.2865890998162889E-2"/>
        <n v="3.7105751391465679E-2"/>
        <n v="1.3917884481558803E-2"/>
        <n v="2.6652452025586356E-2"/>
        <n v="2.4183796856106408E-2"/>
        <n v="3.2216494845360828E-2"/>
        <n v="6.9052102950408034E-2"/>
        <n v="3.5587188612099648E-2"/>
        <n v="3.2113037893384717E-2"/>
        <n v="0"/>
        <n v="2.1505376344086023E-2"/>
        <n v="5.6858564321250894E-2"/>
        <n v="4.4108380592312542E-2"/>
        <n v="5.128205128205128E-2"/>
        <n v="4.987531172069825E-2"/>
        <n v="3.4522439585730723E-2"/>
        <n v="2.5445292620865142E-2"/>
        <n v="5.0600885515496526E-2"/>
        <n v="5.0346129641283821E-2"/>
        <n v="2.0732550103662751E-2"/>
        <n v="3.2092426187419767E-2"/>
        <n v="2.5062656641604012E-2"/>
        <n v="1.1750881316098707E-2"/>
        <n v="2.9103608847497089E-2"/>
        <n v="7.4028377544725479E-2"/>
        <n v="3.1847133757961783E-2"/>
        <n v="6.835269993164729E-2"/>
        <n v="4.8712595685455815E-2"/>
        <n v="3.787878787878788E-2"/>
        <n v="3.5971223021582732E-2"/>
        <n v="1.9317450096587249E-2"/>
        <n v="1.8529956763434219E-2"/>
        <n v="3.0432136335970784E-2"/>
        <n v="4.3209876543209874E-2"/>
        <n v="6.353240152477764E-2"/>
        <n v="3.3311125916055964E-2"/>
        <n v="6.2630480167014613E-2"/>
        <n v="4.3832185347526614E-2"/>
        <n v="3.2341526520051747E-2"/>
        <n v="5.6074766355140186E-2"/>
        <n v="3.3647375504710635E-2"/>
        <n v="3.6787247087676271E-2"/>
        <n v="1.2970168612191959E-2"/>
        <n v="1.6958733747880157E-2"/>
        <n v="3.0193236714975848E-2"/>
        <n v="3.35345405767941E-2"/>
        <n v="5.2219321148825069E-2"/>
        <n v="3.7313432835820892E-2"/>
        <n v="3.1705770450221944E-2"/>
        <n v="3.3200531208499334E-2"/>
        <n v="3.2701111837802485E-2"/>
        <n v="2.5204788909892882E-2"/>
        <n v="1.9417475728155338E-2"/>
        <n v="6.7521944632005407E-2"/>
        <n v="2.2026431718061675E-2"/>
        <n v="3.0788177339901478E-2"/>
        <n v="3.1969309462915603E-2"/>
        <n v="3.1948881789137379E-2"/>
        <n v="4.4136191677175286E-2"/>
        <n v="4.1592394533571005E-2"/>
        <n v="3.4944670937682006E-2"/>
        <n v="4.61133069828722E-2"/>
        <n v="4.3236565781346506E-2"/>
        <n v="2.826455624646693E-2"/>
        <n v="2.9603315571343991E-2"/>
        <n v="3.5112359550561793E-2"/>
        <n v="5.518087063151441E-2"/>
        <n v="3.6496350364963501E-2"/>
        <n v="3.981797497155859E-2"/>
        <n v="5.5214723926380369E-2"/>
        <n v="2.7081922816519974E-2"/>
        <n v="4.4296788482834998E-2"/>
        <n v="5.1612903225806452E-2"/>
        <n v="6.4350064350064351E-2"/>
        <n v="3.0358227079538558E-2"/>
        <n v="4.209260372820204E-2"/>
        <n v="3.6275695284159609E-2"/>
        <n v="3.3444816053511704E-2"/>
        <n v="1.2547051442910916E-2"/>
        <n v="4.6635576282478351E-2"/>
        <n v="1.2586532410320955E-2"/>
        <n v="5.1413881748071981E-2"/>
        <n v="3.097893432465923E-2"/>
        <n v="1.784651992861392E-2"/>
        <n v="2.6917900403768506E-2"/>
        <n v="3.1585596967782688E-2"/>
        <n v="2.9779630732578916E-2"/>
        <n v="4.0439052570768345E-2"/>
        <n v="2.4953212726138489E-2"/>
        <n v="4.0768782760629008E-2"/>
        <n v="4.3668122270742356E-2"/>
        <n v="1.670378619153675E-2"/>
        <n v="3.0618493570116347E-2"/>
        <n v="7.2895957587806495E-2"/>
        <n v="3.013863773357444E-2"/>
        <n v="1.2338062924120914E-2"/>
        <n v="2.2805017103762829E-2"/>
        <n v="6.9492703266157058E-2"/>
        <n v="3.7831021437578813E-2"/>
        <n v="2.4479804161566705E-2"/>
        <n v="6.1433447098976107E-2"/>
        <n v="4.2296072507552872E-2"/>
        <n v="4.1208791208791208E-2"/>
        <n v="4.8442906574394463E-2"/>
        <n v="5.3085600530856009E-2"/>
        <n v="2.0242914979757085E-2"/>
        <n v="7.7958894401133946E-2"/>
        <n v="5.5727554179566562E-2"/>
        <n v="6.8750000000000006E-2"/>
        <n v="2.8089887640449437E-2"/>
        <n v="1.1500862564692351E-2"/>
        <n v="3.4443168771526984E-2"/>
        <n v="5.3655264922870559E-2"/>
        <n v="1.8281535648994516E-2"/>
        <n v="2.9585798816568046E-2"/>
        <n v="1.7271157167530225E-2"/>
        <n v="5.9988002399520103E-2"/>
        <n v="4.912280701754386E-2"/>
        <n v="5.3507728894173608E-2"/>
        <n v="1.156737998843262E-2"/>
        <n v="3.5778175313059039E-2"/>
        <n v="4.8250904704463207E-2"/>
        <n v="3.3400133600534405E-2"/>
        <n v="2.4752475247524754E-2"/>
        <n v="3.6585365853658534E-2"/>
        <n v="1.7699115044247787E-2"/>
        <n v="2.9086678301337987E-2"/>
        <n v="5.8064516129032261E-2"/>
        <n v="1.890359168241966E-2"/>
        <n v="5.8616647127784291E-3"/>
        <n v="3.9772727272727272E-2"/>
        <n v="5.3412462908011868E-2"/>
        <n v="5.8892815076560655E-2"/>
        <n v="5.4607508532423209E-2"/>
        <n v="1.7191977077363897E-2"/>
        <n v="1.9255455712451859E-2"/>
        <n v="5.7142857142857141E-2"/>
        <n v="2.3501762632197415E-2"/>
        <n v="6.4365125804564077E-2"/>
        <n v="1.9181585677749361E-2"/>
        <n v="3.8986354775828458E-2"/>
        <n v="3.1505986137366104E-2"/>
        <n v="2.9940119760479042E-2"/>
        <n v="4.7489823609226593E-2"/>
        <n v="6.1517429938482568E-2"/>
        <n v="3.6122817579771226E-2"/>
        <n v="7.3304825901038484E-2"/>
        <n v="1.2738853503184714E-2"/>
        <n v="4.9566294919454766E-2"/>
        <n v="3.003003003003003E-2"/>
        <n v="1.8115942028985508E-2"/>
        <n v="3.6166365280289332E-2"/>
        <n v="5.1118210862619806E-2"/>
        <n v="2.5094102885821833E-2"/>
        <n v="1.7804154302670624E-2"/>
        <n v="9.2105263157894732E-2"/>
        <n v="4.5307443365695796E-2"/>
        <n v="2.1586616297895305E-2"/>
        <n v="5.3120849933598939E-2"/>
        <n v="6.0893098782138021E-2"/>
        <n v="4.8342541436464083E-2"/>
        <n v="2.5690430314707774E-2"/>
        <n v="1.7783046828689985E-2"/>
        <n v="4.5781556572923481E-2"/>
        <n v="5.6461731493099118E-2"/>
        <n v="5.1216389244558264E-2"/>
        <n v="5.9594755661501783E-2"/>
        <n v="6.5437239738251038E-2"/>
        <n v="2.5109855618330193E-2"/>
        <n v="1.9047619047619049E-2"/>
        <n v="4.5336787564766841E-2"/>
        <n v="2.3310023310023312E-2"/>
        <n v="3.2175032175032175E-2"/>
        <n v="2.5429116338207245E-2"/>
        <n v="1.8820577164366373E-2"/>
        <n v="4.9170251997541492E-2"/>
        <n v="2.6954177897574122E-2"/>
        <n v="1.9193857965451054E-2"/>
        <n v="4.2046250875963566E-2"/>
        <n v="2.4038461538461536E-2"/>
        <n v="3.6363636363636362E-2"/>
        <n v="5.3156146179401995E-2"/>
        <n v="6.1538461538461542E-2"/>
        <n v="3.9867109634551492E-2"/>
        <n v="4.2016806722689072E-2"/>
        <n v="7.6335877862595422E-2"/>
        <n v="6.978367062107467E-2"/>
        <n v="2.9120559114735003E-2"/>
        <n v="4.7138047138047139E-2"/>
        <n v="5.02828409805154E-2"/>
        <n v="1.6891891891891893E-2"/>
        <n v="4.2283298097251586E-2"/>
        <n v="6.70690811535882E-2"/>
        <n v="4.8105832832230903E-2"/>
        <n v="4.6449900464499011E-2"/>
        <n v="2.564102564102564E-2"/>
        <n v="2.4721878862793572E-2"/>
        <n v="4.9140049140049137E-2"/>
        <n v="2.6838432635534083E-2"/>
        <n v="2.7137042062415195E-2"/>
        <n v="1.9697964543663821E-2"/>
        <n v="2.2953328232593728E-2"/>
        <n v="1.1049723756906077E-2"/>
        <n v="1.8564356435643563E-2"/>
        <n v="1.86219739292365E-2"/>
        <n v="5.8411214953271035E-2"/>
        <n v="4.26049908703591E-2"/>
        <n v="2.4024024024024024E-2"/>
        <n v="2.6737967914438502E-2"/>
        <n v="3.5310734463276837E-2"/>
        <n v="4.3130006161429452E-2"/>
        <n v="3.2658393207054215E-2"/>
        <n v="4.6760187040748163E-2"/>
        <n v="3.8436899423446511E-2"/>
        <n v="3.2133676092544985E-2"/>
        <n v="1.820388349514563E-2"/>
        <n v="5.9249506254114549E-2"/>
        <n v="5.0031269543464665E-2"/>
        <n v="6.9008782936010038E-2"/>
        <n v="3.0656039239730228E-2"/>
        <n v="3.6540803897685749E-2"/>
        <n v="4.0229885057471264E-2"/>
        <n v="1.3708019191226868E-2"/>
        <n v="4.0160642570281124E-2"/>
        <n v="3.9190071848465055E-2"/>
        <n v="4.216444132115249E-2"/>
        <n v="3.3288948069241014E-2"/>
        <n v="6.2305295950155763E-2"/>
        <n v="2.5806451612903226E-2"/>
        <n v="0.1097293343087052"/>
        <n v="2.4798512089274641E-2"/>
        <n v="3.5885167464114832E-2"/>
        <n v="2.4676125848241828E-2"/>
        <n v="8.4306095979247736E-2"/>
        <n v="3.1426775612822123E-2"/>
        <n v="2.7917364600781688E-2"/>
        <n v="2.913752913752914E-2"/>
        <n v="5.5517002081887583E-2"/>
        <n v="1.8785222291797122E-2"/>
        <n v="4.5714285714285714E-2"/>
        <n v="2.3282887077997669E-2"/>
        <n v="3.7059913526868438E-2"/>
        <n v="3.0864197530864196E-2"/>
        <n v="4.4900577293136623E-2"/>
        <n v="1.893939393939394E-2"/>
        <n v="3.048780487804878E-2"/>
        <n v="2.2308979364194088E-2"/>
        <n v="3.4863451481696686E-2"/>
        <n v="2.5380710659898477E-2"/>
        <n v="4.8076923076923073E-2"/>
        <n v="2.3823704586063133E-2"/>
        <n v="4.4843049327354265E-2"/>
        <n v="6.097560975609756E-2"/>
        <n v="2.6298487836949377E-2"/>
        <n v="4.2194092827004218E-2"/>
        <n v="4.3219881145326849E-2"/>
        <n v="2.1186440677966104E-2"/>
        <n v="4.151838671411625E-2"/>
        <n v="1.9329896907216496E-2"/>
        <n v="4.6697798532354902E-2"/>
        <n v="3.1525851197982346E-2"/>
        <n v="4.1666666666666664E-2"/>
        <n v="1.3449899125756557E-2"/>
        <n v="3.0750307503075031E-2"/>
        <n v="2.7855153203342618E-2"/>
        <n v="3.3852403520649971E-2"/>
        <n v="3.1055900621118012E-2"/>
        <n v="1.1841326228537596E-2"/>
        <n v="6.4065230052417016E-2"/>
        <n v="4.0392383150605886E-2"/>
        <n v="5.2253429131286742E-2"/>
        <n v="4.9226441631504927E-2"/>
        <n v="4.5402951191827474E-2"/>
        <n v="4.0431266846361183E-2"/>
        <n v="3.0066145520144315E-2"/>
        <n v="2.5740025740025738E-2"/>
        <n v="5.7471264367816091E-2"/>
        <n v="2.3966446974236069E-2"/>
        <n v="1.9059720457433291E-2"/>
        <n v="5.3763440860215055E-2"/>
        <n v="5.7581573896353162E-2"/>
        <n v="4.5721750489875902E-2"/>
        <n v="4.4219835754895763E-2"/>
        <n v="5.3262316910785625E-2"/>
        <n v="3.6742192284139615E-2"/>
        <n v="4.2067307692307689E-2"/>
        <n v="2.39377618192699E-2"/>
        <n v="3.7735849056603772E-2"/>
        <n v="4.2042042042042045E-2"/>
        <n v="5.7729313662604233E-2"/>
        <n v="5.3989202159568088E-2"/>
        <n v="2.1750951604132679E-2"/>
        <n v="3.9267015706806283E-2"/>
        <n v="4.6511627906976744E-2"/>
        <n v="3.0413625304136251E-2"/>
        <n v="7.8787878787878782E-2"/>
        <n v="3.1387319522912738E-2"/>
        <n v="3.1725888324873094E-2"/>
        <n v="2.983293556085919E-2"/>
        <n v="1.3869625520110958E-2"/>
        <n v="2.3710729104919979E-2"/>
        <n v="3.9977155910908051E-2"/>
        <n v="2.0463847203274217E-2"/>
        <n v="1.28783000643915E-2"/>
        <n v="2.3242300987797792E-2"/>
        <n v="4.7421458209839958E-2"/>
        <n v="3.004807692307692E-2"/>
        <n v="3.3355570380253503E-2"/>
        <n v="2.5412960609911054E-2"/>
        <n v="4.3931905546403076E-2"/>
        <n v="2.3446658851113716E-2"/>
        <n v="5.5058499655884371E-2"/>
        <n v="4.2918454935622317E-2"/>
        <n v="2.8776978417266189E-2"/>
        <n v="4.2449969678593089E-2"/>
        <n v="5.6039850560398508E-2"/>
        <n v="2.4539877300613498E-2"/>
        <n v="2.3767082590612002E-2"/>
        <n v="1.3995801259622112E-2"/>
        <n v="5.3892215568862277E-2"/>
        <n v="1.3395847287340923E-2"/>
        <n v="3.2278889606197549E-2"/>
        <n v="4.450095359186268E-2"/>
        <n v="1.3063357282821686E-2"/>
        <n v="5.1347881899871627E-2"/>
        <n v="2.0229265003371542E-2"/>
        <n v="3.9973351099267154E-2"/>
        <n v="4.799040191961608E-2"/>
        <n v="4.2168674698795178E-2"/>
        <n v="3.4090909090909088E-2"/>
        <n v="6.0204695966285374E-2"/>
        <n v="1.9723865877712032E-2"/>
        <n v="1.7720023626698167E-2"/>
        <n v="5.0093926111458992E-2"/>
        <n v="6.9492703266157054E-3"/>
        <n v="2.3529411764705882E-2"/>
        <n v="2.8951939779965258E-2"/>
        <n v="3.0175015087507546E-2"/>
        <n v="5.9445178335535004E-2"/>
        <n v="2.9256875365710942E-2"/>
        <n v="3.7499999999999999E-2"/>
        <n v="3.1367628607277286E-2"/>
        <n v="3.0581039755351681E-2"/>
        <n v="2.4660912453760789E-2"/>
        <n v="5.8555627846454135E-2"/>
        <n v="6.1274509803921573E-2"/>
        <n v="2.2383883603805263E-2"/>
        <n v="4.0133779264214048E-2"/>
        <n v="3.3025099075297222E-2"/>
        <n v="4.6975924838520255E-2"/>
        <n v="2.1413276231263385E-2"/>
        <n v="1.3020833333333334E-2"/>
        <n v="5.8275058275058279E-3"/>
        <n v="3.7902716361339225E-2"/>
        <n v="5.0536955148452301E-2"/>
        <n v="4.71976401179941E-2"/>
        <n v="0.05"/>
        <n v="2.5252525252525252E-2"/>
        <n v="2.6809651474530832E-2"/>
        <n v="5.4911531421598533E-2"/>
        <n v="2.9463759575721865E-2"/>
        <n v="6.5061808718282377E-2"/>
        <n v="4.3370508054522923E-2"/>
        <n v="2.8109627547434995E-2"/>
        <n v="3.4317089910775568E-2"/>
        <n v="3.1036623215394167E-2"/>
        <n v="3.119151590767311E-2"/>
        <n v="4.8455481526347668E-2"/>
        <n v="6.6889632107023408E-2"/>
        <n v="2.3405500292568753E-2"/>
        <n v="3.0599755201958383E-2"/>
        <n v="4.6323103647944418E-2"/>
        <n v="3.669724770642202E-2"/>
        <n v="5.7102069950035694E-2"/>
        <n v="4.9720323182100679E-2"/>
        <n v="3.4924330616996506E-2"/>
        <n v="4.1608876560332873E-2"/>
        <n v="3.1094527363184077E-2"/>
        <n v="1.1331444759206799E-2"/>
        <n v="2.9655990510083038E-2"/>
        <n v="3.2195750160978746E-2"/>
        <n v="2.9394473838918283E-2"/>
        <n v="4.7761194029850747E-2"/>
        <n v="4.3777360850531584E-2"/>
        <n v="2.986857825567503E-2"/>
        <n v="1.824817518248175E-2"/>
        <n v="5.9880239520958087E-3"/>
        <n v="3.7082818294190356E-2"/>
        <n v="3.5671819262782407E-2"/>
        <n v="6.1391541609822652E-2"/>
        <n v="4.4518642181413472E-2"/>
        <n v="3.3185840707964598E-2"/>
        <n v="1.5048908954100828E-2"/>
        <n v="3.0693677102516879E-2"/>
        <n v="4.9352251696483655E-2"/>
        <n v="2.9377203290246772E-2"/>
        <n v="3.0506406345332519E-2"/>
        <n v="5.1446945337620578E-2"/>
        <n v="5.4377379010331697E-2"/>
        <n v="5.6890012642225034E-2"/>
        <n v="2.600780234070221E-2"/>
        <n v="3.6954915003695486E-2"/>
        <n v="2.4783147459727383E-2"/>
        <n v="5.9721300597213013E-2"/>
        <n v="7.10594315245478E-2"/>
        <n v="3.2573289902280131E-2"/>
        <n v="5.4310930074677521E-2"/>
        <n v="3.1328320802005011E-2"/>
        <n v="2.6367831245880029E-2"/>
        <n v="5.3475935828877004E-2"/>
        <n v="1.7688679245283018E-2"/>
        <n v="3.6563071297989032E-2"/>
        <n v="2.5236593059936908E-2"/>
        <n v="2.358490566037736E-2"/>
        <n v="4.0733197556008141E-2"/>
        <n v="1.3440860215053762E-2"/>
        <n v="1.2795905310300703E-2"/>
        <n v="3.0156815440289503E-2"/>
        <n v="5.4901960784313725E-2"/>
        <n v="5.0962627406568518E-2"/>
        <n v="4.0091638029782363E-2"/>
        <n v="3.6319612590799036E-2"/>
        <n v="5.6577086280056574E-2"/>
        <n v="2.6827632461435279E-2"/>
        <n v="3.007518796992481E-2"/>
        <n v="3.5067212156633547E-2"/>
        <n v="1.8326206475259621E-2"/>
        <n v="3.3898305084745763E-2"/>
        <n v="3.780718336483932E-2"/>
        <n v="3.4129692832764506E-2"/>
        <n v="2.4494794856093079E-2"/>
        <n v="5.7438253877082138E-2"/>
        <n v="1.9841269841269844E-2"/>
        <n v="4.7562425683709872E-2"/>
        <n v="6.4061499039077513E-2"/>
        <n v="3.1806615776081425E-2"/>
        <n v="2.6385224274406333E-2"/>
        <n v="1.8303843807199512E-2"/>
        <n v="8.7365591397849454E-2"/>
        <n v="4.0955631399317405E-2"/>
        <n v="4.0322580645161289E-2"/>
        <n v="6.5019505851755524E-3"/>
        <n v="3.2362459546925564E-2"/>
        <n v="2.5125628140703519E-2"/>
        <n v="4.3258832011535693E-2"/>
        <n v="3.8510911424903718E-2"/>
        <n v="3.7290242386575509E-2"/>
        <n v="3.8734667527437053E-2"/>
        <n v="5.9844404548174746E-2"/>
        <n v="1.9392372333548805E-2"/>
        <n v="3.8809831824062099E-2"/>
        <n v="1.2150668286755772E-2"/>
        <n v="5.8343057176196034E-2"/>
        <n v="7.3333333333333334E-2"/>
        <n v="2.9411764705882353E-2"/>
        <n v="4.9937578027465672E-2"/>
        <n v="5.5589870290302656E-2"/>
        <n v="6.4226075786769435E-2"/>
        <n v="4.7265361242403783E-2"/>
        <n v="8.3391243919388458E-2"/>
        <n v="2.4906600249066005E-2"/>
        <n v="7.5046904315196991E-2"/>
        <n v="1.3201320132013201E-2"/>
        <n v="5.5452865064695003E-2"/>
        <n v="3.8910505836575876E-2"/>
        <n v="4.2270531400966184E-2"/>
        <n v="5.2527905449770186E-2"/>
        <n v="5.2321778940483975E-2"/>
        <n v="9.5432856169052491E-2"/>
        <n v="4.3183220234423197E-2"/>
        <n v="5.1724137931034482E-2"/>
        <n v="5.0793650793650794E-2"/>
        <n v="1.1890606420927468E-2"/>
        <n v="2.4737167594310452E-2"/>
        <n v="1.2026458208057726E-2"/>
        <n v="3.9292730844793719E-2"/>
        <n v="3.1746031746031744E-2"/>
        <n v="2.557544757033248E-2"/>
        <n v="3.2959789057350038E-2"/>
        <n v="3.1075201988812928E-2"/>
        <n v="3.7783375314861457E-2"/>
        <n v="4.6565774155995339E-2"/>
        <n v="1.3037809647979138E-2"/>
        <n v="3.722084367245658E-2"/>
        <n v="7.660167130919221E-2"/>
        <n v="4.2949176807444527E-2"/>
        <n v="3.3613445378151259E-2"/>
        <n v="4.1465100207325502E-2"/>
        <n v="3.8885288399222291E-2"/>
        <n v="1.7657445556209534E-2"/>
        <n v="7.4626865671641784E-2"/>
        <n v="1.8856065367693277E-2"/>
        <n v="3.741314804917157E-2"/>
        <n v="4.1641879833432482E-2"/>
        <n v="1.7974835230677052E-2"/>
        <n v="5.0156739811912224E-2"/>
        <n v="7.2511535926170073E-2"/>
        <n v="6.0307017543859649E-2"/>
        <n v="8.2018927444794956E-2"/>
        <n v="6.4850843060959798E-2"/>
        <n v="5.322294500295683E-2"/>
        <n v="1.2239902080783353E-2"/>
        <n v="1.2804097311139566E-2"/>
        <n v="5.379959650302623E-2"/>
        <n v="4.1152263374485597E-2"/>
        <n v="4.2944785276073622E-2"/>
        <n v="2.8818443804034581E-2"/>
        <n v="1.7564402810304448E-2"/>
        <n v="2.9222676797194622E-2"/>
        <n v="5.7692307692307696E-2"/>
        <n v="4.3859649122807022E-2"/>
        <n v="4.2143287176399757E-2"/>
        <n v="4.5045045045045043E-2"/>
        <n v="3.4387895460797797E-2"/>
        <n v="2.4645717806531114E-2"/>
        <n v="5.5632823365785809E-2"/>
        <n v="4.6082949308755762E-2"/>
        <n v="6.5963060686015833E-3"/>
        <n v="3.0120481927710843E-2"/>
        <n v="5.4644808743169397E-2"/>
        <n v="3.9344262295081971E-2"/>
        <n v="6.00400266844563E-2"/>
        <n v="2.4860161591050339E-2"/>
        <n v="5.2173913043478258E-2"/>
        <n v="1.2484394506866418E-2"/>
        <n v="1.8292682926829267E-2"/>
        <n v="6.1842918985776131E-3"/>
        <n v="3.484320557491289E-2"/>
        <n v="3.3829499323410013E-2"/>
        <n v="1.1682242990654207E-2"/>
        <n v="3.875968992248062E-2"/>
        <n v="3.7383177570093455E-2"/>
        <n v="3.8412291933418698E-2"/>
        <n v="3.7664783427495289E-2"/>
        <n v="4.9474335188620905E-2"/>
        <n v="3.8834951456310676E-2"/>
        <n v="3.6057692307692304E-2"/>
        <n v="4.1716328963051247E-2"/>
        <n v="2.6560424966799469E-2"/>
        <n v="5.7061340941512127E-2"/>
        <n v="4.5751633986928102E-2"/>
        <n v="1.8915510718789406E-2"/>
        <n v="3.3046926635822864E-2"/>
        <n v="1.2853470437017995E-2"/>
        <n v="3.7570444583594244E-2"/>
        <n v="2.1668472372697724E-2"/>
        <n v="2.3952095808383235E-2"/>
        <n v="2.3923444976076555E-2"/>
        <n v="2.4316109422492401E-2"/>
        <n v="4.4757033248081841E-2"/>
        <n v="4.3942247332077834E-2"/>
        <n v="3.1645569620253167E-2"/>
        <n v="1.3458950201884253E-2"/>
        <n v="3.6341611144760755E-2"/>
        <n v="1.7554125219426564E-2"/>
        <n v="3.8046924540266334E-2"/>
        <n v="4.5558086560364468E-2"/>
        <n v="5.6962025316455694E-2"/>
        <n v="3.8314176245210732E-2"/>
        <n v="5.4878048780487805E-2"/>
        <n v="4.8409405255878286E-2"/>
        <n v="2.2844089091947458E-2"/>
        <n v="4.0253018976423229E-2"/>
        <n v="5.057803468208092E-2"/>
        <n v="5.7183702644746245E-2"/>
        <n v="1.82370820668693E-2"/>
        <n v="2.8280542986425336E-2"/>
        <n v="5.1746442432082797E-2"/>
        <n v="4.5897877223178424E-2"/>
        <n v="3.6630036630036625E-2"/>
        <n v="3.5523978685612786E-2"/>
        <n v="5.6144728633811598E-2"/>
        <n v="3.3482142857142856E-2"/>
        <n v="4.8602673147023087E-2"/>
        <n v="2.9922202274087373E-2"/>
        <n v="1.3157894736842105E-2"/>
        <n v="1.9986675549633577E-2"/>
        <n v="3.6385688295936927E-2"/>
        <n v="4.7393364928909949E-2"/>
        <n v="3.5231943628890192E-2"/>
        <n v="3.8216560509554139E-2"/>
        <n v="2.6315789473684209E-2"/>
        <n v="2.3795359904818562E-2"/>
        <n v="7.5424261470773107E-2"/>
        <n v="3.3333333333333333E-2"/>
        <n v="4.3887147335423198E-2"/>
        <n v="2.6472534745201854E-2"/>
        <n v="7.4571215510812833E-2"/>
        <n v="2.8768699654775604E-2"/>
        <n v="5.085823267641449E-2"/>
        <n v="3.911342894393742E-2"/>
        <n v="2.3001725129384702E-2"/>
        <n v="7.6530612244897947E-2"/>
        <n v="1.7584994138335287E-2"/>
        <n v="3.450655624568668E-2"/>
        <n v="3.737319807794981E-2"/>
        <n v="1.8359853121175031E-2"/>
        <n v="5.9241706161137435E-2"/>
        <n v="3.1867431485022309E-2"/>
        <n v="3.9473684210526314E-2"/>
        <n v="4.4585987261146494E-2"/>
        <n v="5.5826936496859728E-2"/>
        <n v="4.5766590389016017E-2"/>
        <n v="5.4282267792521106E-2"/>
        <n v="1.7301038062283735E-2"/>
        <n v="6.0769750168804863E-2"/>
        <n v="6.5554231227651957E-2"/>
        <n v="5.5594162612925643E-2"/>
        <n v="3.1565656565656568E-2"/>
        <n v="9.0909090909090912E-2"/>
        <n v="3.259452411994785E-2"/>
        <n v="2.5856496444731741E-2"/>
        <n v="5.2570093457943931E-2"/>
        <n v="2.4110910186859551E-2"/>
        <n v="5.9880239520958084E-2"/>
        <n v="4.4444444444444446E-2"/>
        <n v="3.64741641337386E-2"/>
        <n v="3.5486160397444996E-2"/>
        <n v="2.7808676307007785E-2"/>
        <n v="6.0790273556231005E-2"/>
        <n v="3.7546933667083851E-2"/>
        <n v="6.3037249283667621E-2"/>
        <n v="3.4364261168384883E-2"/>
        <n v="2.4875621890547261E-2"/>
        <n v="4.7281323877068564E-2"/>
        <n v="4.3586550435865505E-2"/>
        <n v="2.0270270270270271E-2"/>
        <n v="3.0637254901960786E-2"/>
        <n v="5.4086538461538457E-2"/>
        <n v="2.1382751247327154E-2"/>
        <n v="4.4275774826059461E-2"/>
        <n v="2.3557126030624261E-2"/>
        <n v="6.1652281134401979E-2"/>
        <n v="3.1230480949406621E-2"/>
        <n v="2.976190476190476E-2"/>
        <n v="4.7201618341200263E-2"/>
        <n v="3.9037085230969423E-2"/>
        <n v="3.7151702786377708E-2"/>
        <n v="6.8965517241379309E-2"/>
        <n v="5.1880674448767837E-2"/>
        <n v="6.2932662051604776E-2"/>
        <n v="2.0053475935828877E-2"/>
        <n v="2.4227740763173834E-2"/>
        <n v="1.8726591760299626E-2"/>
        <n v="3.8022813688212927E-2"/>
        <n v="4.8221820373719103E-2"/>
        <n v="1.834862385321101E-2"/>
        <n v="5.669737774627924E-2"/>
        <n v="1.8927444794952682E-2"/>
        <n v="6.9686411149825794E-2"/>
        <n v="4.926108374384236E-2"/>
        <n v="3.9395929087327641E-2"/>
        <n v="4.8985304408677398E-2"/>
        <n v="5.3349140486069951E-2"/>
        <n v="3.3921302578018994E-2"/>
        <n v="5.9800664451827246E-2"/>
        <n v="4.2892156862745098E-2"/>
        <n v="3.1133250311332503E-2"/>
        <n v="4.8426150121065381E-2"/>
        <n v="1.9035532994923859E-2"/>
        <n v="3.8684719535783368E-2"/>
        <n v="4.6542553191489359E-2"/>
        <n v="4.456824512534819E-2"/>
        <n v="2.4891101431238336E-2"/>
        <n v="3.4411562284927734E-2"/>
        <n v="4.9627791563275438E-2"/>
        <n v="3.2425421530479899E-2"/>
        <n v="2.2857142857142857E-2"/>
        <n v="2.955082742316785E-2"/>
        <n v="4.9291435613062227E-2"/>
        <n v="3.5992801439712063E-2"/>
        <n v="3.0921459492888066E-2"/>
        <n v="4.5610034207525657E-2"/>
        <n v="4.7253396337861783E-2"/>
        <n v="1.3183915622940015E-2"/>
        <n v="2.6684456304202801E-2"/>
        <n v="2.8248587570621469E-2"/>
        <n v="2.5078369905956112E-2"/>
        <n v="3.6518563603164939E-2"/>
        <n v="3.1887755102040817E-2"/>
        <n v="5.8139534883720929E-2"/>
        <n v="2.554278416347382E-2"/>
        <n v="5.9016393442622953E-2"/>
        <n v="5.2662375658279692E-2"/>
        <n v="1.8832391713747645E-2"/>
        <n v="2.4390243902439025E-2"/>
        <n v="3.0826140567200989E-2"/>
        <n v="2.677376171352075E-2"/>
        <n v="1.6713091922005572E-2"/>
        <n v="1.8867924528301886E-2"/>
        <n v="2.6990553306342781E-2"/>
        <n v="3.5005834305717617E-2"/>
        <n v="1.1695906432748537E-2"/>
        <n v="5.196733481811433E-2"/>
        <n v="7.1382219338092148E-2"/>
        <n v="4.1991601679664071E-2"/>
        <n v="1.7452006980802792E-2"/>
        <n v="6.1614294516327786E-2"/>
        <n v="3.7336652146857503E-2"/>
        <n v="3.0769230769230771E-2"/>
        <n v="1.8028846153846152E-2"/>
        <n v="3.970504821327283E-2"/>
        <n v="5.1340559041642891E-2"/>
        <n v="2.8392958546280524E-2"/>
        <n v="2.6333113890717578E-2"/>
        <n v="3.5211267605633804E-2"/>
        <n v="2.5477707006369428E-2"/>
        <n v="7.0028011204481794E-2"/>
        <n v="1.1862396204033215E-2"/>
        <n v="6.5316786414108428E-3"/>
        <n v="5.4570259208731244E-2"/>
        <n v="2.8851702250432775E-2"/>
        <n v="3.8071065989847719E-2"/>
        <n v="2.9886431560071727E-2"/>
        <n v="2.4615384615384615E-2"/>
        <n v="5.0651230101302465E-2"/>
        <n v="6.7775723967960569E-2"/>
        <n v="5.6426332288401257E-2"/>
        <n v="3.1347962382445138E-2"/>
        <n v="1.2666244458518048E-2"/>
        <n v="5.921052631578947E-2"/>
        <n v="4.1444641799881582E-2"/>
        <n v="4.3695380774032462E-2"/>
        <n v="4.3969849246231159E-2"/>
        <n v="4.4929396662387676E-2"/>
        <n v="3.9814200398142006E-2"/>
        <n v="4.0295500335795834E-2"/>
        <n v="3.4746351633078529E-2"/>
        <n v="8.5889570552147243E-2"/>
        <n v="4.9689440993788817E-2"/>
        <n v="7.2036673215455149E-2"/>
        <n v="2.5957170668397145E-2"/>
        <n v="3.7476577139287946E-2"/>
        <n v="3.1269543464665414E-2"/>
        <n v="2.6791694574681845E-2"/>
        <n v="6.6357000663570018E-2"/>
        <n v="6.1690314620604564E-2"/>
        <n v="4.4785668586052457E-2"/>
        <n v="2.5000000000000001E-2"/>
        <n v="5.725190839694657E-2"/>
        <n v="1.3080444735120994E-2"/>
        <n v="2.9708853238265002E-2"/>
        <n v="1.9132653061224487E-2"/>
        <n v="3.9318479685452164E-2"/>
        <n v="2.2792022792022793E-2"/>
        <n v="4.3397396156230623E-2"/>
        <n v="2.8129395218002815E-2"/>
        <n v="3.3094318808604521E-2"/>
        <n v="2.6954177897574125E-2"/>
        <n v="8.9073634204275526E-2"/>
        <n v="4.878048780487805E-2"/>
        <n v="8.0878105141536691E-2"/>
        <n v="5.1314945477870424E-2"/>
        <n v="1.1911852293031567E-2"/>
        <n v="6.8870523415977963E-2"/>
        <n v="2.4829298572315334E-2"/>
        <n v="2.2922636103151862E-2"/>
        <n v="1.2453300124533002E-2"/>
        <n v="4.8043925875085797E-2"/>
        <n v="6.6181336863004635E-3"/>
        <n v="2.5015634771732333E-2"/>
        <n v="2.8719126938541069E-2"/>
        <n v="3.4578146611341634E-2"/>
        <n v="4.6326935804103242E-2"/>
        <n v="1.2500000000000001E-2"/>
        <n v="6.0679611650485431E-2"/>
        <n v="6.535947712418301E-2"/>
        <n v="4.6296296296296301E-2"/>
        <n v="1.8159806295399518E-2"/>
        <n v="2.9726516052318672E-2"/>
        <n v="1.9023462270133167E-2"/>
        <n v="6.5549890750182083E-2"/>
        <n v="5.2972336668628606E-2"/>
        <n v="2.9481132075471699E-2"/>
        <n v="3.0321406913280776E-2"/>
        <n v="5.4200542005420058E-2"/>
        <n v="2.3296447291788005E-2"/>
        <n v="3.2051282051282048E-2"/>
        <n v="2.3337222870478413E-2"/>
        <n v="4.2971147943523635E-2"/>
        <n v="2.3474178403755867E-2"/>
        <n v="6.006006006006006E-2"/>
        <n v="2.2484541877459244E-2"/>
        <n v="8.6956521739130432E-2"/>
        <n v="5.4127198917456015E-2"/>
        <n v="6.0132291040288631E-2"/>
        <n v="1.2698412698412698E-2"/>
        <n v="2.1067415730337078E-2"/>
        <n v="4.0721349621873182E-2"/>
        <n v="4.3316831683168321E-2"/>
        <n v="4.7114252061248522E-2"/>
        <n v="2.6595744680851064E-2"/>
        <n v="4.0983606557377046E-2"/>
        <n v="6.0639470782800436E-2"/>
        <n v="3.3688938798427853E-2"/>
        <n v="1.2322858903265557E-2"/>
        <n v="2.1770682148040638E-2"/>
        <n v="4.1522491349480967E-2"/>
        <n v="3.2258064516129031E-2"/>
        <n v="2.3880597014925373E-2"/>
        <n v="4.3505282784338094E-2"/>
        <n v="3.9011703511053313E-2"/>
        <n v="5.2234474753337201E-2"/>
        <n v="3.3594624860022397E-2"/>
        <n v="1.8461538461538463E-2"/>
        <n v="2.7901785714285716E-2"/>
        <n v="2.4524831391784182E-2"/>
        <n v="2.2014309301045681E-2"/>
        <n v="5.2023121387283239E-2"/>
        <n v="4.0349697377269671E-2"/>
        <n v="5.8754406580493544E-2"/>
        <n v="4.6573519627411838E-2"/>
        <n v="5.2666227781435156E-2"/>
        <n v="5.763688760806916E-3"/>
        <n v="4.712041884816754E-2"/>
        <n v="6.7613252197430695E-2"/>
        <n v="3.7974683544303799E-2"/>
        <n v="0.08"/>
        <n v="2.5839793281653745E-2"/>
        <n v="3.0845157310302282E-2"/>
        <n v="4.9751243781094523E-2"/>
        <n v="2.2870211549456832E-2"/>
        <n v="6.194081211286992E-2"/>
        <n v="3.4722222222222217E-2"/>
        <n v="5.4678007290400975E-2"/>
        <n v="4.8396854204476702E-2"/>
        <n v="3.0211480362537766E-2"/>
        <n v="6.1312078479460455E-3"/>
        <n v="3.7128712871287127E-2"/>
        <n v="3.6968576709796669E-2"/>
        <n v="2.0394289598912305E-2"/>
        <n v="2.4767801857585141E-2"/>
        <n v="6.2189054726368154E-2"/>
        <n v="2.6437541308658292E-2"/>
        <n v="7.1022727272727265E-2"/>
        <n v="1.330671989354624E-2"/>
        <n v="4.5219638242894052E-2"/>
        <n v="3.7406483790523692E-2"/>
        <n v="2.4464831804281346E-2"/>
        <n v="4.8176187198898823E-2"/>
        <n v="2.5300442757748263E-2"/>
        <n v="3.7712130735386554E-2"/>
        <n v="1.7201834862385322E-2"/>
        <n v="3.4207525655644243E-2"/>
        <n v="4.195804195804196E-2"/>
        <n v="3.9954337899543384E-2"/>
        <n v="1.8259281801582469E-2"/>
        <n v="5.4249547920433995E-2"/>
        <n v="3.1685678073510769E-2"/>
        <n v="4.6357615894039736E-2"/>
        <n v="1.8679950186799504E-2"/>
        <n v="3.9603960396039604E-2"/>
        <n v="3.601440576230492E-2"/>
        <n v="3.5820895522388062E-2"/>
        <n v="5.9701492537313432E-2"/>
        <n v="2.2296544035674468E-2"/>
        <n v="4.3343653250773995E-2"/>
        <n v="3.3738191632928474E-2"/>
        <n v="3.5046728971962621E-2"/>
        <n v="2.8918449971081547E-2"/>
        <n v="3.5502958579881658E-2"/>
        <n v="1.2232415902140673E-2"/>
        <n v="4.8163756773028296E-2"/>
        <n v="5.8977719528178249E-2"/>
        <n v="4.2342978122794639E-2"/>
        <n v="4.4303797468354431E-2"/>
        <n v="4.5992115637319322E-2"/>
        <n v="4.4370493621741537E-2"/>
        <n v="4.8543689320388349E-2"/>
        <n v="6.6533599467731202E-3"/>
        <n v="4.8848569434752263E-2"/>
        <n v="4.1741204531902207E-2"/>
        <n v="3.7926675094816689E-2"/>
        <n v="6.0864272671941569E-2"/>
        <n v="1.9749835418038181E-2"/>
        <n v="4.0299366724237194E-2"/>
        <n v="1.1855364552459989E-2"/>
        <n v="5.4380664652567974E-2"/>
        <n v="7.1899340922708208E-2"/>
        <n v="4.6838407494145196E-2"/>
        <n v="5.977286312014345E-3"/>
        <n v="6.5274151436031339E-2"/>
        <n v="4.0241448692152917E-2"/>
        <n v="1.6882386043894203E-2"/>
        <n v="1.8975332068311195E-2"/>
        <n v="3.4344590726960507E-2"/>
        <n v="7.2320841551610782E-2"/>
        <n v="4.2997542997542992E-2"/>
        <n v="6.7650676506765067E-2"/>
        <n v="4.1543026706231452E-2"/>
        <n v="5.5970149253731338E-2"/>
        <n v="3.2722513089005235E-2"/>
        <n v="3.4482758620689655E-2"/>
        <n v="4.7058823529411764E-2"/>
        <n v="4.2674253200568994E-2"/>
        <n v="6.9841269841269843E-2"/>
        <n v="1.9230769230769232E-2"/>
        <n v="8.8216761184625084E-2"/>
        <n v="5.5147058823529417E-2"/>
        <n v="6.7484662576687116E-2"/>
        <n v="2.3738872403560832E-2"/>
        <n v="7.0558050032071842E-2"/>
        <n v="4.9191848208011237E-2"/>
        <n v="3.8363171355498722E-2"/>
        <n v="4.6885465505693232E-2"/>
        <n v="1.7401392111368909E-2"/>
        <n v="5.7770075101097633E-3"/>
        <n v="6.4102564102564097E-2"/>
        <n v="1.2437810945273631E-2"/>
        <n v="2.4154589371980676E-2"/>
        <n v="0.06"/>
        <n v="1.7513134851138354E-2"/>
        <n v="3.1446540880503145E-2"/>
        <n v="4.784688995215311E-2"/>
        <n v="3.5714285714285712E-2"/>
        <n v="5.4384772263766146E-2"/>
        <n v="4.5845272206303724E-2"/>
        <n v="8.3217753120665747E-2"/>
        <n v="3.9577836411609502E-2"/>
        <n v="2.5624599615631006E-2"/>
        <n v="8.5470085470085472E-2"/>
        <n v="4.0404040404040407E-2"/>
        <n v="4.0626813697040041E-2"/>
        <n v="4.2372881355932208E-2"/>
        <n v="3.2171581769436998E-2"/>
        <n v="5.3827751196172252E-2"/>
        <n v="2.8735632183908046E-2"/>
        <n v="4.6235138705416116E-2"/>
        <n v="1.7045454545454544E-2"/>
        <n v="3.8784744667097609E-2"/>
        <n v="5.4163845633039949E-2"/>
        <n v="3.9637599093997736E-2"/>
        <n v="2.9069767441860465E-2"/>
        <n v="2.7210884353741496E-2"/>
        <n v="4.3914680050188205E-2"/>
        <n v="3.5842293906810034E-2"/>
        <n v="5.1380860629415548E-2"/>
      </sharedItems>
    </cacheField>
    <cacheField name="Days (month)" numFmtId="0" databaseField="0">
      <fieldGroup base="15">
        <rangePr groupBy="days" startDate="2024-01-01T00:00:00" endDate="2024-11-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1/2024"/>
        </groupItems>
      </fieldGroup>
    </cacheField>
    <cacheField name="Months (month)" numFmtId="0" databaseField="0">
      <fieldGroup base="15">
        <rangePr groupBy="months" startDate="2024-01-01T00:00:00" endDate="2024-11-02T00:00:00"/>
        <groupItems count="14">
          <s v="&lt;01/01/2024"/>
          <s v="Jan"/>
          <s v="Feb"/>
          <s v="Mar"/>
          <s v="Apr"/>
          <s v="May"/>
          <s v="Jun"/>
          <s v="Jul"/>
          <s v="Aug"/>
          <s v="Sep"/>
          <s v="Oct"/>
          <s v="Nov"/>
          <s v="Dec"/>
          <s v="&gt;02/11/2024"/>
        </groupItems>
      </fieldGroup>
    </cacheField>
  </cacheFields>
  <extLst>
    <ext xmlns:x14="http://schemas.microsoft.com/office/spreadsheetml/2009/9/main" uri="{725AE2AE-9491-48be-B2B4-4EB974FC3084}">
      <x14:pivotCacheDefinition pivotCacheId="830604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s v="PhD"/>
    <n v="7"/>
    <n v="154.5"/>
    <x v="0"/>
    <x v="0"/>
    <x v="0"/>
    <n v="9.5500000000000007"/>
    <x v="0"/>
    <x v="0"/>
    <x v="0"/>
    <x v="0"/>
    <x v="0"/>
    <x v="0"/>
    <x v="0"/>
    <x v="0"/>
  </r>
  <r>
    <x v="0"/>
    <x v="1"/>
    <x v="1"/>
    <s v="PhD"/>
    <n v="6"/>
    <n v="174.6"/>
    <x v="1"/>
    <x v="1"/>
    <x v="1"/>
    <n v="8.41"/>
    <x v="1"/>
    <x v="1"/>
    <x v="1"/>
    <x v="1"/>
    <x v="1"/>
    <x v="0"/>
    <x v="1"/>
    <x v="1"/>
  </r>
  <r>
    <x v="0"/>
    <x v="2"/>
    <x v="0"/>
    <s v="PhD"/>
    <n v="9"/>
    <n v="161.19999999999999"/>
    <x v="2"/>
    <x v="2"/>
    <x v="0"/>
    <n v="8.92"/>
    <x v="2"/>
    <x v="2"/>
    <x v="0"/>
    <x v="0"/>
    <x v="2"/>
    <x v="1"/>
    <x v="2"/>
    <x v="2"/>
  </r>
  <r>
    <x v="0"/>
    <x v="0"/>
    <x v="0"/>
    <s v="Bachelors"/>
    <n v="6"/>
    <n v="163.19999999999999"/>
    <x v="3"/>
    <x v="3"/>
    <x v="2"/>
    <n v="5.93"/>
    <x v="3"/>
    <x v="2"/>
    <x v="1"/>
    <x v="1"/>
    <x v="3"/>
    <x v="1"/>
    <x v="0"/>
    <x v="3"/>
  </r>
  <r>
    <x v="0"/>
    <x v="2"/>
    <x v="0"/>
    <s v="PhD"/>
    <n v="9"/>
    <n v="153.19999999999999"/>
    <x v="4"/>
    <x v="4"/>
    <x v="1"/>
    <n v="8.9"/>
    <x v="4"/>
    <x v="2"/>
    <x v="1"/>
    <x v="1"/>
    <x v="4"/>
    <x v="2"/>
    <x v="1"/>
    <x v="4"/>
  </r>
  <r>
    <x v="0"/>
    <x v="2"/>
    <x v="2"/>
    <s v="Bachelors"/>
    <n v="7"/>
    <n v="148.9"/>
    <x v="5"/>
    <x v="5"/>
    <x v="3"/>
    <n v="9.5299999999999994"/>
    <x v="5"/>
    <x v="2"/>
    <x v="0"/>
    <x v="1"/>
    <x v="5"/>
    <x v="3"/>
    <x v="0"/>
    <x v="5"/>
  </r>
  <r>
    <x v="0"/>
    <x v="3"/>
    <x v="0"/>
    <s v="Bachelors"/>
    <n v="4"/>
    <n v="157.80000000000001"/>
    <x v="6"/>
    <x v="6"/>
    <x v="1"/>
    <n v="6.72"/>
    <x v="6"/>
    <x v="0"/>
    <x v="2"/>
    <x v="2"/>
    <x v="6"/>
    <x v="4"/>
    <x v="1"/>
    <x v="6"/>
  </r>
  <r>
    <x v="0"/>
    <x v="3"/>
    <x v="3"/>
    <s v="Bachelors"/>
    <n v="4"/>
    <n v="161"/>
    <x v="7"/>
    <x v="7"/>
    <x v="0"/>
    <n v="7.01"/>
    <x v="7"/>
    <x v="2"/>
    <x v="1"/>
    <x v="2"/>
    <x v="7"/>
    <x v="5"/>
    <x v="0"/>
    <x v="7"/>
  </r>
  <r>
    <x v="0"/>
    <x v="0"/>
    <x v="0"/>
    <s v="Masters"/>
    <n v="3"/>
    <n v="150.9"/>
    <x v="8"/>
    <x v="8"/>
    <x v="0"/>
    <n v="6.65"/>
    <x v="8"/>
    <x v="2"/>
    <x v="1"/>
    <x v="2"/>
    <x v="8"/>
    <x v="6"/>
    <x v="1"/>
    <x v="8"/>
  </r>
  <r>
    <x v="0"/>
    <x v="3"/>
    <x v="4"/>
    <s v="Masters"/>
    <n v="8"/>
    <n v="161"/>
    <x v="9"/>
    <x v="9"/>
    <x v="4"/>
    <n v="7.51"/>
    <x v="9"/>
    <x v="2"/>
    <x v="1"/>
    <x v="1"/>
    <x v="9"/>
    <x v="7"/>
    <x v="1"/>
    <x v="9"/>
  </r>
  <r>
    <x v="0"/>
    <x v="4"/>
    <x v="4"/>
    <s v="Bachelors"/>
    <n v="6"/>
    <n v="174"/>
    <x v="3"/>
    <x v="10"/>
    <x v="0"/>
    <n v="10"/>
    <x v="10"/>
    <x v="2"/>
    <x v="0"/>
    <x v="0"/>
    <x v="10"/>
    <x v="8"/>
    <x v="1"/>
    <x v="10"/>
  </r>
  <r>
    <x v="0"/>
    <x v="2"/>
    <x v="3"/>
    <s v="PhD"/>
    <n v="3"/>
    <n v="154.6"/>
    <x v="1"/>
    <x v="0"/>
    <x v="5"/>
    <n v="3.8"/>
    <x v="11"/>
    <x v="2"/>
    <x v="2"/>
    <x v="2"/>
    <x v="11"/>
    <x v="9"/>
    <x v="1"/>
    <x v="11"/>
  </r>
  <r>
    <x v="1"/>
    <x v="2"/>
    <x v="1"/>
    <s v="PhD"/>
    <n v="1"/>
    <n v="162.6"/>
    <x v="10"/>
    <x v="11"/>
    <x v="6"/>
    <n v="5.52"/>
    <x v="12"/>
    <x v="0"/>
    <x v="1"/>
    <x v="0"/>
    <x v="12"/>
    <x v="0"/>
    <x v="2"/>
    <x v="12"/>
  </r>
  <r>
    <x v="1"/>
    <x v="1"/>
    <x v="3"/>
    <s v="Bachelors"/>
    <n v="9"/>
    <n v="146.69999999999999"/>
    <x v="11"/>
    <x v="12"/>
    <x v="7"/>
    <n v="6.4"/>
    <x v="13"/>
    <x v="0"/>
    <x v="1"/>
    <x v="0"/>
    <x v="13"/>
    <x v="0"/>
    <x v="2"/>
    <x v="13"/>
  </r>
  <r>
    <x v="1"/>
    <x v="4"/>
    <x v="3"/>
    <s v="Masters"/>
    <n v="1"/>
    <n v="166.3"/>
    <x v="12"/>
    <x v="13"/>
    <x v="4"/>
    <n v="8.2200000000000006"/>
    <x v="14"/>
    <x v="2"/>
    <x v="2"/>
    <x v="2"/>
    <x v="14"/>
    <x v="1"/>
    <x v="1"/>
    <x v="14"/>
  </r>
  <r>
    <x v="1"/>
    <x v="1"/>
    <x v="3"/>
    <s v="Masters"/>
    <n v="7"/>
    <n v="158.9"/>
    <x v="13"/>
    <x v="14"/>
    <x v="4"/>
    <n v="5.07"/>
    <x v="15"/>
    <x v="0"/>
    <x v="1"/>
    <x v="1"/>
    <x v="15"/>
    <x v="1"/>
    <x v="2"/>
    <x v="15"/>
  </r>
  <r>
    <x v="1"/>
    <x v="3"/>
    <x v="0"/>
    <s v="PhD"/>
    <n v="9"/>
    <n v="150.4"/>
    <x v="1"/>
    <x v="15"/>
    <x v="2"/>
    <n v="6.59"/>
    <x v="0"/>
    <x v="2"/>
    <x v="2"/>
    <x v="0"/>
    <x v="16"/>
    <x v="2"/>
    <x v="1"/>
    <x v="16"/>
  </r>
  <r>
    <x v="1"/>
    <x v="2"/>
    <x v="1"/>
    <s v="Bachelors"/>
    <n v="6"/>
    <n v="155.9"/>
    <x v="14"/>
    <x v="16"/>
    <x v="8"/>
    <n v="7"/>
    <x v="10"/>
    <x v="2"/>
    <x v="0"/>
    <x v="2"/>
    <x v="17"/>
    <x v="3"/>
    <x v="1"/>
    <x v="17"/>
  </r>
  <r>
    <x v="1"/>
    <x v="3"/>
    <x v="4"/>
    <s v="Bachelors"/>
    <n v="4"/>
    <n v="146.9"/>
    <x v="15"/>
    <x v="17"/>
    <x v="0"/>
    <n v="8.76"/>
    <x v="16"/>
    <x v="2"/>
    <x v="2"/>
    <x v="2"/>
    <x v="18"/>
    <x v="4"/>
    <x v="1"/>
    <x v="18"/>
  </r>
  <r>
    <x v="1"/>
    <x v="0"/>
    <x v="1"/>
    <s v="Bachelors"/>
    <n v="6"/>
    <n v="169.5"/>
    <x v="1"/>
    <x v="4"/>
    <x v="8"/>
    <n v="9.98"/>
    <x v="17"/>
    <x v="2"/>
    <x v="0"/>
    <x v="2"/>
    <x v="19"/>
    <x v="5"/>
    <x v="1"/>
    <x v="19"/>
  </r>
  <r>
    <x v="1"/>
    <x v="3"/>
    <x v="0"/>
    <s v="Bachelors"/>
    <n v="5"/>
    <n v="147.1"/>
    <x v="16"/>
    <x v="18"/>
    <x v="8"/>
    <n v="5.55"/>
    <x v="18"/>
    <x v="2"/>
    <x v="2"/>
    <x v="1"/>
    <x v="20"/>
    <x v="6"/>
    <x v="1"/>
    <x v="20"/>
  </r>
  <r>
    <x v="1"/>
    <x v="3"/>
    <x v="1"/>
    <s v="PhD"/>
    <n v="8"/>
    <n v="163.4"/>
    <x v="17"/>
    <x v="10"/>
    <x v="6"/>
    <n v="9.0500000000000007"/>
    <x v="19"/>
    <x v="2"/>
    <x v="0"/>
    <x v="2"/>
    <x v="21"/>
    <x v="7"/>
    <x v="2"/>
    <x v="21"/>
  </r>
  <r>
    <x v="1"/>
    <x v="4"/>
    <x v="1"/>
    <s v="Masters"/>
    <n v="2"/>
    <n v="155.1"/>
    <x v="18"/>
    <x v="15"/>
    <x v="1"/>
    <n v="6.8"/>
    <x v="20"/>
    <x v="0"/>
    <x v="1"/>
    <x v="0"/>
    <x v="22"/>
    <x v="8"/>
    <x v="1"/>
    <x v="22"/>
  </r>
  <r>
    <x v="1"/>
    <x v="2"/>
    <x v="4"/>
    <s v="Masters"/>
    <n v="4"/>
    <n v="164.5"/>
    <x v="19"/>
    <x v="3"/>
    <x v="5"/>
    <n v="9.58"/>
    <x v="21"/>
    <x v="0"/>
    <x v="2"/>
    <x v="1"/>
    <x v="23"/>
    <x v="9"/>
    <x v="2"/>
    <x v="23"/>
  </r>
  <r>
    <x v="2"/>
    <x v="4"/>
    <x v="4"/>
    <s v="Masters"/>
    <n v="3"/>
    <n v="173.1"/>
    <x v="20"/>
    <x v="19"/>
    <x v="1"/>
    <n v="7.03"/>
    <x v="22"/>
    <x v="0"/>
    <x v="0"/>
    <x v="0"/>
    <x v="24"/>
    <x v="0"/>
    <x v="0"/>
    <x v="24"/>
  </r>
  <r>
    <x v="2"/>
    <x v="1"/>
    <x v="4"/>
    <s v="Masters"/>
    <n v="3"/>
    <n v="151.5"/>
    <x v="11"/>
    <x v="20"/>
    <x v="6"/>
    <n v="6.29"/>
    <x v="22"/>
    <x v="0"/>
    <x v="1"/>
    <x v="0"/>
    <x v="25"/>
    <x v="0"/>
    <x v="1"/>
    <x v="25"/>
  </r>
  <r>
    <x v="2"/>
    <x v="0"/>
    <x v="1"/>
    <s v="PhD"/>
    <n v="9"/>
    <n v="166.1"/>
    <x v="1"/>
    <x v="21"/>
    <x v="8"/>
    <n v="7.81"/>
    <x v="23"/>
    <x v="0"/>
    <x v="1"/>
    <x v="1"/>
    <x v="26"/>
    <x v="1"/>
    <x v="0"/>
    <x v="26"/>
  </r>
  <r>
    <x v="2"/>
    <x v="4"/>
    <x v="4"/>
    <s v="Bachelors"/>
    <n v="9"/>
    <n v="142.6"/>
    <x v="1"/>
    <x v="22"/>
    <x v="8"/>
    <n v="10"/>
    <x v="24"/>
    <x v="0"/>
    <x v="0"/>
    <x v="2"/>
    <x v="27"/>
    <x v="1"/>
    <x v="2"/>
    <x v="27"/>
  </r>
  <r>
    <x v="2"/>
    <x v="2"/>
    <x v="2"/>
    <s v="PhD"/>
    <n v="8"/>
    <n v="163.19999999999999"/>
    <x v="8"/>
    <x v="23"/>
    <x v="4"/>
    <n v="9.8000000000000007"/>
    <x v="25"/>
    <x v="1"/>
    <x v="0"/>
    <x v="1"/>
    <x v="28"/>
    <x v="2"/>
    <x v="1"/>
    <x v="28"/>
  </r>
  <r>
    <x v="2"/>
    <x v="0"/>
    <x v="0"/>
    <s v="PhD"/>
    <n v="5"/>
    <n v="168.4"/>
    <x v="21"/>
    <x v="7"/>
    <x v="6"/>
    <n v="6.05"/>
    <x v="26"/>
    <x v="0"/>
    <x v="2"/>
    <x v="2"/>
    <x v="29"/>
    <x v="3"/>
    <x v="0"/>
    <x v="29"/>
  </r>
  <r>
    <x v="2"/>
    <x v="3"/>
    <x v="0"/>
    <s v="Masters"/>
    <n v="8"/>
    <n v="170.3"/>
    <x v="22"/>
    <x v="24"/>
    <x v="9"/>
    <n v="8.0399999999999991"/>
    <x v="27"/>
    <x v="0"/>
    <x v="0"/>
    <x v="0"/>
    <x v="30"/>
    <x v="4"/>
    <x v="0"/>
    <x v="30"/>
  </r>
  <r>
    <x v="2"/>
    <x v="4"/>
    <x v="0"/>
    <s v="PhD"/>
    <n v="1"/>
    <n v="173.7"/>
    <x v="23"/>
    <x v="25"/>
    <x v="10"/>
    <n v="6.94"/>
    <x v="28"/>
    <x v="2"/>
    <x v="2"/>
    <x v="2"/>
    <x v="31"/>
    <x v="5"/>
    <x v="0"/>
    <x v="31"/>
  </r>
  <r>
    <x v="2"/>
    <x v="2"/>
    <x v="1"/>
    <s v="PhD"/>
    <n v="5"/>
    <n v="160.1"/>
    <x v="24"/>
    <x v="21"/>
    <x v="5"/>
    <n v="8.43"/>
    <x v="4"/>
    <x v="2"/>
    <x v="1"/>
    <x v="1"/>
    <x v="32"/>
    <x v="6"/>
    <x v="0"/>
    <x v="32"/>
  </r>
  <r>
    <x v="2"/>
    <x v="3"/>
    <x v="4"/>
    <s v="PhD"/>
    <n v="6"/>
    <n v="154.80000000000001"/>
    <x v="25"/>
    <x v="26"/>
    <x v="7"/>
    <n v="10"/>
    <x v="29"/>
    <x v="2"/>
    <x v="1"/>
    <x v="0"/>
    <x v="33"/>
    <x v="7"/>
    <x v="1"/>
    <x v="33"/>
  </r>
  <r>
    <x v="2"/>
    <x v="3"/>
    <x v="1"/>
    <s v="PhD"/>
    <n v="7"/>
    <n v="179.1"/>
    <x v="26"/>
    <x v="27"/>
    <x v="1"/>
    <n v="9.6300000000000008"/>
    <x v="30"/>
    <x v="2"/>
    <x v="2"/>
    <x v="0"/>
    <x v="34"/>
    <x v="8"/>
    <x v="1"/>
    <x v="34"/>
  </r>
  <r>
    <x v="2"/>
    <x v="2"/>
    <x v="3"/>
    <s v="Masters"/>
    <n v="3"/>
    <n v="138.30000000000001"/>
    <x v="1"/>
    <x v="28"/>
    <x v="6"/>
    <n v="9.75"/>
    <x v="31"/>
    <x v="2"/>
    <x v="1"/>
    <x v="0"/>
    <x v="35"/>
    <x v="9"/>
    <x v="1"/>
    <x v="35"/>
  </r>
  <r>
    <x v="3"/>
    <x v="3"/>
    <x v="3"/>
    <s v="Bachelors"/>
    <n v="6"/>
    <n v="145.69999999999999"/>
    <x v="27"/>
    <x v="29"/>
    <x v="0"/>
    <n v="4.08"/>
    <x v="32"/>
    <x v="0"/>
    <x v="1"/>
    <x v="0"/>
    <x v="36"/>
    <x v="0"/>
    <x v="0"/>
    <x v="36"/>
  </r>
  <r>
    <x v="3"/>
    <x v="2"/>
    <x v="0"/>
    <s v="Bachelors"/>
    <n v="1"/>
    <n v="161.80000000000001"/>
    <x v="24"/>
    <x v="5"/>
    <x v="8"/>
    <n v="7.6"/>
    <x v="33"/>
    <x v="0"/>
    <x v="2"/>
    <x v="2"/>
    <x v="37"/>
    <x v="0"/>
    <x v="2"/>
    <x v="37"/>
  </r>
  <r>
    <x v="3"/>
    <x v="0"/>
    <x v="4"/>
    <s v="Bachelors"/>
    <n v="2"/>
    <n v="175.2"/>
    <x v="28"/>
    <x v="30"/>
    <x v="10"/>
    <n v="6.14"/>
    <x v="34"/>
    <x v="2"/>
    <x v="1"/>
    <x v="1"/>
    <x v="38"/>
    <x v="1"/>
    <x v="2"/>
    <x v="38"/>
  </r>
  <r>
    <x v="3"/>
    <x v="4"/>
    <x v="4"/>
    <s v="Bachelors"/>
    <n v="1"/>
    <n v="156.5"/>
    <x v="29"/>
    <x v="12"/>
    <x v="7"/>
    <n v="5.54"/>
    <x v="35"/>
    <x v="0"/>
    <x v="0"/>
    <x v="1"/>
    <x v="39"/>
    <x v="1"/>
    <x v="0"/>
    <x v="39"/>
  </r>
  <r>
    <x v="3"/>
    <x v="2"/>
    <x v="2"/>
    <s v="Bachelors"/>
    <n v="5"/>
    <n v="153.5"/>
    <x v="30"/>
    <x v="2"/>
    <x v="4"/>
    <n v="6.2"/>
    <x v="36"/>
    <x v="0"/>
    <x v="2"/>
    <x v="1"/>
    <x v="40"/>
    <x v="2"/>
    <x v="0"/>
    <x v="40"/>
  </r>
  <r>
    <x v="3"/>
    <x v="1"/>
    <x v="3"/>
    <s v="Masters"/>
    <n v="6"/>
    <n v="159.9"/>
    <x v="31"/>
    <x v="5"/>
    <x v="3"/>
    <n v="8.35"/>
    <x v="37"/>
    <x v="2"/>
    <x v="2"/>
    <x v="1"/>
    <x v="41"/>
    <x v="3"/>
    <x v="1"/>
    <x v="41"/>
  </r>
  <r>
    <x v="3"/>
    <x v="3"/>
    <x v="2"/>
    <s v="PhD"/>
    <n v="4"/>
    <n v="168.8"/>
    <x v="32"/>
    <x v="31"/>
    <x v="8"/>
    <n v="4.29"/>
    <x v="10"/>
    <x v="0"/>
    <x v="0"/>
    <x v="0"/>
    <x v="42"/>
    <x v="4"/>
    <x v="2"/>
    <x v="42"/>
  </r>
  <r>
    <x v="3"/>
    <x v="1"/>
    <x v="1"/>
    <s v="Bachelors"/>
    <n v="1"/>
    <n v="164.5"/>
    <x v="33"/>
    <x v="19"/>
    <x v="8"/>
    <n v="7.28"/>
    <x v="38"/>
    <x v="0"/>
    <x v="0"/>
    <x v="0"/>
    <x v="43"/>
    <x v="5"/>
    <x v="1"/>
    <x v="43"/>
  </r>
  <r>
    <x v="3"/>
    <x v="2"/>
    <x v="4"/>
    <s v="Bachelors"/>
    <n v="3"/>
    <n v="163.9"/>
    <x v="34"/>
    <x v="32"/>
    <x v="5"/>
    <n v="10"/>
    <x v="39"/>
    <x v="2"/>
    <x v="2"/>
    <x v="0"/>
    <x v="44"/>
    <x v="6"/>
    <x v="1"/>
    <x v="44"/>
  </r>
  <r>
    <x v="3"/>
    <x v="0"/>
    <x v="0"/>
    <s v="PhD"/>
    <n v="1"/>
    <n v="166.9"/>
    <x v="35"/>
    <x v="33"/>
    <x v="9"/>
    <n v="9.65"/>
    <x v="40"/>
    <x v="0"/>
    <x v="2"/>
    <x v="0"/>
    <x v="45"/>
    <x v="7"/>
    <x v="0"/>
    <x v="45"/>
  </r>
  <r>
    <x v="3"/>
    <x v="1"/>
    <x v="0"/>
    <s v="Bachelors"/>
    <n v="5"/>
    <n v="156.5"/>
    <x v="36"/>
    <x v="34"/>
    <x v="5"/>
    <m/>
    <x v="41"/>
    <x v="0"/>
    <x v="0"/>
    <x v="0"/>
    <x v="46"/>
    <x v="8"/>
    <x v="0"/>
    <x v="46"/>
  </r>
  <r>
    <x v="3"/>
    <x v="2"/>
    <x v="1"/>
    <s v="Masters"/>
    <n v="6"/>
    <n v="155.9"/>
    <x v="37"/>
    <x v="5"/>
    <x v="0"/>
    <n v="5.25"/>
    <x v="42"/>
    <x v="0"/>
    <x v="2"/>
    <x v="2"/>
    <x v="47"/>
    <x v="9"/>
    <x v="0"/>
    <x v="47"/>
  </r>
  <r>
    <x v="4"/>
    <x v="1"/>
    <x v="4"/>
    <s v="Bachelors"/>
    <n v="5"/>
    <n v="162.19999999999999"/>
    <x v="38"/>
    <x v="35"/>
    <x v="3"/>
    <n v="5.79"/>
    <x v="10"/>
    <x v="2"/>
    <x v="2"/>
    <x v="1"/>
    <x v="48"/>
    <x v="0"/>
    <x v="1"/>
    <x v="48"/>
  </r>
  <r>
    <x v="4"/>
    <x v="2"/>
    <x v="2"/>
    <s v="Bachelors"/>
    <n v="9"/>
    <n v="152"/>
    <x v="39"/>
    <x v="23"/>
    <x v="6"/>
    <m/>
    <x v="43"/>
    <x v="2"/>
    <x v="0"/>
    <x v="2"/>
    <x v="49"/>
    <x v="0"/>
    <x v="1"/>
    <x v="49"/>
  </r>
  <r>
    <x v="4"/>
    <x v="1"/>
    <x v="0"/>
    <s v="Bachelors"/>
    <n v="4"/>
    <n v="168"/>
    <x v="40"/>
    <x v="36"/>
    <x v="1"/>
    <n v="4.7300000000000004"/>
    <x v="44"/>
    <x v="1"/>
    <x v="2"/>
    <x v="2"/>
    <x v="50"/>
    <x v="1"/>
    <x v="0"/>
    <x v="50"/>
  </r>
  <r>
    <x v="4"/>
    <x v="3"/>
    <x v="2"/>
    <s v="Masters"/>
    <n v="1"/>
    <n v="149.4"/>
    <x v="41"/>
    <x v="14"/>
    <x v="3"/>
    <n v="4.63"/>
    <x v="45"/>
    <x v="2"/>
    <x v="0"/>
    <x v="1"/>
    <x v="51"/>
    <x v="1"/>
    <x v="1"/>
    <x v="51"/>
  </r>
  <r>
    <x v="4"/>
    <x v="0"/>
    <x v="0"/>
    <s v="Bachelors"/>
    <n v="3"/>
    <n v="156.6"/>
    <x v="42"/>
    <x v="37"/>
    <x v="1"/>
    <n v="6.33"/>
    <x v="46"/>
    <x v="2"/>
    <x v="0"/>
    <x v="1"/>
    <x v="4"/>
    <x v="2"/>
    <x v="1"/>
    <x v="52"/>
  </r>
  <r>
    <x v="4"/>
    <x v="3"/>
    <x v="0"/>
    <s v="Bachelors"/>
    <n v="7"/>
    <n v="152.30000000000001"/>
    <x v="43"/>
    <x v="38"/>
    <x v="2"/>
    <n v="7.72"/>
    <x v="47"/>
    <x v="2"/>
    <x v="1"/>
    <x v="0"/>
    <x v="52"/>
    <x v="3"/>
    <x v="0"/>
    <x v="53"/>
  </r>
  <r>
    <x v="4"/>
    <x v="2"/>
    <x v="2"/>
    <s v="Bachelors"/>
    <n v="1"/>
    <n v="163.30000000000001"/>
    <x v="44"/>
    <x v="15"/>
    <x v="5"/>
    <n v="7.22"/>
    <x v="35"/>
    <x v="2"/>
    <x v="0"/>
    <x v="0"/>
    <x v="53"/>
    <x v="4"/>
    <x v="1"/>
    <x v="54"/>
  </r>
  <r>
    <x v="4"/>
    <x v="3"/>
    <x v="2"/>
    <s v="Bachelors"/>
    <n v="4"/>
    <n v="161.69999999999999"/>
    <x v="45"/>
    <x v="4"/>
    <x v="4"/>
    <n v="8"/>
    <x v="48"/>
    <x v="2"/>
    <x v="1"/>
    <x v="2"/>
    <x v="54"/>
    <x v="5"/>
    <x v="1"/>
    <x v="55"/>
  </r>
  <r>
    <x v="4"/>
    <x v="2"/>
    <x v="0"/>
    <s v="Bachelors"/>
    <n v="2"/>
    <n v="143.69999999999999"/>
    <x v="46"/>
    <x v="39"/>
    <x v="10"/>
    <n v="8.58"/>
    <x v="49"/>
    <x v="2"/>
    <x v="2"/>
    <x v="1"/>
    <x v="55"/>
    <x v="6"/>
    <x v="1"/>
    <x v="56"/>
  </r>
  <r>
    <x v="4"/>
    <x v="0"/>
    <x v="0"/>
    <s v="Bachelors"/>
    <n v="9"/>
    <n v="187.6"/>
    <x v="47"/>
    <x v="40"/>
    <x v="8"/>
    <n v="9.2100000000000009"/>
    <x v="50"/>
    <x v="0"/>
    <x v="1"/>
    <x v="2"/>
    <x v="56"/>
    <x v="7"/>
    <x v="1"/>
    <x v="57"/>
  </r>
  <r>
    <x v="4"/>
    <x v="4"/>
    <x v="2"/>
    <s v="Bachelors"/>
    <n v="7"/>
    <n v="165.4"/>
    <x v="48"/>
    <x v="23"/>
    <x v="0"/>
    <n v="7.32"/>
    <x v="51"/>
    <x v="0"/>
    <x v="0"/>
    <x v="0"/>
    <x v="57"/>
    <x v="8"/>
    <x v="0"/>
    <x v="58"/>
  </r>
  <r>
    <x v="4"/>
    <x v="1"/>
    <x v="2"/>
    <s v="Bachelors"/>
    <n v="2"/>
    <n v="155.19999999999999"/>
    <x v="1"/>
    <x v="11"/>
    <x v="8"/>
    <n v="5.51"/>
    <x v="37"/>
    <x v="1"/>
    <x v="0"/>
    <x v="2"/>
    <x v="58"/>
    <x v="9"/>
    <x v="0"/>
    <x v="59"/>
  </r>
  <r>
    <x v="5"/>
    <x v="4"/>
    <x v="3"/>
    <s v="Masters"/>
    <n v="1"/>
    <n v="159.30000000000001"/>
    <x v="4"/>
    <x v="4"/>
    <x v="9"/>
    <n v="5.5"/>
    <x v="52"/>
    <x v="2"/>
    <x v="2"/>
    <x v="1"/>
    <x v="59"/>
    <x v="0"/>
    <x v="1"/>
    <x v="60"/>
  </r>
  <r>
    <x v="5"/>
    <x v="2"/>
    <x v="2"/>
    <s v="Bachelors"/>
    <n v="5"/>
    <n v="140.5"/>
    <x v="49"/>
    <x v="41"/>
    <x v="8"/>
    <m/>
    <x v="53"/>
    <x v="0"/>
    <x v="1"/>
    <x v="2"/>
    <x v="60"/>
    <x v="0"/>
    <x v="2"/>
    <x v="61"/>
  </r>
  <r>
    <x v="5"/>
    <x v="1"/>
    <x v="0"/>
    <s v="PhD"/>
    <n v="8"/>
    <n v="155.69999999999999"/>
    <x v="50"/>
    <x v="20"/>
    <x v="8"/>
    <m/>
    <x v="54"/>
    <x v="0"/>
    <x v="2"/>
    <x v="1"/>
    <x v="61"/>
    <x v="1"/>
    <x v="2"/>
    <x v="62"/>
  </r>
  <r>
    <x v="5"/>
    <x v="0"/>
    <x v="3"/>
    <s v="Bachelors"/>
    <n v="10"/>
    <n v="157.80000000000001"/>
    <x v="1"/>
    <x v="35"/>
    <x v="11"/>
    <n v="7.47"/>
    <x v="55"/>
    <x v="0"/>
    <x v="1"/>
    <x v="1"/>
    <x v="62"/>
    <x v="1"/>
    <x v="2"/>
    <x v="63"/>
  </r>
  <r>
    <x v="5"/>
    <x v="4"/>
    <x v="4"/>
    <s v="PhD"/>
    <n v="7"/>
    <n v="186"/>
    <x v="51"/>
    <x v="7"/>
    <x v="0"/>
    <n v="5.22"/>
    <x v="56"/>
    <x v="0"/>
    <x v="1"/>
    <x v="0"/>
    <x v="63"/>
    <x v="2"/>
    <x v="0"/>
    <x v="64"/>
  </r>
  <r>
    <x v="5"/>
    <x v="2"/>
    <x v="0"/>
    <s v="Bachelors"/>
    <n v="2"/>
    <n v="140.69999999999999"/>
    <x v="5"/>
    <x v="13"/>
    <x v="6"/>
    <n v="8.52"/>
    <x v="57"/>
    <x v="2"/>
    <x v="1"/>
    <x v="1"/>
    <x v="64"/>
    <x v="3"/>
    <x v="1"/>
    <x v="65"/>
  </r>
  <r>
    <x v="5"/>
    <x v="0"/>
    <x v="1"/>
    <s v="Masters"/>
    <n v="10"/>
    <n v="158.69999999999999"/>
    <x v="52"/>
    <x v="4"/>
    <x v="5"/>
    <n v="8.26"/>
    <x v="10"/>
    <x v="0"/>
    <x v="1"/>
    <x v="1"/>
    <x v="65"/>
    <x v="4"/>
    <x v="0"/>
    <x v="66"/>
  </r>
  <r>
    <x v="5"/>
    <x v="1"/>
    <x v="4"/>
    <s v="PhD"/>
    <n v="9"/>
    <n v="175.5"/>
    <x v="1"/>
    <x v="2"/>
    <x v="3"/>
    <n v="6.92"/>
    <x v="58"/>
    <x v="2"/>
    <x v="1"/>
    <x v="1"/>
    <x v="66"/>
    <x v="5"/>
    <x v="1"/>
    <x v="67"/>
  </r>
  <r>
    <x v="5"/>
    <x v="0"/>
    <x v="2"/>
    <s v="PhD"/>
    <n v="5"/>
    <n v="160.4"/>
    <x v="1"/>
    <x v="42"/>
    <x v="6"/>
    <n v="8.7899999999999991"/>
    <x v="59"/>
    <x v="0"/>
    <x v="2"/>
    <x v="1"/>
    <x v="3"/>
    <x v="6"/>
    <x v="0"/>
    <x v="68"/>
  </r>
  <r>
    <x v="5"/>
    <x v="2"/>
    <x v="3"/>
    <s v="Masters"/>
    <n v="4"/>
    <n v="173.8"/>
    <x v="33"/>
    <x v="22"/>
    <x v="4"/>
    <n v="7.72"/>
    <x v="60"/>
    <x v="1"/>
    <x v="1"/>
    <x v="1"/>
    <x v="67"/>
    <x v="7"/>
    <x v="2"/>
    <x v="69"/>
  </r>
  <r>
    <x v="5"/>
    <x v="3"/>
    <x v="1"/>
    <s v="Masters"/>
    <n v="1"/>
    <n v="157.19999999999999"/>
    <x v="53"/>
    <x v="43"/>
    <x v="0"/>
    <n v="6.49"/>
    <x v="61"/>
    <x v="2"/>
    <x v="0"/>
    <x v="0"/>
    <x v="68"/>
    <x v="8"/>
    <x v="1"/>
    <x v="70"/>
  </r>
  <r>
    <x v="5"/>
    <x v="3"/>
    <x v="2"/>
    <s v="Masters"/>
    <n v="4"/>
    <n v="158.1"/>
    <x v="54"/>
    <x v="44"/>
    <x v="6"/>
    <n v="7.76"/>
    <x v="10"/>
    <x v="0"/>
    <x v="1"/>
    <x v="0"/>
    <x v="69"/>
    <x v="9"/>
    <x v="0"/>
    <x v="71"/>
  </r>
  <r>
    <x v="6"/>
    <x v="4"/>
    <x v="4"/>
    <s v="PhD"/>
    <n v="10"/>
    <n v="158.9"/>
    <x v="55"/>
    <x v="45"/>
    <x v="6"/>
    <n v="9.25"/>
    <x v="52"/>
    <x v="0"/>
    <x v="1"/>
    <x v="0"/>
    <x v="70"/>
    <x v="0"/>
    <x v="1"/>
    <x v="72"/>
  </r>
  <r>
    <x v="6"/>
    <x v="2"/>
    <x v="1"/>
    <s v="PhD"/>
    <n v="4"/>
    <n v="144.69999999999999"/>
    <x v="56"/>
    <x v="46"/>
    <x v="1"/>
    <n v="7.87"/>
    <x v="62"/>
    <x v="0"/>
    <x v="0"/>
    <x v="0"/>
    <x v="71"/>
    <x v="0"/>
    <x v="1"/>
    <x v="73"/>
  </r>
  <r>
    <x v="6"/>
    <x v="3"/>
    <x v="0"/>
    <s v="Bachelors"/>
    <n v="8"/>
    <n v="155.80000000000001"/>
    <x v="30"/>
    <x v="47"/>
    <x v="8"/>
    <n v="3.78"/>
    <x v="10"/>
    <x v="2"/>
    <x v="0"/>
    <x v="2"/>
    <x v="72"/>
    <x v="1"/>
    <x v="1"/>
    <x v="74"/>
  </r>
  <r>
    <x v="6"/>
    <x v="1"/>
    <x v="2"/>
    <s v="PhD"/>
    <n v="9"/>
    <n v="159.6"/>
    <x v="57"/>
    <x v="42"/>
    <x v="0"/>
    <n v="6.48"/>
    <x v="63"/>
    <x v="2"/>
    <x v="2"/>
    <x v="2"/>
    <x v="73"/>
    <x v="1"/>
    <x v="2"/>
    <x v="75"/>
  </r>
  <r>
    <x v="6"/>
    <x v="2"/>
    <x v="4"/>
    <s v="Bachelors"/>
    <n v="6"/>
    <n v="170.2"/>
    <x v="58"/>
    <x v="41"/>
    <x v="10"/>
    <n v="8.2200000000000006"/>
    <x v="64"/>
    <x v="2"/>
    <x v="2"/>
    <x v="1"/>
    <x v="74"/>
    <x v="2"/>
    <x v="2"/>
    <x v="76"/>
  </r>
  <r>
    <x v="6"/>
    <x v="3"/>
    <x v="0"/>
    <s v="Bachelors"/>
    <n v="4"/>
    <n v="171.8"/>
    <x v="51"/>
    <x v="48"/>
    <x v="8"/>
    <n v="7.64"/>
    <x v="65"/>
    <x v="2"/>
    <x v="0"/>
    <x v="0"/>
    <x v="43"/>
    <x v="3"/>
    <x v="1"/>
    <x v="77"/>
  </r>
  <r>
    <x v="6"/>
    <x v="0"/>
    <x v="4"/>
    <s v="Bachelors"/>
    <n v="1"/>
    <n v="162.1"/>
    <x v="59"/>
    <x v="6"/>
    <x v="2"/>
    <n v="9.7899999999999991"/>
    <x v="66"/>
    <x v="0"/>
    <x v="0"/>
    <x v="2"/>
    <x v="75"/>
    <x v="4"/>
    <x v="2"/>
    <x v="78"/>
  </r>
  <r>
    <x v="6"/>
    <x v="2"/>
    <x v="1"/>
    <s v="PhD"/>
    <n v="7"/>
    <n v="157"/>
    <x v="1"/>
    <x v="49"/>
    <x v="8"/>
    <n v="9.08"/>
    <x v="67"/>
    <x v="2"/>
    <x v="0"/>
    <x v="0"/>
    <x v="76"/>
    <x v="5"/>
    <x v="2"/>
    <x v="79"/>
  </r>
  <r>
    <x v="6"/>
    <x v="3"/>
    <x v="4"/>
    <s v="Masters"/>
    <n v="10"/>
    <n v="146.30000000000001"/>
    <x v="30"/>
    <x v="14"/>
    <x v="7"/>
    <m/>
    <x v="68"/>
    <x v="2"/>
    <x v="0"/>
    <x v="0"/>
    <x v="77"/>
    <x v="6"/>
    <x v="0"/>
    <x v="80"/>
  </r>
  <r>
    <x v="6"/>
    <x v="0"/>
    <x v="2"/>
    <s v="Masters"/>
    <n v="4"/>
    <n v="143.69999999999999"/>
    <x v="60"/>
    <x v="5"/>
    <x v="5"/>
    <n v="7.77"/>
    <x v="22"/>
    <x v="2"/>
    <x v="1"/>
    <x v="0"/>
    <x v="78"/>
    <x v="7"/>
    <x v="0"/>
    <x v="81"/>
  </r>
  <r>
    <x v="6"/>
    <x v="3"/>
    <x v="1"/>
    <s v="PhD"/>
    <n v="6"/>
    <n v="158.4"/>
    <x v="1"/>
    <x v="50"/>
    <x v="4"/>
    <n v="7.85"/>
    <x v="69"/>
    <x v="1"/>
    <x v="0"/>
    <x v="0"/>
    <x v="79"/>
    <x v="8"/>
    <x v="1"/>
    <x v="82"/>
  </r>
  <r>
    <x v="6"/>
    <x v="4"/>
    <x v="4"/>
    <s v="PhD"/>
    <n v="10"/>
    <n v="139"/>
    <x v="61"/>
    <x v="51"/>
    <x v="8"/>
    <n v="9.35"/>
    <x v="70"/>
    <x v="2"/>
    <x v="0"/>
    <x v="1"/>
    <x v="80"/>
    <x v="9"/>
    <x v="1"/>
    <x v="83"/>
  </r>
  <r>
    <x v="7"/>
    <x v="0"/>
    <x v="0"/>
    <s v="Bachelors"/>
    <n v="1"/>
    <n v="155.30000000000001"/>
    <x v="1"/>
    <x v="42"/>
    <x v="1"/>
    <n v="9.1300000000000008"/>
    <x v="71"/>
    <x v="2"/>
    <x v="2"/>
    <x v="0"/>
    <x v="81"/>
    <x v="0"/>
    <x v="1"/>
    <x v="84"/>
  </r>
  <r>
    <x v="7"/>
    <x v="2"/>
    <x v="0"/>
    <s v="Masters"/>
    <n v="5"/>
    <n v="161.9"/>
    <x v="62"/>
    <x v="16"/>
    <x v="1"/>
    <n v="9.92"/>
    <x v="25"/>
    <x v="2"/>
    <x v="2"/>
    <x v="1"/>
    <x v="82"/>
    <x v="0"/>
    <x v="0"/>
    <x v="85"/>
  </r>
  <r>
    <x v="7"/>
    <x v="1"/>
    <x v="2"/>
    <s v="Bachelors"/>
    <n v="2"/>
    <n v="164.3"/>
    <x v="63"/>
    <x v="31"/>
    <x v="8"/>
    <n v="8.26"/>
    <x v="72"/>
    <x v="2"/>
    <x v="1"/>
    <x v="2"/>
    <x v="83"/>
    <x v="1"/>
    <x v="0"/>
    <x v="86"/>
  </r>
  <r>
    <x v="7"/>
    <x v="3"/>
    <x v="0"/>
    <s v="Masters"/>
    <n v="10"/>
    <n v="162"/>
    <x v="1"/>
    <x v="36"/>
    <x v="5"/>
    <n v="9.2799999999999994"/>
    <x v="73"/>
    <x v="0"/>
    <x v="1"/>
    <x v="1"/>
    <x v="84"/>
    <x v="1"/>
    <x v="1"/>
    <x v="87"/>
  </r>
  <r>
    <x v="7"/>
    <x v="1"/>
    <x v="0"/>
    <s v="Masters"/>
    <n v="9"/>
    <n v="157.4"/>
    <x v="52"/>
    <x v="32"/>
    <x v="7"/>
    <n v="6.32"/>
    <x v="74"/>
    <x v="2"/>
    <x v="2"/>
    <x v="2"/>
    <x v="85"/>
    <x v="2"/>
    <x v="1"/>
    <x v="88"/>
  </r>
  <r>
    <x v="7"/>
    <x v="2"/>
    <x v="1"/>
    <s v="Bachelors"/>
    <n v="3"/>
    <n v="150.1"/>
    <x v="64"/>
    <x v="9"/>
    <x v="8"/>
    <n v="5.52"/>
    <x v="75"/>
    <x v="2"/>
    <x v="1"/>
    <x v="0"/>
    <x v="86"/>
    <x v="3"/>
    <x v="0"/>
    <x v="89"/>
  </r>
  <r>
    <x v="7"/>
    <x v="4"/>
    <x v="0"/>
    <s v="Bachelors"/>
    <n v="6"/>
    <n v="143.69999999999999"/>
    <x v="65"/>
    <x v="52"/>
    <x v="3"/>
    <n v="6.7"/>
    <x v="76"/>
    <x v="2"/>
    <x v="2"/>
    <x v="2"/>
    <x v="87"/>
    <x v="4"/>
    <x v="0"/>
    <x v="90"/>
  </r>
  <r>
    <x v="7"/>
    <x v="4"/>
    <x v="1"/>
    <s v="Masters"/>
    <n v="3"/>
    <n v="159.69999999999999"/>
    <x v="66"/>
    <x v="17"/>
    <x v="5"/>
    <n v="6.02"/>
    <x v="77"/>
    <x v="0"/>
    <x v="1"/>
    <x v="1"/>
    <x v="88"/>
    <x v="5"/>
    <x v="0"/>
    <x v="91"/>
  </r>
  <r>
    <x v="7"/>
    <x v="0"/>
    <x v="2"/>
    <s v="Bachelors"/>
    <n v="10"/>
    <n v="154.6"/>
    <x v="0"/>
    <x v="53"/>
    <x v="8"/>
    <n v="6.51"/>
    <x v="48"/>
    <x v="2"/>
    <x v="0"/>
    <x v="0"/>
    <x v="89"/>
    <x v="6"/>
    <x v="0"/>
    <x v="92"/>
  </r>
  <r>
    <x v="7"/>
    <x v="1"/>
    <x v="2"/>
    <s v="Masters"/>
    <n v="6"/>
    <n v="160.5"/>
    <x v="24"/>
    <x v="7"/>
    <x v="3"/>
    <n v="6.51"/>
    <x v="78"/>
    <x v="2"/>
    <x v="0"/>
    <x v="0"/>
    <x v="90"/>
    <x v="7"/>
    <x v="1"/>
    <x v="93"/>
  </r>
  <r>
    <x v="7"/>
    <x v="1"/>
    <x v="0"/>
    <s v="PhD"/>
    <n v="1"/>
    <n v="148.6"/>
    <x v="67"/>
    <x v="23"/>
    <x v="8"/>
    <n v="6.96"/>
    <x v="79"/>
    <x v="2"/>
    <x v="1"/>
    <x v="2"/>
    <x v="91"/>
    <x v="8"/>
    <x v="1"/>
    <x v="94"/>
  </r>
  <r>
    <x v="7"/>
    <x v="3"/>
    <x v="3"/>
    <s v="Bachelors"/>
    <n v="9"/>
    <n v="163.1"/>
    <x v="68"/>
    <x v="54"/>
    <x v="4"/>
    <n v="6.34"/>
    <x v="80"/>
    <x v="2"/>
    <x v="0"/>
    <x v="2"/>
    <x v="92"/>
    <x v="9"/>
    <x v="1"/>
    <x v="95"/>
  </r>
  <r>
    <x v="8"/>
    <x v="2"/>
    <x v="2"/>
    <s v="PhD"/>
    <n v="4"/>
    <n v="154.19999999999999"/>
    <x v="69"/>
    <x v="9"/>
    <x v="10"/>
    <n v="5.66"/>
    <x v="81"/>
    <x v="2"/>
    <x v="2"/>
    <x v="2"/>
    <x v="93"/>
    <x v="0"/>
    <x v="1"/>
    <x v="96"/>
  </r>
  <r>
    <x v="8"/>
    <x v="0"/>
    <x v="0"/>
    <s v="Masters"/>
    <n v="6"/>
    <n v="176.9"/>
    <x v="59"/>
    <x v="51"/>
    <x v="1"/>
    <n v="5.19"/>
    <x v="82"/>
    <x v="2"/>
    <x v="1"/>
    <x v="1"/>
    <x v="94"/>
    <x v="0"/>
    <x v="0"/>
    <x v="97"/>
  </r>
  <r>
    <x v="8"/>
    <x v="3"/>
    <x v="0"/>
    <s v="Bachelors"/>
    <n v="6"/>
    <n v="165.6"/>
    <x v="14"/>
    <x v="4"/>
    <x v="8"/>
    <n v="6.12"/>
    <x v="83"/>
    <x v="0"/>
    <x v="2"/>
    <x v="2"/>
    <x v="95"/>
    <x v="1"/>
    <x v="1"/>
    <x v="98"/>
  </r>
  <r>
    <x v="8"/>
    <x v="3"/>
    <x v="3"/>
    <s v="Masters"/>
    <n v="7"/>
    <n v="149.1"/>
    <x v="70"/>
    <x v="55"/>
    <x v="8"/>
    <n v="7.71"/>
    <x v="84"/>
    <x v="2"/>
    <x v="2"/>
    <x v="1"/>
    <x v="96"/>
    <x v="1"/>
    <x v="1"/>
    <x v="99"/>
  </r>
  <r>
    <x v="8"/>
    <x v="0"/>
    <x v="2"/>
    <s v="PhD"/>
    <n v="1"/>
    <n v="153.19999999999999"/>
    <x v="71"/>
    <x v="49"/>
    <x v="6"/>
    <n v="5.71"/>
    <x v="85"/>
    <x v="2"/>
    <x v="1"/>
    <x v="2"/>
    <x v="97"/>
    <x v="2"/>
    <x v="1"/>
    <x v="100"/>
  </r>
  <r>
    <x v="8"/>
    <x v="0"/>
    <x v="2"/>
    <s v="Bachelors"/>
    <n v="1"/>
    <n v="160.80000000000001"/>
    <x v="16"/>
    <x v="15"/>
    <x v="4"/>
    <n v="7.06"/>
    <x v="86"/>
    <x v="1"/>
    <x v="2"/>
    <x v="1"/>
    <x v="98"/>
    <x v="3"/>
    <x v="1"/>
    <x v="101"/>
  </r>
  <r>
    <x v="8"/>
    <x v="1"/>
    <x v="3"/>
    <s v="Masters"/>
    <n v="10"/>
    <n v="157.69999999999999"/>
    <x v="18"/>
    <x v="56"/>
    <x v="8"/>
    <n v="7.05"/>
    <x v="87"/>
    <x v="2"/>
    <x v="1"/>
    <x v="1"/>
    <x v="99"/>
    <x v="4"/>
    <x v="0"/>
    <x v="102"/>
  </r>
  <r>
    <x v="8"/>
    <x v="3"/>
    <x v="4"/>
    <s v="Masters"/>
    <n v="4"/>
    <n v="150.6"/>
    <x v="72"/>
    <x v="57"/>
    <x v="8"/>
    <n v="8.4"/>
    <x v="88"/>
    <x v="1"/>
    <x v="2"/>
    <x v="0"/>
    <x v="100"/>
    <x v="5"/>
    <x v="0"/>
    <x v="103"/>
  </r>
  <r>
    <x v="8"/>
    <x v="3"/>
    <x v="4"/>
    <s v="Masters"/>
    <n v="3"/>
    <n v="152.9"/>
    <x v="73"/>
    <x v="58"/>
    <x v="8"/>
    <n v="6.12"/>
    <x v="20"/>
    <x v="0"/>
    <x v="2"/>
    <x v="2"/>
    <x v="101"/>
    <x v="6"/>
    <x v="1"/>
    <x v="104"/>
  </r>
  <r>
    <x v="8"/>
    <x v="3"/>
    <x v="2"/>
    <s v="PhD"/>
    <n v="5"/>
    <n v="158.69999999999999"/>
    <x v="74"/>
    <x v="8"/>
    <x v="0"/>
    <n v="5.74"/>
    <x v="89"/>
    <x v="2"/>
    <x v="0"/>
    <x v="1"/>
    <x v="102"/>
    <x v="7"/>
    <x v="2"/>
    <x v="105"/>
  </r>
  <r>
    <x v="8"/>
    <x v="1"/>
    <x v="1"/>
    <s v="Masters"/>
    <n v="5"/>
    <n v="154.5"/>
    <x v="75"/>
    <x v="59"/>
    <x v="1"/>
    <n v="7.78"/>
    <x v="90"/>
    <x v="2"/>
    <x v="2"/>
    <x v="2"/>
    <x v="103"/>
    <x v="8"/>
    <x v="1"/>
    <x v="106"/>
  </r>
  <r>
    <x v="8"/>
    <x v="1"/>
    <x v="4"/>
    <s v="PhD"/>
    <n v="5"/>
    <n v="148.1"/>
    <x v="76"/>
    <x v="25"/>
    <x v="7"/>
    <n v="6.21"/>
    <x v="91"/>
    <x v="2"/>
    <x v="0"/>
    <x v="2"/>
    <x v="104"/>
    <x v="9"/>
    <x v="0"/>
    <x v="107"/>
  </r>
  <r>
    <x v="9"/>
    <x v="2"/>
    <x v="0"/>
    <s v="Masters"/>
    <n v="8"/>
    <n v="181.6"/>
    <x v="77"/>
    <x v="60"/>
    <x v="0"/>
    <n v="7.95"/>
    <x v="92"/>
    <x v="0"/>
    <x v="0"/>
    <x v="0"/>
    <x v="105"/>
    <x v="0"/>
    <x v="1"/>
    <x v="108"/>
  </r>
  <r>
    <x v="9"/>
    <x v="4"/>
    <x v="4"/>
    <s v="PhD"/>
    <n v="8"/>
    <n v="162.4"/>
    <x v="78"/>
    <x v="30"/>
    <x v="8"/>
    <n v="9.4499999999999993"/>
    <x v="93"/>
    <x v="0"/>
    <x v="2"/>
    <x v="2"/>
    <x v="106"/>
    <x v="0"/>
    <x v="0"/>
    <x v="109"/>
  </r>
  <r>
    <x v="9"/>
    <x v="4"/>
    <x v="2"/>
    <s v="Masters"/>
    <n v="10"/>
    <n v="166.1"/>
    <x v="1"/>
    <x v="11"/>
    <x v="8"/>
    <n v="6.75"/>
    <x v="94"/>
    <x v="0"/>
    <x v="2"/>
    <x v="0"/>
    <x v="107"/>
    <x v="1"/>
    <x v="1"/>
    <x v="26"/>
  </r>
  <r>
    <x v="9"/>
    <x v="2"/>
    <x v="2"/>
    <s v="PhD"/>
    <n v="2"/>
    <n v="156.4"/>
    <x v="79"/>
    <x v="13"/>
    <x v="8"/>
    <n v="4.55"/>
    <x v="95"/>
    <x v="2"/>
    <x v="1"/>
    <x v="1"/>
    <x v="108"/>
    <x v="1"/>
    <x v="1"/>
    <x v="110"/>
  </r>
  <r>
    <x v="9"/>
    <x v="0"/>
    <x v="3"/>
    <s v="PhD"/>
    <n v="7"/>
    <n v="156.5"/>
    <x v="80"/>
    <x v="61"/>
    <x v="8"/>
    <n v="8.5299999999999994"/>
    <x v="96"/>
    <x v="2"/>
    <x v="2"/>
    <x v="1"/>
    <x v="109"/>
    <x v="2"/>
    <x v="0"/>
    <x v="111"/>
  </r>
  <r>
    <x v="9"/>
    <x v="2"/>
    <x v="3"/>
    <s v="Bachelors"/>
    <n v="2"/>
    <n v="163.19999999999999"/>
    <x v="23"/>
    <x v="57"/>
    <x v="4"/>
    <n v="7.44"/>
    <x v="57"/>
    <x v="0"/>
    <x v="1"/>
    <x v="1"/>
    <x v="110"/>
    <x v="3"/>
    <x v="2"/>
    <x v="28"/>
  </r>
  <r>
    <x v="9"/>
    <x v="3"/>
    <x v="1"/>
    <s v="Bachelors"/>
    <n v="5"/>
    <n v="158.6"/>
    <x v="55"/>
    <x v="27"/>
    <x v="5"/>
    <n v="6.22"/>
    <x v="77"/>
    <x v="0"/>
    <x v="1"/>
    <x v="0"/>
    <x v="111"/>
    <x v="4"/>
    <x v="0"/>
    <x v="112"/>
  </r>
  <r>
    <x v="9"/>
    <x v="0"/>
    <x v="1"/>
    <s v="Masters"/>
    <n v="6"/>
    <n v="168.3"/>
    <x v="81"/>
    <x v="25"/>
    <x v="5"/>
    <n v="8.68"/>
    <x v="97"/>
    <x v="2"/>
    <x v="2"/>
    <x v="0"/>
    <x v="112"/>
    <x v="5"/>
    <x v="0"/>
    <x v="113"/>
  </r>
  <r>
    <x v="9"/>
    <x v="4"/>
    <x v="2"/>
    <s v="PhD"/>
    <n v="7"/>
    <n v="171.7"/>
    <x v="60"/>
    <x v="20"/>
    <x v="4"/>
    <n v="6.25"/>
    <x v="98"/>
    <x v="2"/>
    <x v="2"/>
    <x v="0"/>
    <x v="113"/>
    <x v="6"/>
    <x v="1"/>
    <x v="114"/>
  </r>
  <r>
    <x v="9"/>
    <x v="4"/>
    <x v="2"/>
    <s v="Masters"/>
    <n v="3"/>
    <n v="151.80000000000001"/>
    <x v="68"/>
    <x v="22"/>
    <x v="5"/>
    <n v="6.82"/>
    <x v="99"/>
    <x v="2"/>
    <x v="1"/>
    <x v="0"/>
    <x v="114"/>
    <x v="7"/>
    <x v="0"/>
    <x v="115"/>
  </r>
  <r>
    <x v="9"/>
    <x v="0"/>
    <x v="0"/>
    <s v="Masters"/>
    <n v="9"/>
    <n v="161.9"/>
    <x v="82"/>
    <x v="62"/>
    <x v="5"/>
    <n v="5.88"/>
    <x v="100"/>
    <x v="2"/>
    <x v="1"/>
    <x v="0"/>
    <x v="115"/>
    <x v="8"/>
    <x v="2"/>
    <x v="116"/>
  </r>
  <r>
    <x v="9"/>
    <x v="2"/>
    <x v="2"/>
    <s v="Bachelors"/>
    <n v="1"/>
    <n v="176.9"/>
    <x v="1"/>
    <x v="0"/>
    <x v="8"/>
    <n v="7.8"/>
    <x v="101"/>
    <x v="0"/>
    <x v="2"/>
    <x v="0"/>
    <x v="116"/>
    <x v="9"/>
    <x v="2"/>
    <x v="117"/>
  </r>
  <r>
    <x v="10"/>
    <x v="0"/>
    <x v="2"/>
    <s v="Bachelors"/>
    <n v="4"/>
    <n v="159.69999999999999"/>
    <x v="1"/>
    <x v="47"/>
    <x v="5"/>
    <n v="6.81"/>
    <x v="102"/>
    <x v="2"/>
    <x v="0"/>
    <x v="1"/>
    <x v="117"/>
    <x v="0"/>
    <x v="0"/>
    <x v="91"/>
  </r>
  <r>
    <x v="10"/>
    <x v="2"/>
    <x v="4"/>
    <s v="PhD"/>
    <n v="3"/>
    <n v="168.9"/>
    <x v="56"/>
    <x v="46"/>
    <x v="8"/>
    <n v="7.87"/>
    <x v="103"/>
    <x v="2"/>
    <x v="0"/>
    <x v="2"/>
    <x v="118"/>
    <x v="0"/>
    <x v="1"/>
    <x v="118"/>
  </r>
  <r>
    <x v="10"/>
    <x v="2"/>
    <x v="4"/>
    <s v="Masters"/>
    <n v="2"/>
    <n v="142.4"/>
    <x v="69"/>
    <x v="35"/>
    <x v="8"/>
    <n v="7.63"/>
    <x v="104"/>
    <x v="2"/>
    <x v="2"/>
    <x v="2"/>
    <x v="119"/>
    <x v="1"/>
    <x v="1"/>
    <x v="119"/>
  </r>
  <r>
    <x v="10"/>
    <x v="1"/>
    <x v="2"/>
    <s v="Masters"/>
    <n v="3"/>
    <n v="163.1"/>
    <x v="72"/>
    <x v="30"/>
    <x v="3"/>
    <n v="7.25"/>
    <x v="17"/>
    <x v="2"/>
    <x v="0"/>
    <x v="0"/>
    <x v="120"/>
    <x v="1"/>
    <x v="1"/>
    <x v="120"/>
  </r>
  <r>
    <x v="10"/>
    <x v="3"/>
    <x v="4"/>
    <s v="Masters"/>
    <n v="6"/>
    <n v="164.4"/>
    <x v="25"/>
    <x v="63"/>
    <x v="4"/>
    <n v="5.99"/>
    <x v="105"/>
    <x v="2"/>
    <x v="2"/>
    <x v="0"/>
    <x v="121"/>
    <x v="2"/>
    <x v="1"/>
    <x v="121"/>
  </r>
  <r>
    <x v="10"/>
    <x v="3"/>
    <x v="2"/>
    <s v="Bachelors"/>
    <n v="4"/>
    <n v="175.8"/>
    <x v="83"/>
    <x v="41"/>
    <x v="5"/>
    <n v="6.24"/>
    <x v="106"/>
    <x v="2"/>
    <x v="2"/>
    <x v="2"/>
    <x v="122"/>
    <x v="3"/>
    <x v="2"/>
    <x v="122"/>
  </r>
  <r>
    <x v="10"/>
    <x v="1"/>
    <x v="3"/>
    <s v="Masters"/>
    <n v="3"/>
    <n v="163"/>
    <x v="84"/>
    <x v="21"/>
    <x v="3"/>
    <n v="9.2200000000000006"/>
    <x v="25"/>
    <x v="2"/>
    <x v="0"/>
    <x v="1"/>
    <x v="123"/>
    <x v="4"/>
    <x v="1"/>
    <x v="123"/>
  </r>
  <r>
    <x v="10"/>
    <x v="0"/>
    <x v="1"/>
    <s v="Bachelors"/>
    <n v="4"/>
    <n v="147.69999999999999"/>
    <x v="26"/>
    <x v="49"/>
    <x v="0"/>
    <n v="9.4499999999999993"/>
    <x v="53"/>
    <x v="0"/>
    <x v="1"/>
    <x v="2"/>
    <x v="124"/>
    <x v="5"/>
    <x v="2"/>
    <x v="124"/>
  </r>
  <r>
    <x v="10"/>
    <x v="1"/>
    <x v="1"/>
    <s v="Bachelors"/>
    <n v="5"/>
    <n v="180.6"/>
    <x v="21"/>
    <x v="64"/>
    <x v="6"/>
    <n v="9.6199999999999992"/>
    <x v="107"/>
    <x v="2"/>
    <x v="0"/>
    <x v="2"/>
    <x v="125"/>
    <x v="6"/>
    <x v="0"/>
    <x v="125"/>
  </r>
  <r>
    <x v="10"/>
    <x v="3"/>
    <x v="4"/>
    <s v="Masters"/>
    <n v="9"/>
    <n v="155"/>
    <x v="46"/>
    <x v="32"/>
    <x v="6"/>
    <n v="7.39"/>
    <x v="108"/>
    <x v="0"/>
    <x v="0"/>
    <x v="0"/>
    <x v="126"/>
    <x v="7"/>
    <x v="0"/>
    <x v="126"/>
  </r>
  <r>
    <x v="10"/>
    <x v="1"/>
    <x v="2"/>
    <s v="Masters"/>
    <n v="10"/>
    <n v="155.4"/>
    <x v="50"/>
    <x v="35"/>
    <x v="7"/>
    <n v="6.81"/>
    <x v="109"/>
    <x v="2"/>
    <x v="2"/>
    <x v="1"/>
    <x v="127"/>
    <x v="8"/>
    <x v="0"/>
    <x v="127"/>
  </r>
  <r>
    <x v="10"/>
    <x v="0"/>
    <x v="4"/>
    <s v="Masters"/>
    <n v="7"/>
    <n v="164.7"/>
    <x v="85"/>
    <x v="27"/>
    <x v="8"/>
    <n v="6.61"/>
    <x v="110"/>
    <x v="2"/>
    <x v="0"/>
    <x v="0"/>
    <x v="128"/>
    <x v="9"/>
    <x v="0"/>
    <x v="128"/>
  </r>
  <r>
    <x v="11"/>
    <x v="3"/>
    <x v="3"/>
    <s v="Masters"/>
    <n v="9"/>
    <n v="166.3"/>
    <x v="1"/>
    <x v="54"/>
    <x v="5"/>
    <n v="7.14"/>
    <x v="111"/>
    <x v="0"/>
    <x v="0"/>
    <x v="1"/>
    <x v="129"/>
    <x v="0"/>
    <x v="0"/>
    <x v="129"/>
  </r>
  <r>
    <x v="11"/>
    <x v="2"/>
    <x v="4"/>
    <s v="Bachelors"/>
    <n v="10"/>
    <n v="165.4"/>
    <x v="59"/>
    <x v="48"/>
    <x v="4"/>
    <n v="10"/>
    <x v="112"/>
    <x v="0"/>
    <x v="0"/>
    <x v="0"/>
    <x v="130"/>
    <x v="0"/>
    <x v="1"/>
    <x v="130"/>
  </r>
  <r>
    <x v="11"/>
    <x v="3"/>
    <x v="2"/>
    <s v="Masters"/>
    <n v="5"/>
    <n v="149.5"/>
    <x v="21"/>
    <x v="53"/>
    <x v="8"/>
    <n v="10"/>
    <x v="25"/>
    <x v="2"/>
    <x v="1"/>
    <x v="2"/>
    <x v="131"/>
    <x v="1"/>
    <x v="1"/>
    <x v="131"/>
  </r>
  <r>
    <x v="11"/>
    <x v="3"/>
    <x v="2"/>
    <s v="PhD"/>
    <n v="4"/>
    <n v="159.4"/>
    <x v="86"/>
    <x v="20"/>
    <x v="10"/>
    <n v="10"/>
    <x v="113"/>
    <x v="0"/>
    <x v="1"/>
    <x v="2"/>
    <x v="132"/>
    <x v="1"/>
    <x v="0"/>
    <x v="132"/>
  </r>
  <r>
    <x v="11"/>
    <x v="1"/>
    <x v="4"/>
    <s v="PhD"/>
    <n v="9"/>
    <n v="150.1"/>
    <x v="78"/>
    <x v="65"/>
    <x v="5"/>
    <n v="7.09"/>
    <x v="114"/>
    <x v="2"/>
    <x v="1"/>
    <x v="2"/>
    <x v="133"/>
    <x v="2"/>
    <x v="0"/>
    <x v="133"/>
  </r>
  <r>
    <x v="11"/>
    <x v="2"/>
    <x v="4"/>
    <s v="PhD"/>
    <n v="6"/>
    <n v="158.9"/>
    <x v="87"/>
    <x v="21"/>
    <x v="10"/>
    <n v="4.1900000000000004"/>
    <x v="115"/>
    <x v="2"/>
    <x v="1"/>
    <x v="0"/>
    <x v="134"/>
    <x v="3"/>
    <x v="0"/>
    <x v="134"/>
  </r>
  <r>
    <x v="11"/>
    <x v="4"/>
    <x v="1"/>
    <s v="Masters"/>
    <n v="4"/>
    <n v="160.80000000000001"/>
    <x v="37"/>
    <x v="40"/>
    <x v="4"/>
    <n v="6.37"/>
    <x v="116"/>
    <x v="2"/>
    <x v="1"/>
    <x v="0"/>
    <x v="52"/>
    <x v="4"/>
    <x v="0"/>
    <x v="101"/>
  </r>
  <r>
    <x v="11"/>
    <x v="3"/>
    <x v="2"/>
    <s v="Masters"/>
    <n v="7"/>
    <n v="155.6"/>
    <x v="88"/>
    <x v="40"/>
    <x v="6"/>
    <n v="7.67"/>
    <x v="117"/>
    <x v="0"/>
    <x v="1"/>
    <x v="2"/>
    <x v="135"/>
    <x v="5"/>
    <x v="2"/>
    <x v="135"/>
  </r>
  <r>
    <x v="11"/>
    <x v="3"/>
    <x v="3"/>
    <s v="Masters"/>
    <n v="5"/>
    <n v="161.4"/>
    <x v="43"/>
    <x v="7"/>
    <x v="8"/>
    <n v="8.01"/>
    <x v="87"/>
    <x v="0"/>
    <x v="0"/>
    <x v="2"/>
    <x v="136"/>
    <x v="6"/>
    <x v="0"/>
    <x v="136"/>
  </r>
  <r>
    <x v="11"/>
    <x v="3"/>
    <x v="0"/>
    <s v="Masters"/>
    <n v="9"/>
    <n v="168.1"/>
    <x v="89"/>
    <x v="29"/>
    <x v="1"/>
    <n v="10"/>
    <x v="118"/>
    <x v="2"/>
    <x v="1"/>
    <x v="1"/>
    <x v="137"/>
    <x v="7"/>
    <x v="1"/>
    <x v="137"/>
  </r>
  <r>
    <x v="11"/>
    <x v="2"/>
    <x v="0"/>
    <s v="Masters"/>
    <n v="3"/>
    <n v="148.6"/>
    <x v="90"/>
    <x v="46"/>
    <x v="0"/>
    <n v="7.19"/>
    <x v="119"/>
    <x v="0"/>
    <x v="1"/>
    <x v="1"/>
    <x v="138"/>
    <x v="8"/>
    <x v="1"/>
    <x v="138"/>
  </r>
  <r>
    <x v="11"/>
    <x v="0"/>
    <x v="0"/>
    <s v="Bachelors"/>
    <n v="9"/>
    <n v="158.30000000000001"/>
    <x v="91"/>
    <x v="40"/>
    <x v="8"/>
    <n v="9.1300000000000008"/>
    <x v="10"/>
    <x v="0"/>
    <x v="1"/>
    <x v="0"/>
    <x v="139"/>
    <x v="9"/>
    <x v="2"/>
    <x v="139"/>
  </r>
  <r>
    <x v="12"/>
    <x v="0"/>
    <x v="4"/>
    <s v="Bachelors"/>
    <n v="7"/>
    <n v="167.9"/>
    <x v="13"/>
    <x v="34"/>
    <x v="8"/>
    <n v="5.01"/>
    <x v="120"/>
    <x v="2"/>
    <x v="1"/>
    <x v="0"/>
    <x v="140"/>
    <x v="0"/>
    <x v="1"/>
    <x v="140"/>
  </r>
  <r>
    <x v="12"/>
    <x v="4"/>
    <x v="0"/>
    <s v="PhD"/>
    <n v="10"/>
    <n v="173.1"/>
    <x v="1"/>
    <x v="26"/>
    <x v="5"/>
    <n v="7.19"/>
    <x v="121"/>
    <x v="2"/>
    <x v="1"/>
    <x v="2"/>
    <x v="141"/>
    <x v="0"/>
    <x v="1"/>
    <x v="141"/>
  </r>
  <r>
    <x v="12"/>
    <x v="3"/>
    <x v="3"/>
    <s v="Bachelors"/>
    <n v="8"/>
    <n v="160.30000000000001"/>
    <x v="92"/>
    <x v="28"/>
    <x v="0"/>
    <n v="5.32"/>
    <x v="115"/>
    <x v="2"/>
    <x v="2"/>
    <x v="1"/>
    <x v="142"/>
    <x v="1"/>
    <x v="2"/>
    <x v="142"/>
  </r>
  <r>
    <x v="12"/>
    <x v="0"/>
    <x v="1"/>
    <s v="Masters"/>
    <n v="6"/>
    <n v="171.7"/>
    <x v="6"/>
    <x v="66"/>
    <x v="5"/>
    <n v="8.17"/>
    <x v="122"/>
    <x v="2"/>
    <x v="1"/>
    <x v="1"/>
    <x v="45"/>
    <x v="1"/>
    <x v="0"/>
    <x v="143"/>
  </r>
  <r>
    <x v="12"/>
    <x v="0"/>
    <x v="3"/>
    <s v="PhD"/>
    <n v="3"/>
    <n v="160.30000000000001"/>
    <x v="93"/>
    <x v="67"/>
    <x v="5"/>
    <n v="8.6199999999999992"/>
    <x v="84"/>
    <x v="2"/>
    <x v="2"/>
    <x v="2"/>
    <x v="143"/>
    <x v="2"/>
    <x v="1"/>
    <x v="144"/>
  </r>
  <r>
    <x v="12"/>
    <x v="4"/>
    <x v="1"/>
    <s v="Bachelors"/>
    <n v="6"/>
    <n v="179.6"/>
    <x v="1"/>
    <x v="21"/>
    <x v="1"/>
    <m/>
    <x v="123"/>
    <x v="0"/>
    <x v="2"/>
    <x v="1"/>
    <x v="144"/>
    <x v="3"/>
    <x v="1"/>
    <x v="145"/>
  </r>
  <r>
    <x v="12"/>
    <x v="1"/>
    <x v="0"/>
    <s v="PhD"/>
    <n v="5"/>
    <n v="163.30000000000001"/>
    <x v="1"/>
    <x v="42"/>
    <x v="8"/>
    <n v="6.91"/>
    <x v="124"/>
    <x v="2"/>
    <x v="0"/>
    <x v="1"/>
    <x v="145"/>
    <x v="4"/>
    <x v="1"/>
    <x v="146"/>
  </r>
  <r>
    <x v="12"/>
    <x v="2"/>
    <x v="0"/>
    <s v="PhD"/>
    <n v="4"/>
    <n v="150.9"/>
    <x v="51"/>
    <x v="2"/>
    <x v="9"/>
    <n v="9.56"/>
    <x v="125"/>
    <x v="0"/>
    <x v="1"/>
    <x v="2"/>
    <x v="146"/>
    <x v="5"/>
    <x v="1"/>
    <x v="147"/>
  </r>
  <r>
    <x v="12"/>
    <x v="2"/>
    <x v="2"/>
    <s v="PhD"/>
    <n v="8"/>
    <n v="165.9"/>
    <x v="94"/>
    <x v="68"/>
    <x v="8"/>
    <n v="7.79"/>
    <x v="126"/>
    <x v="0"/>
    <x v="0"/>
    <x v="0"/>
    <x v="147"/>
    <x v="6"/>
    <x v="2"/>
    <x v="148"/>
  </r>
  <r>
    <x v="12"/>
    <x v="2"/>
    <x v="3"/>
    <s v="Bachelors"/>
    <n v="8"/>
    <n v="162.1"/>
    <x v="1"/>
    <x v="66"/>
    <x v="10"/>
    <n v="6.97"/>
    <x v="127"/>
    <x v="0"/>
    <x v="0"/>
    <x v="2"/>
    <x v="148"/>
    <x v="7"/>
    <x v="0"/>
    <x v="149"/>
  </r>
  <r>
    <x v="12"/>
    <x v="0"/>
    <x v="2"/>
    <s v="Masters"/>
    <n v="8"/>
    <n v="175.4"/>
    <x v="56"/>
    <x v="53"/>
    <x v="0"/>
    <n v="5.81"/>
    <x v="128"/>
    <x v="0"/>
    <x v="2"/>
    <x v="2"/>
    <x v="149"/>
    <x v="8"/>
    <x v="0"/>
    <x v="150"/>
  </r>
  <r>
    <x v="12"/>
    <x v="1"/>
    <x v="2"/>
    <s v="Bachelors"/>
    <n v="6"/>
    <n v="143.9"/>
    <x v="84"/>
    <x v="31"/>
    <x v="7"/>
    <n v="6.09"/>
    <x v="129"/>
    <x v="0"/>
    <x v="2"/>
    <x v="1"/>
    <x v="150"/>
    <x v="9"/>
    <x v="1"/>
    <x v="151"/>
  </r>
  <r>
    <x v="13"/>
    <x v="3"/>
    <x v="4"/>
    <s v="PhD"/>
    <n v="7"/>
    <n v="158.6"/>
    <x v="1"/>
    <x v="20"/>
    <x v="4"/>
    <n v="9.43"/>
    <x v="130"/>
    <x v="2"/>
    <x v="0"/>
    <x v="2"/>
    <x v="151"/>
    <x v="0"/>
    <x v="1"/>
    <x v="152"/>
  </r>
  <r>
    <x v="13"/>
    <x v="4"/>
    <x v="4"/>
    <s v="Masters"/>
    <n v="2"/>
    <n v="163.4"/>
    <x v="95"/>
    <x v="4"/>
    <x v="0"/>
    <n v="7.52"/>
    <x v="2"/>
    <x v="2"/>
    <x v="0"/>
    <x v="0"/>
    <x v="13"/>
    <x v="0"/>
    <x v="2"/>
    <x v="153"/>
  </r>
  <r>
    <x v="13"/>
    <x v="0"/>
    <x v="3"/>
    <s v="Masters"/>
    <n v="9"/>
    <n v="146.5"/>
    <x v="8"/>
    <x v="8"/>
    <x v="3"/>
    <n v="8.81"/>
    <x v="131"/>
    <x v="2"/>
    <x v="1"/>
    <x v="2"/>
    <x v="152"/>
    <x v="1"/>
    <x v="1"/>
    <x v="154"/>
  </r>
  <r>
    <x v="13"/>
    <x v="2"/>
    <x v="4"/>
    <s v="PhD"/>
    <n v="7"/>
    <n v="165.5"/>
    <x v="96"/>
    <x v="2"/>
    <x v="5"/>
    <n v="6.25"/>
    <x v="132"/>
    <x v="0"/>
    <x v="0"/>
    <x v="2"/>
    <x v="153"/>
    <x v="1"/>
    <x v="0"/>
    <x v="155"/>
  </r>
  <r>
    <x v="13"/>
    <x v="0"/>
    <x v="2"/>
    <s v="Masters"/>
    <n v="3"/>
    <n v="145.6"/>
    <x v="27"/>
    <x v="37"/>
    <x v="4"/>
    <n v="5.38"/>
    <x v="133"/>
    <x v="2"/>
    <x v="1"/>
    <x v="2"/>
    <x v="154"/>
    <x v="2"/>
    <x v="0"/>
    <x v="156"/>
  </r>
  <r>
    <x v="13"/>
    <x v="1"/>
    <x v="3"/>
    <s v="Masters"/>
    <n v="7"/>
    <n v="144.5"/>
    <x v="36"/>
    <x v="54"/>
    <x v="5"/>
    <n v="6.15"/>
    <x v="19"/>
    <x v="2"/>
    <x v="0"/>
    <x v="2"/>
    <x v="155"/>
    <x v="3"/>
    <x v="0"/>
    <x v="157"/>
  </r>
  <r>
    <x v="13"/>
    <x v="2"/>
    <x v="3"/>
    <s v="PhD"/>
    <n v="10"/>
    <n v="150.69999999999999"/>
    <x v="90"/>
    <x v="67"/>
    <x v="6"/>
    <n v="8.68"/>
    <x v="134"/>
    <x v="2"/>
    <x v="1"/>
    <x v="1"/>
    <x v="43"/>
    <x v="4"/>
    <x v="1"/>
    <x v="158"/>
  </r>
  <r>
    <x v="13"/>
    <x v="1"/>
    <x v="0"/>
    <s v="Bachelors"/>
    <n v="10"/>
    <n v="148.19999999999999"/>
    <x v="1"/>
    <x v="19"/>
    <x v="1"/>
    <n v="8.58"/>
    <x v="135"/>
    <x v="2"/>
    <x v="2"/>
    <x v="2"/>
    <x v="156"/>
    <x v="5"/>
    <x v="1"/>
    <x v="159"/>
  </r>
  <r>
    <x v="13"/>
    <x v="4"/>
    <x v="4"/>
    <s v="Bachelors"/>
    <n v="6"/>
    <n v="141.1"/>
    <x v="97"/>
    <x v="69"/>
    <x v="9"/>
    <n v="6.26"/>
    <x v="69"/>
    <x v="0"/>
    <x v="2"/>
    <x v="2"/>
    <x v="157"/>
    <x v="6"/>
    <x v="0"/>
    <x v="160"/>
  </r>
  <r>
    <x v="13"/>
    <x v="4"/>
    <x v="2"/>
    <s v="Bachelors"/>
    <n v="9"/>
    <n v="161.5"/>
    <x v="33"/>
    <x v="7"/>
    <x v="3"/>
    <m/>
    <x v="61"/>
    <x v="0"/>
    <x v="1"/>
    <x v="2"/>
    <x v="145"/>
    <x v="7"/>
    <x v="1"/>
    <x v="161"/>
  </r>
  <r>
    <x v="13"/>
    <x v="1"/>
    <x v="2"/>
    <s v="PhD"/>
    <n v="9"/>
    <n v="163.9"/>
    <x v="1"/>
    <x v="41"/>
    <x v="5"/>
    <n v="6.95"/>
    <x v="4"/>
    <x v="2"/>
    <x v="1"/>
    <x v="2"/>
    <x v="158"/>
    <x v="8"/>
    <x v="1"/>
    <x v="44"/>
  </r>
  <r>
    <x v="13"/>
    <x v="2"/>
    <x v="3"/>
    <s v="Masters"/>
    <n v="1"/>
    <n v="160"/>
    <x v="10"/>
    <x v="70"/>
    <x v="9"/>
    <m/>
    <x v="136"/>
    <x v="0"/>
    <x v="2"/>
    <x v="1"/>
    <x v="159"/>
    <x v="9"/>
    <x v="0"/>
    <x v="162"/>
  </r>
  <r>
    <x v="14"/>
    <x v="3"/>
    <x v="2"/>
    <s v="PhD"/>
    <n v="1"/>
    <n v="155.69999999999999"/>
    <x v="82"/>
    <x v="71"/>
    <x v="8"/>
    <n v="8.19"/>
    <x v="137"/>
    <x v="0"/>
    <x v="2"/>
    <x v="2"/>
    <x v="160"/>
    <x v="0"/>
    <x v="0"/>
    <x v="62"/>
  </r>
  <r>
    <x v="14"/>
    <x v="3"/>
    <x v="2"/>
    <s v="Masters"/>
    <n v="10"/>
    <n v="178"/>
    <x v="27"/>
    <x v="19"/>
    <x v="8"/>
    <m/>
    <x v="62"/>
    <x v="2"/>
    <x v="0"/>
    <x v="2"/>
    <x v="161"/>
    <x v="0"/>
    <x v="1"/>
    <x v="163"/>
  </r>
  <r>
    <x v="14"/>
    <x v="1"/>
    <x v="0"/>
    <s v="PhD"/>
    <n v="2"/>
    <n v="173.9"/>
    <x v="88"/>
    <x v="4"/>
    <x v="10"/>
    <n v="6.27"/>
    <x v="10"/>
    <x v="2"/>
    <x v="1"/>
    <x v="2"/>
    <x v="162"/>
    <x v="1"/>
    <x v="2"/>
    <x v="164"/>
  </r>
  <r>
    <x v="14"/>
    <x v="0"/>
    <x v="4"/>
    <s v="PhD"/>
    <n v="3"/>
    <n v="174.2"/>
    <x v="77"/>
    <x v="4"/>
    <x v="4"/>
    <n v="9.01"/>
    <x v="30"/>
    <x v="2"/>
    <x v="1"/>
    <x v="0"/>
    <x v="163"/>
    <x v="1"/>
    <x v="0"/>
    <x v="165"/>
  </r>
  <r>
    <x v="14"/>
    <x v="1"/>
    <x v="2"/>
    <s v="Masters"/>
    <n v="10"/>
    <n v="149.1"/>
    <x v="98"/>
    <x v="72"/>
    <x v="6"/>
    <n v="6.71"/>
    <x v="138"/>
    <x v="0"/>
    <x v="2"/>
    <x v="1"/>
    <x v="164"/>
    <x v="2"/>
    <x v="1"/>
    <x v="166"/>
  </r>
  <r>
    <x v="14"/>
    <x v="2"/>
    <x v="4"/>
    <s v="Masters"/>
    <n v="2"/>
    <n v="164.1"/>
    <x v="93"/>
    <x v="4"/>
    <x v="1"/>
    <n v="5.96"/>
    <x v="139"/>
    <x v="2"/>
    <x v="1"/>
    <x v="0"/>
    <x v="165"/>
    <x v="3"/>
    <x v="1"/>
    <x v="167"/>
  </r>
  <r>
    <x v="14"/>
    <x v="3"/>
    <x v="1"/>
    <s v="Masters"/>
    <n v="8"/>
    <n v="169"/>
    <x v="99"/>
    <x v="73"/>
    <x v="8"/>
    <n v="6.78"/>
    <x v="10"/>
    <x v="2"/>
    <x v="1"/>
    <x v="2"/>
    <x v="166"/>
    <x v="4"/>
    <x v="1"/>
    <x v="168"/>
  </r>
  <r>
    <x v="14"/>
    <x v="0"/>
    <x v="4"/>
    <s v="Bachelors"/>
    <n v="6"/>
    <n v="173.7"/>
    <x v="79"/>
    <x v="4"/>
    <x v="1"/>
    <n v="6.62"/>
    <x v="140"/>
    <x v="0"/>
    <x v="0"/>
    <x v="0"/>
    <x v="2"/>
    <x v="5"/>
    <x v="2"/>
    <x v="169"/>
  </r>
  <r>
    <x v="14"/>
    <x v="0"/>
    <x v="4"/>
    <s v="Masters"/>
    <n v="4"/>
    <n v="166.7"/>
    <x v="31"/>
    <x v="28"/>
    <x v="7"/>
    <n v="6.48"/>
    <x v="141"/>
    <x v="2"/>
    <x v="2"/>
    <x v="0"/>
    <x v="167"/>
    <x v="6"/>
    <x v="1"/>
    <x v="170"/>
  </r>
  <r>
    <x v="14"/>
    <x v="4"/>
    <x v="0"/>
    <s v="Bachelors"/>
    <n v="10"/>
    <n v="142.5"/>
    <x v="48"/>
    <x v="40"/>
    <x v="5"/>
    <m/>
    <x v="124"/>
    <x v="2"/>
    <x v="2"/>
    <x v="2"/>
    <x v="168"/>
    <x v="7"/>
    <x v="1"/>
    <x v="171"/>
  </r>
  <r>
    <x v="14"/>
    <x v="4"/>
    <x v="2"/>
    <s v="Masters"/>
    <n v="7"/>
    <n v="168.2"/>
    <x v="19"/>
    <x v="36"/>
    <x v="3"/>
    <n v="8.89"/>
    <x v="142"/>
    <x v="2"/>
    <x v="0"/>
    <x v="0"/>
    <x v="169"/>
    <x v="8"/>
    <x v="1"/>
    <x v="172"/>
  </r>
  <r>
    <x v="14"/>
    <x v="0"/>
    <x v="3"/>
    <s v="Masters"/>
    <n v="3"/>
    <n v="172.9"/>
    <x v="100"/>
    <x v="5"/>
    <x v="10"/>
    <n v="7.17"/>
    <x v="143"/>
    <x v="0"/>
    <x v="1"/>
    <x v="0"/>
    <x v="9"/>
    <x v="9"/>
    <x v="1"/>
    <x v="173"/>
  </r>
  <r>
    <x v="15"/>
    <x v="4"/>
    <x v="2"/>
    <s v="Bachelors"/>
    <n v="7"/>
    <n v="167.7"/>
    <x v="85"/>
    <x v="20"/>
    <x v="4"/>
    <n v="9.48"/>
    <x v="144"/>
    <x v="2"/>
    <x v="2"/>
    <x v="1"/>
    <x v="170"/>
    <x v="0"/>
    <x v="1"/>
    <x v="174"/>
  </r>
  <r>
    <x v="15"/>
    <x v="0"/>
    <x v="1"/>
    <s v="Bachelors"/>
    <n v="10"/>
    <n v="165.8"/>
    <x v="1"/>
    <x v="4"/>
    <x v="6"/>
    <n v="9.02"/>
    <x v="145"/>
    <x v="2"/>
    <x v="2"/>
    <x v="2"/>
    <x v="171"/>
    <x v="0"/>
    <x v="0"/>
    <x v="175"/>
  </r>
  <r>
    <x v="15"/>
    <x v="0"/>
    <x v="1"/>
    <s v="Bachelors"/>
    <n v="5"/>
    <n v="149.69999999999999"/>
    <x v="101"/>
    <x v="59"/>
    <x v="8"/>
    <n v="9.17"/>
    <x v="146"/>
    <x v="2"/>
    <x v="2"/>
    <x v="2"/>
    <x v="172"/>
    <x v="1"/>
    <x v="1"/>
    <x v="176"/>
  </r>
  <r>
    <x v="15"/>
    <x v="2"/>
    <x v="4"/>
    <s v="PhD"/>
    <n v="7"/>
    <n v="161.6"/>
    <x v="102"/>
    <x v="36"/>
    <x v="0"/>
    <n v="9.67"/>
    <x v="31"/>
    <x v="1"/>
    <x v="1"/>
    <x v="1"/>
    <x v="173"/>
    <x v="1"/>
    <x v="2"/>
    <x v="177"/>
  </r>
  <r>
    <x v="15"/>
    <x v="4"/>
    <x v="2"/>
    <s v="Masters"/>
    <n v="10"/>
    <n v="164"/>
    <x v="76"/>
    <x v="45"/>
    <x v="4"/>
    <n v="6.09"/>
    <x v="36"/>
    <x v="0"/>
    <x v="0"/>
    <x v="1"/>
    <x v="174"/>
    <x v="2"/>
    <x v="1"/>
    <x v="178"/>
  </r>
  <r>
    <x v="15"/>
    <x v="4"/>
    <x v="3"/>
    <s v="PhD"/>
    <n v="2"/>
    <n v="169.5"/>
    <x v="103"/>
    <x v="45"/>
    <x v="1"/>
    <n v="8.09"/>
    <x v="147"/>
    <x v="2"/>
    <x v="2"/>
    <x v="0"/>
    <x v="175"/>
    <x v="3"/>
    <x v="2"/>
    <x v="179"/>
  </r>
  <r>
    <x v="15"/>
    <x v="2"/>
    <x v="0"/>
    <s v="Bachelors"/>
    <n v="2"/>
    <n v="171.9"/>
    <x v="1"/>
    <x v="4"/>
    <x v="8"/>
    <n v="8.89"/>
    <x v="148"/>
    <x v="2"/>
    <x v="2"/>
    <x v="0"/>
    <x v="176"/>
    <x v="4"/>
    <x v="0"/>
    <x v="180"/>
  </r>
  <r>
    <x v="15"/>
    <x v="3"/>
    <x v="0"/>
    <s v="Bachelors"/>
    <n v="2"/>
    <n v="155"/>
    <x v="72"/>
    <x v="37"/>
    <x v="3"/>
    <n v="9.81"/>
    <x v="149"/>
    <x v="0"/>
    <x v="1"/>
    <x v="0"/>
    <x v="56"/>
    <x v="5"/>
    <x v="1"/>
    <x v="181"/>
  </r>
  <r>
    <x v="15"/>
    <x v="2"/>
    <x v="0"/>
    <s v="Bachelors"/>
    <n v="5"/>
    <n v="158.69999999999999"/>
    <x v="36"/>
    <x v="21"/>
    <x v="1"/>
    <n v="5.09"/>
    <x v="150"/>
    <x v="0"/>
    <x v="1"/>
    <x v="2"/>
    <x v="177"/>
    <x v="6"/>
    <x v="1"/>
    <x v="182"/>
  </r>
  <r>
    <x v="15"/>
    <x v="4"/>
    <x v="4"/>
    <s v="Masters"/>
    <n v="8"/>
    <n v="170.6"/>
    <x v="0"/>
    <x v="46"/>
    <x v="12"/>
    <n v="7.14"/>
    <x v="151"/>
    <x v="2"/>
    <x v="0"/>
    <x v="0"/>
    <x v="81"/>
    <x v="7"/>
    <x v="1"/>
    <x v="183"/>
  </r>
  <r>
    <x v="15"/>
    <x v="1"/>
    <x v="3"/>
    <s v="PhD"/>
    <n v="10"/>
    <n v="176"/>
    <x v="1"/>
    <x v="59"/>
    <x v="5"/>
    <n v="5.8"/>
    <x v="152"/>
    <x v="2"/>
    <x v="0"/>
    <x v="1"/>
    <x v="178"/>
    <x v="8"/>
    <x v="1"/>
    <x v="184"/>
  </r>
  <r>
    <x v="15"/>
    <x v="4"/>
    <x v="0"/>
    <s v="PhD"/>
    <n v="9"/>
    <n v="168.5"/>
    <x v="42"/>
    <x v="48"/>
    <x v="3"/>
    <n v="7.14"/>
    <x v="97"/>
    <x v="2"/>
    <x v="1"/>
    <x v="2"/>
    <x v="179"/>
    <x v="9"/>
    <x v="2"/>
    <x v="185"/>
  </r>
  <r>
    <x v="16"/>
    <x v="2"/>
    <x v="1"/>
    <s v="Masters"/>
    <n v="6"/>
    <n v="169.8"/>
    <x v="85"/>
    <x v="46"/>
    <x v="7"/>
    <n v="7.27"/>
    <x v="72"/>
    <x v="2"/>
    <x v="1"/>
    <x v="1"/>
    <x v="180"/>
    <x v="0"/>
    <x v="1"/>
    <x v="186"/>
  </r>
  <r>
    <x v="16"/>
    <x v="1"/>
    <x v="1"/>
    <s v="Masters"/>
    <n v="9"/>
    <n v="146.5"/>
    <x v="93"/>
    <x v="23"/>
    <x v="6"/>
    <n v="8.32"/>
    <x v="153"/>
    <x v="2"/>
    <x v="1"/>
    <x v="0"/>
    <x v="181"/>
    <x v="0"/>
    <x v="2"/>
    <x v="187"/>
  </r>
  <r>
    <x v="16"/>
    <x v="0"/>
    <x v="1"/>
    <s v="Masters"/>
    <n v="6"/>
    <n v="174.5"/>
    <x v="90"/>
    <x v="40"/>
    <x v="1"/>
    <n v="8.6999999999999993"/>
    <x v="154"/>
    <x v="0"/>
    <x v="2"/>
    <x v="1"/>
    <x v="182"/>
    <x v="1"/>
    <x v="2"/>
    <x v="188"/>
  </r>
  <r>
    <x v="16"/>
    <x v="2"/>
    <x v="3"/>
    <s v="Masters"/>
    <n v="4"/>
    <n v="155.80000000000001"/>
    <x v="50"/>
    <x v="48"/>
    <x v="1"/>
    <n v="8.8800000000000008"/>
    <x v="155"/>
    <x v="2"/>
    <x v="1"/>
    <x v="2"/>
    <x v="74"/>
    <x v="1"/>
    <x v="2"/>
    <x v="189"/>
  </r>
  <r>
    <x v="16"/>
    <x v="3"/>
    <x v="2"/>
    <s v="Masters"/>
    <n v="4"/>
    <n v="157.5"/>
    <x v="104"/>
    <x v="16"/>
    <x v="3"/>
    <n v="6.74"/>
    <x v="156"/>
    <x v="2"/>
    <x v="2"/>
    <x v="1"/>
    <x v="183"/>
    <x v="2"/>
    <x v="0"/>
    <x v="190"/>
  </r>
  <r>
    <x v="16"/>
    <x v="4"/>
    <x v="2"/>
    <s v="Bachelors"/>
    <n v="2"/>
    <n v="170.2"/>
    <x v="105"/>
    <x v="58"/>
    <x v="0"/>
    <n v="10"/>
    <x v="157"/>
    <x v="2"/>
    <x v="2"/>
    <x v="0"/>
    <x v="184"/>
    <x v="3"/>
    <x v="1"/>
    <x v="191"/>
  </r>
  <r>
    <x v="16"/>
    <x v="4"/>
    <x v="3"/>
    <s v="PhD"/>
    <n v="1"/>
    <n v="170.9"/>
    <x v="106"/>
    <x v="73"/>
    <x v="9"/>
    <n v="7.98"/>
    <x v="145"/>
    <x v="2"/>
    <x v="0"/>
    <x v="0"/>
    <x v="185"/>
    <x v="4"/>
    <x v="0"/>
    <x v="192"/>
  </r>
  <r>
    <x v="16"/>
    <x v="0"/>
    <x v="1"/>
    <s v="PhD"/>
    <n v="3"/>
    <n v="156.4"/>
    <x v="1"/>
    <x v="44"/>
    <x v="1"/>
    <n v="7.48"/>
    <x v="158"/>
    <x v="0"/>
    <x v="2"/>
    <x v="1"/>
    <x v="186"/>
    <x v="5"/>
    <x v="0"/>
    <x v="193"/>
  </r>
  <r>
    <x v="16"/>
    <x v="0"/>
    <x v="3"/>
    <s v="PhD"/>
    <n v="4"/>
    <n v="153.9"/>
    <x v="26"/>
    <x v="4"/>
    <x v="4"/>
    <n v="6.76"/>
    <x v="159"/>
    <x v="2"/>
    <x v="1"/>
    <x v="0"/>
    <x v="187"/>
    <x v="6"/>
    <x v="0"/>
    <x v="194"/>
  </r>
  <r>
    <x v="16"/>
    <x v="4"/>
    <x v="4"/>
    <s v="PhD"/>
    <n v="4"/>
    <n v="158.69999999999999"/>
    <x v="54"/>
    <x v="27"/>
    <x v="8"/>
    <n v="8.48"/>
    <x v="160"/>
    <x v="2"/>
    <x v="0"/>
    <x v="2"/>
    <x v="112"/>
    <x v="7"/>
    <x v="0"/>
    <x v="195"/>
  </r>
  <r>
    <x v="16"/>
    <x v="1"/>
    <x v="4"/>
    <s v="Masters"/>
    <n v="10"/>
    <n v="167"/>
    <x v="10"/>
    <x v="45"/>
    <x v="8"/>
    <n v="9.6199999999999992"/>
    <x v="161"/>
    <x v="0"/>
    <x v="2"/>
    <x v="2"/>
    <x v="188"/>
    <x v="8"/>
    <x v="1"/>
    <x v="196"/>
  </r>
  <r>
    <x v="16"/>
    <x v="0"/>
    <x v="2"/>
    <s v="Masters"/>
    <n v="7"/>
    <n v="147.4"/>
    <x v="1"/>
    <x v="58"/>
    <x v="5"/>
    <n v="8.1199999999999992"/>
    <x v="162"/>
    <x v="0"/>
    <x v="0"/>
    <x v="2"/>
    <x v="189"/>
    <x v="9"/>
    <x v="1"/>
    <x v="197"/>
  </r>
  <r>
    <x v="17"/>
    <x v="3"/>
    <x v="0"/>
    <s v="Bachelors"/>
    <n v="10"/>
    <n v="146.30000000000001"/>
    <x v="24"/>
    <x v="20"/>
    <x v="3"/>
    <n v="6.78"/>
    <x v="163"/>
    <x v="0"/>
    <x v="0"/>
    <x v="2"/>
    <x v="190"/>
    <x v="0"/>
    <x v="0"/>
    <x v="198"/>
  </r>
  <r>
    <x v="17"/>
    <x v="4"/>
    <x v="3"/>
    <s v="PhD"/>
    <n v="4"/>
    <n v="166.1"/>
    <x v="0"/>
    <x v="41"/>
    <x v="4"/>
    <n v="7.46"/>
    <x v="46"/>
    <x v="0"/>
    <x v="0"/>
    <x v="1"/>
    <x v="191"/>
    <x v="0"/>
    <x v="0"/>
    <x v="199"/>
  </r>
  <r>
    <x v="17"/>
    <x v="0"/>
    <x v="2"/>
    <s v="Bachelors"/>
    <n v="8"/>
    <n v="163.69999999999999"/>
    <x v="107"/>
    <x v="14"/>
    <x v="2"/>
    <n v="7.02"/>
    <x v="10"/>
    <x v="2"/>
    <x v="0"/>
    <x v="2"/>
    <x v="192"/>
    <x v="1"/>
    <x v="2"/>
    <x v="200"/>
  </r>
  <r>
    <x v="17"/>
    <x v="3"/>
    <x v="0"/>
    <s v="Masters"/>
    <n v="1"/>
    <n v="157"/>
    <x v="1"/>
    <x v="4"/>
    <x v="10"/>
    <n v="9.17"/>
    <x v="164"/>
    <x v="2"/>
    <x v="2"/>
    <x v="0"/>
    <x v="193"/>
    <x v="1"/>
    <x v="1"/>
    <x v="201"/>
  </r>
  <r>
    <x v="17"/>
    <x v="2"/>
    <x v="2"/>
    <s v="Masters"/>
    <n v="3"/>
    <n v="161.4"/>
    <x v="20"/>
    <x v="44"/>
    <x v="6"/>
    <n v="9.85"/>
    <x v="165"/>
    <x v="0"/>
    <x v="1"/>
    <x v="0"/>
    <x v="194"/>
    <x v="2"/>
    <x v="1"/>
    <x v="202"/>
  </r>
  <r>
    <x v="17"/>
    <x v="2"/>
    <x v="3"/>
    <s v="PhD"/>
    <n v="9"/>
    <n v="166.5"/>
    <x v="68"/>
    <x v="21"/>
    <x v="8"/>
    <n v="9.09"/>
    <x v="10"/>
    <x v="0"/>
    <x v="0"/>
    <x v="1"/>
    <x v="195"/>
    <x v="3"/>
    <x v="1"/>
    <x v="203"/>
  </r>
  <r>
    <x v="17"/>
    <x v="4"/>
    <x v="0"/>
    <s v="Bachelors"/>
    <n v="1"/>
    <n v="165.6"/>
    <x v="53"/>
    <x v="39"/>
    <x v="1"/>
    <n v="6.7"/>
    <x v="10"/>
    <x v="0"/>
    <x v="0"/>
    <x v="1"/>
    <x v="196"/>
    <x v="4"/>
    <x v="1"/>
    <x v="204"/>
  </r>
  <r>
    <x v="17"/>
    <x v="1"/>
    <x v="3"/>
    <s v="Masters"/>
    <n v="6"/>
    <n v="165.9"/>
    <x v="61"/>
    <x v="0"/>
    <x v="4"/>
    <n v="7.7"/>
    <x v="10"/>
    <x v="2"/>
    <x v="2"/>
    <x v="2"/>
    <x v="97"/>
    <x v="5"/>
    <x v="1"/>
    <x v="205"/>
  </r>
  <r>
    <x v="17"/>
    <x v="0"/>
    <x v="0"/>
    <s v="PhD"/>
    <n v="10"/>
    <n v="162"/>
    <x v="84"/>
    <x v="74"/>
    <x v="5"/>
    <n v="8.43"/>
    <x v="49"/>
    <x v="1"/>
    <x v="2"/>
    <x v="0"/>
    <x v="197"/>
    <x v="6"/>
    <x v="1"/>
    <x v="87"/>
  </r>
  <r>
    <x v="17"/>
    <x v="1"/>
    <x v="3"/>
    <s v="PhD"/>
    <n v="8"/>
    <n v="156.5"/>
    <x v="12"/>
    <x v="18"/>
    <x v="6"/>
    <n v="5.62"/>
    <x v="166"/>
    <x v="1"/>
    <x v="1"/>
    <x v="1"/>
    <x v="198"/>
    <x v="7"/>
    <x v="2"/>
    <x v="206"/>
  </r>
  <r>
    <x v="17"/>
    <x v="4"/>
    <x v="0"/>
    <s v="Bachelors"/>
    <n v="9"/>
    <n v="159.4"/>
    <x v="107"/>
    <x v="4"/>
    <x v="0"/>
    <n v="6.53"/>
    <x v="167"/>
    <x v="2"/>
    <x v="1"/>
    <x v="2"/>
    <x v="199"/>
    <x v="8"/>
    <x v="2"/>
    <x v="207"/>
  </r>
  <r>
    <x v="17"/>
    <x v="0"/>
    <x v="1"/>
    <s v="Masters"/>
    <n v="5"/>
    <n v="168.5"/>
    <x v="1"/>
    <x v="66"/>
    <x v="1"/>
    <n v="5.67"/>
    <x v="168"/>
    <x v="2"/>
    <x v="2"/>
    <x v="2"/>
    <x v="200"/>
    <x v="9"/>
    <x v="0"/>
    <x v="208"/>
  </r>
  <r>
    <x v="18"/>
    <x v="2"/>
    <x v="3"/>
    <s v="Masters"/>
    <n v="10"/>
    <n v="148.1"/>
    <x v="108"/>
    <x v="58"/>
    <x v="7"/>
    <n v="9.9600000000000009"/>
    <x v="124"/>
    <x v="2"/>
    <x v="0"/>
    <x v="2"/>
    <x v="201"/>
    <x v="0"/>
    <x v="1"/>
    <x v="107"/>
  </r>
  <r>
    <x v="18"/>
    <x v="1"/>
    <x v="2"/>
    <s v="PhD"/>
    <n v="3"/>
    <n v="152"/>
    <x v="109"/>
    <x v="40"/>
    <x v="13"/>
    <n v="7.86"/>
    <x v="51"/>
    <x v="2"/>
    <x v="1"/>
    <x v="2"/>
    <x v="202"/>
    <x v="0"/>
    <x v="0"/>
    <x v="209"/>
  </r>
  <r>
    <x v="18"/>
    <x v="1"/>
    <x v="4"/>
    <s v="PhD"/>
    <n v="6"/>
    <n v="154.5"/>
    <x v="110"/>
    <x v="67"/>
    <x v="5"/>
    <n v="7.83"/>
    <x v="169"/>
    <x v="2"/>
    <x v="2"/>
    <x v="0"/>
    <x v="203"/>
    <x v="1"/>
    <x v="1"/>
    <x v="210"/>
  </r>
  <r>
    <x v="18"/>
    <x v="0"/>
    <x v="3"/>
    <s v="Masters"/>
    <n v="10"/>
    <n v="185.3"/>
    <x v="4"/>
    <x v="68"/>
    <x v="0"/>
    <n v="9.5500000000000007"/>
    <x v="170"/>
    <x v="2"/>
    <x v="0"/>
    <x v="1"/>
    <x v="204"/>
    <x v="1"/>
    <x v="1"/>
    <x v="211"/>
  </r>
  <r>
    <x v="18"/>
    <x v="3"/>
    <x v="0"/>
    <s v="Masters"/>
    <n v="8"/>
    <n v="150.6"/>
    <x v="51"/>
    <x v="32"/>
    <x v="6"/>
    <n v="7.22"/>
    <x v="171"/>
    <x v="2"/>
    <x v="2"/>
    <x v="2"/>
    <x v="205"/>
    <x v="2"/>
    <x v="0"/>
    <x v="212"/>
  </r>
  <r>
    <x v="18"/>
    <x v="2"/>
    <x v="4"/>
    <s v="PhD"/>
    <n v="5"/>
    <n v="147.80000000000001"/>
    <x v="39"/>
    <x v="43"/>
    <x v="3"/>
    <n v="10"/>
    <x v="172"/>
    <x v="0"/>
    <x v="0"/>
    <x v="0"/>
    <x v="206"/>
    <x v="3"/>
    <x v="2"/>
    <x v="213"/>
  </r>
  <r>
    <x v="18"/>
    <x v="4"/>
    <x v="4"/>
    <s v="Masters"/>
    <n v="9"/>
    <n v="144.80000000000001"/>
    <x v="111"/>
    <x v="43"/>
    <x v="5"/>
    <n v="5.8"/>
    <x v="63"/>
    <x v="2"/>
    <x v="0"/>
    <x v="2"/>
    <x v="20"/>
    <x v="4"/>
    <x v="1"/>
    <x v="214"/>
  </r>
  <r>
    <x v="18"/>
    <x v="2"/>
    <x v="4"/>
    <s v="Masters"/>
    <n v="5"/>
    <n v="155.69999999999999"/>
    <x v="1"/>
    <x v="51"/>
    <x v="0"/>
    <n v="6.8"/>
    <x v="173"/>
    <x v="0"/>
    <x v="0"/>
    <x v="2"/>
    <x v="207"/>
    <x v="5"/>
    <x v="1"/>
    <x v="215"/>
  </r>
  <r>
    <x v="18"/>
    <x v="1"/>
    <x v="1"/>
    <s v="PhD"/>
    <n v="8"/>
    <n v="168.7"/>
    <x v="78"/>
    <x v="16"/>
    <x v="1"/>
    <n v="8.93"/>
    <x v="174"/>
    <x v="1"/>
    <x v="0"/>
    <x v="0"/>
    <x v="208"/>
    <x v="6"/>
    <x v="1"/>
    <x v="216"/>
  </r>
  <r>
    <x v="18"/>
    <x v="4"/>
    <x v="0"/>
    <s v="Masters"/>
    <n v="10"/>
    <n v="152.9"/>
    <x v="9"/>
    <x v="75"/>
    <x v="5"/>
    <m/>
    <x v="175"/>
    <x v="2"/>
    <x v="2"/>
    <x v="2"/>
    <x v="209"/>
    <x v="7"/>
    <x v="2"/>
    <x v="217"/>
  </r>
  <r>
    <x v="18"/>
    <x v="4"/>
    <x v="2"/>
    <s v="PhD"/>
    <n v="7"/>
    <n v="159.4"/>
    <x v="107"/>
    <x v="76"/>
    <x v="3"/>
    <n v="7.51"/>
    <x v="142"/>
    <x v="2"/>
    <x v="2"/>
    <x v="0"/>
    <x v="210"/>
    <x v="8"/>
    <x v="2"/>
    <x v="218"/>
  </r>
  <r>
    <x v="18"/>
    <x v="4"/>
    <x v="0"/>
    <s v="Bachelors"/>
    <n v="2"/>
    <n v="156.19999999999999"/>
    <x v="7"/>
    <x v="30"/>
    <x v="6"/>
    <n v="9.02"/>
    <x v="176"/>
    <x v="0"/>
    <x v="2"/>
    <x v="1"/>
    <x v="211"/>
    <x v="9"/>
    <x v="0"/>
    <x v="219"/>
  </r>
  <r>
    <x v="19"/>
    <x v="3"/>
    <x v="0"/>
    <s v="Masters"/>
    <n v="10"/>
    <n v="167.8"/>
    <x v="112"/>
    <x v="57"/>
    <x v="7"/>
    <n v="7.14"/>
    <x v="177"/>
    <x v="2"/>
    <x v="1"/>
    <x v="1"/>
    <x v="212"/>
    <x v="0"/>
    <x v="2"/>
    <x v="220"/>
  </r>
  <r>
    <x v="19"/>
    <x v="4"/>
    <x v="0"/>
    <s v="PhD"/>
    <n v="7"/>
    <n v="168.1"/>
    <x v="97"/>
    <x v="31"/>
    <x v="9"/>
    <n v="7.13"/>
    <x v="178"/>
    <x v="0"/>
    <x v="1"/>
    <x v="2"/>
    <x v="213"/>
    <x v="0"/>
    <x v="2"/>
    <x v="221"/>
  </r>
  <r>
    <x v="19"/>
    <x v="1"/>
    <x v="0"/>
    <s v="Masters"/>
    <n v="7"/>
    <n v="159.30000000000001"/>
    <x v="31"/>
    <x v="21"/>
    <x v="0"/>
    <n v="7.28"/>
    <x v="143"/>
    <x v="2"/>
    <x v="0"/>
    <x v="2"/>
    <x v="214"/>
    <x v="1"/>
    <x v="2"/>
    <x v="222"/>
  </r>
  <r>
    <x v="19"/>
    <x v="2"/>
    <x v="2"/>
    <s v="PhD"/>
    <n v="5"/>
    <n v="157.5"/>
    <x v="48"/>
    <x v="42"/>
    <x v="1"/>
    <n v="7.78"/>
    <x v="55"/>
    <x v="0"/>
    <x v="1"/>
    <x v="2"/>
    <x v="215"/>
    <x v="1"/>
    <x v="1"/>
    <x v="223"/>
  </r>
  <r>
    <x v="19"/>
    <x v="2"/>
    <x v="2"/>
    <s v="Masters"/>
    <n v="3"/>
    <n v="154.4"/>
    <x v="113"/>
    <x v="23"/>
    <x v="5"/>
    <n v="8.19"/>
    <x v="179"/>
    <x v="2"/>
    <x v="2"/>
    <x v="1"/>
    <x v="216"/>
    <x v="2"/>
    <x v="0"/>
    <x v="224"/>
  </r>
  <r>
    <x v="19"/>
    <x v="4"/>
    <x v="4"/>
    <s v="Bachelors"/>
    <n v="6"/>
    <n v="171.9"/>
    <x v="1"/>
    <x v="58"/>
    <x v="8"/>
    <n v="7.18"/>
    <x v="54"/>
    <x v="2"/>
    <x v="2"/>
    <x v="0"/>
    <x v="217"/>
    <x v="3"/>
    <x v="1"/>
    <x v="180"/>
  </r>
  <r>
    <x v="19"/>
    <x v="1"/>
    <x v="3"/>
    <s v="Bachelors"/>
    <n v="3"/>
    <n v="171.6"/>
    <x v="104"/>
    <x v="0"/>
    <x v="0"/>
    <n v="9.3000000000000007"/>
    <x v="23"/>
    <x v="2"/>
    <x v="2"/>
    <x v="0"/>
    <x v="218"/>
    <x v="4"/>
    <x v="1"/>
    <x v="225"/>
  </r>
  <r>
    <x v="19"/>
    <x v="4"/>
    <x v="0"/>
    <s v="PhD"/>
    <n v="4"/>
    <n v="155.4"/>
    <x v="88"/>
    <x v="45"/>
    <x v="8"/>
    <n v="5.22"/>
    <x v="180"/>
    <x v="2"/>
    <x v="2"/>
    <x v="0"/>
    <x v="73"/>
    <x v="5"/>
    <x v="2"/>
    <x v="226"/>
  </r>
  <r>
    <x v="19"/>
    <x v="4"/>
    <x v="1"/>
    <s v="PhD"/>
    <n v="3"/>
    <n v="157.30000000000001"/>
    <x v="77"/>
    <x v="74"/>
    <x v="0"/>
    <n v="4.33"/>
    <x v="49"/>
    <x v="2"/>
    <x v="0"/>
    <x v="0"/>
    <x v="219"/>
    <x v="6"/>
    <x v="0"/>
    <x v="227"/>
  </r>
  <r>
    <x v="19"/>
    <x v="0"/>
    <x v="3"/>
    <s v="Bachelors"/>
    <n v="10"/>
    <n v="159.4"/>
    <x v="1"/>
    <x v="77"/>
    <x v="1"/>
    <n v="7.72"/>
    <x v="181"/>
    <x v="0"/>
    <x v="0"/>
    <x v="2"/>
    <x v="220"/>
    <x v="7"/>
    <x v="1"/>
    <x v="228"/>
  </r>
  <r>
    <x v="19"/>
    <x v="3"/>
    <x v="2"/>
    <s v="Bachelors"/>
    <n v="5"/>
    <n v="162.69999999999999"/>
    <x v="89"/>
    <x v="13"/>
    <x v="6"/>
    <n v="7.24"/>
    <x v="125"/>
    <x v="2"/>
    <x v="1"/>
    <x v="1"/>
    <x v="221"/>
    <x v="8"/>
    <x v="1"/>
    <x v="229"/>
  </r>
  <r>
    <x v="19"/>
    <x v="4"/>
    <x v="4"/>
    <s v="PhD"/>
    <n v="7"/>
    <n v="148.4"/>
    <x v="49"/>
    <x v="40"/>
    <x v="0"/>
    <n v="5.69"/>
    <x v="182"/>
    <x v="2"/>
    <x v="1"/>
    <x v="0"/>
    <x v="222"/>
    <x v="9"/>
    <x v="0"/>
    <x v="230"/>
  </r>
  <r>
    <x v="20"/>
    <x v="1"/>
    <x v="0"/>
    <s v="PhD"/>
    <n v="5"/>
    <n v="156.30000000000001"/>
    <x v="52"/>
    <x v="2"/>
    <x v="1"/>
    <n v="7.34"/>
    <x v="183"/>
    <x v="0"/>
    <x v="0"/>
    <x v="1"/>
    <x v="5"/>
    <x v="0"/>
    <x v="0"/>
    <x v="231"/>
  </r>
  <r>
    <x v="20"/>
    <x v="1"/>
    <x v="2"/>
    <s v="PhD"/>
    <n v="10"/>
    <n v="142.69999999999999"/>
    <x v="1"/>
    <x v="29"/>
    <x v="4"/>
    <n v="8.16"/>
    <x v="173"/>
    <x v="0"/>
    <x v="1"/>
    <x v="0"/>
    <x v="223"/>
    <x v="0"/>
    <x v="0"/>
    <x v="232"/>
  </r>
  <r>
    <x v="20"/>
    <x v="4"/>
    <x v="3"/>
    <s v="Masters"/>
    <n v="1"/>
    <n v="166.4"/>
    <x v="114"/>
    <x v="18"/>
    <x v="0"/>
    <n v="6.58"/>
    <x v="184"/>
    <x v="2"/>
    <x v="0"/>
    <x v="1"/>
    <x v="224"/>
    <x v="1"/>
    <x v="2"/>
    <x v="233"/>
  </r>
  <r>
    <x v="20"/>
    <x v="0"/>
    <x v="2"/>
    <s v="Masters"/>
    <n v="4"/>
    <n v="165"/>
    <x v="1"/>
    <x v="9"/>
    <x v="4"/>
    <n v="6.55"/>
    <x v="185"/>
    <x v="2"/>
    <x v="2"/>
    <x v="1"/>
    <x v="225"/>
    <x v="1"/>
    <x v="0"/>
    <x v="234"/>
  </r>
  <r>
    <x v="20"/>
    <x v="1"/>
    <x v="0"/>
    <s v="Masters"/>
    <n v="3"/>
    <n v="150.5"/>
    <x v="115"/>
    <x v="78"/>
    <x v="6"/>
    <n v="8.66"/>
    <x v="186"/>
    <x v="2"/>
    <x v="0"/>
    <x v="1"/>
    <x v="226"/>
    <x v="2"/>
    <x v="1"/>
    <x v="235"/>
  </r>
  <r>
    <x v="20"/>
    <x v="3"/>
    <x v="2"/>
    <s v="PhD"/>
    <n v="5"/>
    <n v="162.5"/>
    <x v="116"/>
    <x v="69"/>
    <x v="7"/>
    <n v="6.45"/>
    <x v="187"/>
    <x v="2"/>
    <x v="0"/>
    <x v="2"/>
    <x v="227"/>
    <x v="3"/>
    <x v="2"/>
    <x v="236"/>
  </r>
  <r>
    <x v="20"/>
    <x v="3"/>
    <x v="1"/>
    <s v="Masters"/>
    <n v="5"/>
    <n v="150.5"/>
    <x v="23"/>
    <x v="31"/>
    <x v="4"/>
    <n v="8.75"/>
    <x v="188"/>
    <x v="2"/>
    <x v="0"/>
    <x v="0"/>
    <x v="228"/>
    <x v="4"/>
    <x v="1"/>
    <x v="237"/>
  </r>
  <r>
    <x v="20"/>
    <x v="1"/>
    <x v="2"/>
    <s v="PhD"/>
    <n v="2"/>
    <n v="142.80000000000001"/>
    <x v="1"/>
    <x v="15"/>
    <x v="4"/>
    <n v="6.35"/>
    <x v="93"/>
    <x v="0"/>
    <x v="0"/>
    <x v="1"/>
    <x v="229"/>
    <x v="5"/>
    <x v="2"/>
    <x v="238"/>
  </r>
  <r>
    <x v="20"/>
    <x v="3"/>
    <x v="3"/>
    <s v="Bachelors"/>
    <n v="9"/>
    <n v="144.1"/>
    <x v="1"/>
    <x v="55"/>
    <x v="9"/>
    <n v="8.2200000000000006"/>
    <x v="189"/>
    <x v="2"/>
    <x v="2"/>
    <x v="2"/>
    <x v="230"/>
    <x v="6"/>
    <x v="0"/>
    <x v="239"/>
  </r>
  <r>
    <x v="20"/>
    <x v="3"/>
    <x v="0"/>
    <s v="PhD"/>
    <n v="5"/>
    <n v="143.30000000000001"/>
    <x v="1"/>
    <x v="22"/>
    <x v="7"/>
    <m/>
    <x v="190"/>
    <x v="2"/>
    <x v="2"/>
    <x v="1"/>
    <x v="231"/>
    <x v="7"/>
    <x v="2"/>
    <x v="240"/>
  </r>
  <r>
    <x v="20"/>
    <x v="0"/>
    <x v="4"/>
    <s v="PhD"/>
    <n v="7"/>
    <n v="171.7"/>
    <x v="117"/>
    <x v="77"/>
    <x v="8"/>
    <n v="8.56"/>
    <x v="10"/>
    <x v="0"/>
    <x v="0"/>
    <x v="2"/>
    <x v="232"/>
    <x v="8"/>
    <x v="2"/>
    <x v="241"/>
  </r>
  <r>
    <x v="20"/>
    <x v="1"/>
    <x v="4"/>
    <s v="Masters"/>
    <n v="1"/>
    <n v="148.5"/>
    <x v="65"/>
    <x v="45"/>
    <x v="5"/>
    <n v="8.89"/>
    <x v="73"/>
    <x v="2"/>
    <x v="1"/>
    <x v="1"/>
    <x v="233"/>
    <x v="9"/>
    <x v="1"/>
    <x v="242"/>
  </r>
  <r>
    <x v="21"/>
    <x v="1"/>
    <x v="4"/>
    <s v="Masters"/>
    <n v="3"/>
    <n v="159.1"/>
    <x v="74"/>
    <x v="51"/>
    <x v="6"/>
    <n v="4.51"/>
    <x v="191"/>
    <x v="0"/>
    <x v="2"/>
    <x v="1"/>
    <x v="234"/>
    <x v="0"/>
    <x v="1"/>
    <x v="243"/>
  </r>
  <r>
    <x v="21"/>
    <x v="1"/>
    <x v="0"/>
    <s v="PhD"/>
    <n v="3"/>
    <n v="177.6"/>
    <x v="68"/>
    <x v="57"/>
    <x v="1"/>
    <n v="8.17"/>
    <x v="192"/>
    <x v="2"/>
    <x v="2"/>
    <x v="0"/>
    <x v="235"/>
    <x v="0"/>
    <x v="0"/>
    <x v="244"/>
  </r>
  <r>
    <x v="21"/>
    <x v="3"/>
    <x v="2"/>
    <s v="Bachelors"/>
    <n v="10"/>
    <n v="141.9"/>
    <x v="18"/>
    <x v="13"/>
    <x v="4"/>
    <n v="6.06"/>
    <x v="193"/>
    <x v="2"/>
    <x v="2"/>
    <x v="2"/>
    <x v="40"/>
    <x v="1"/>
    <x v="0"/>
    <x v="245"/>
  </r>
  <r>
    <x v="21"/>
    <x v="1"/>
    <x v="0"/>
    <s v="Masters"/>
    <n v="3"/>
    <n v="149.1"/>
    <x v="110"/>
    <x v="15"/>
    <x v="7"/>
    <n v="5.18"/>
    <x v="186"/>
    <x v="0"/>
    <x v="0"/>
    <x v="1"/>
    <x v="52"/>
    <x v="1"/>
    <x v="0"/>
    <x v="246"/>
  </r>
  <r>
    <x v="21"/>
    <x v="4"/>
    <x v="1"/>
    <s v="Bachelors"/>
    <n v="6"/>
    <n v="166.3"/>
    <x v="65"/>
    <x v="57"/>
    <x v="6"/>
    <n v="9.1300000000000008"/>
    <x v="194"/>
    <x v="2"/>
    <x v="1"/>
    <x v="1"/>
    <x v="236"/>
    <x v="2"/>
    <x v="0"/>
    <x v="247"/>
  </r>
  <r>
    <x v="21"/>
    <x v="3"/>
    <x v="4"/>
    <s v="PhD"/>
    <n v="4"/>
    <n v="150.69999999999999"/>
    <x v="105"/>
    <x v="27"/>
    <x v="5"/>
    <n v="8.94"/>
    <x v="10"/>
    <x v="2"/>
    <x v="0"/>
    <x v="0"/>
    <x v="183"/>
    <x v="3"/>
    <x v="0"/>
    <x v="248"/>
  </r>
  <r>
    <x v="21"/>
    <x v="3"/>
    <x v="2"/>
    <s v="Masters"/>
    <n v="6"/>
    <n v="156"/>
    <x v="99"/>
    <x v="23"/>
    <x v="0"/>
    <m/>
    <x v="195"/>
    <x v="2"/>
    <x v="2"/>
    <x v="2"/>
    <x v="237"/>
    <x v="4"/>
    <x v="0"/>
    <x v="249"/>
  </r>
  <r>
    <x v="21"/>
    <x v="0"/>
    <x v="2"/>
    <s v="Bachelors"/>
    <n v="8"/>
    <n v="161.80000000000001"/>
    <x v="1"/>
    <x v="45"/>
    <x v="0"/>
    <n v="6.31"/>
    <x v="10"/>
    <x v="2"/>
    <x v="1"/>
    <x v="0"/>
    <x v="238"/>
    <x v="5"/>
    <x v="2"/>
    <x v="250"/>
  </r>
  <r>
    <x v="21"/>
    <x v="4"/>
    <x v="4"/>
    <s v="Masters"/>
    <n v="10"/>
    <n v="162.80000000000001"/>
    <x v="118"/>
    <x v="2"/>
    <x v="6"/>
    <n v="5.99"/>
    <x v="10"/>
    <x v="0"/>
    <x v="1"/>
    <x v="2"/>
    <x v="239"/>
    <x v="6"/>
    <x v="2"/>
    <x v="251"/>
  </r>
  <r>
    <x v="21"/>
    <x v="0"/>
    <x v="3"/>
    <s v="PhD"/>
    <n v="3"/>
    <n v="186.3"/>
    <x v="80"/>
    <x v="20"/>
    <x v="8"/>
    <n v="8.2100000000000009"/>
    <x v="196"/>
    <x v="2"/>
    <x v="1"/>
    <x v="2"/>
    <x v="240"/>
    <x v="7"/>
    <x v="1"/>
    <x v="252"/>
  </r>
  <r>
    <x v="21"/>
    <x v="3"/>
    <x v="3"/>
    <s v="PhD"/>
    <n v="2"/>
    <n v="147.4"/>
    <x v="1"/>
    <x v="42"/>
    <x v="0"/>
    <n v="6.62"/>
    <x v="137"/>
    <x v="2"/>
    <x v="0"/>
    <x v="1"/>
    <x v="241"/>
    <x v="8"/>
    <x v="1"/>
    <x v="253"/>
  </r>
  <r>
    <x v="21"/>
    <x v="3"/>
    <x v="0"/>
    <s v="PhD"/>
    <n v="1"/>
    <n v="152.30000000000001"/>
    <x v="68"/>
    <x v="1"/>
    <x v="1"/>
    <n v="5.23"/>
    <x v="17"/>
    <x v="2"/>
    <x v="1"/>
    <x v="2"/>
    <x v="242"/>
    <x v="9"/>
    <x v="0"/>
    <x v="254"/>
  </r>
  <r>
    <x v="22"/>
    <x v="0"/>
    <x v="4"/>
    <s v="PhD"/>
    <n v="10"/>
    <n v="174"/>
    <x v="46"/>
    <x v="49"/>
    <x v="0"/>
    <n v="7.7"/>
    <x v="197"/>
    <x v="2"/>
    <x v="0"/>
    <x v="1"/>
    <x v="243"/>
    <x v="0"/>
    <x v="2"/>
    <x v="10"/>
  </r>
  <r>
    <x v="22"/>
    <x v="1"/>
    <x v="0"/>
    <s v="PhD"/>
    <n v="6"/>
    <n v="130.69999999999999"/>
    <x v="1"/>
    <x v="36"/>
    <x v="1"/>
    <n v="6.94"/>
    <x v="10"/>
    <x v="0"/>
    <x v="0"/>
    <x v="1"/>
    <x v="244"/>
    <x v="0"/>
    <x v="1"/>
    <x v="255"/>
  </r>
  <r>
    <x v="22"/>
    <x v="3"/>
    <x v="2"/>
    <s v="Bachelors"/>
    <n v="5"/>
    <n v="181"/>
    <x v="115"/>
    <x v="8"/>
    <x v="10"/>
    <n v="8.73"/>
    <x v="198"/>
    <x v="2"/>
    <x v="1"/>
    <x v="0"/>
    <x v="245"/>
    <x v="1"/>
    <x v="2"/>
    <x v="256"/>
  </r>
  <r>
    <x v="22"/>
    <x v="0"/>
    <x v="3"/>
    <s v="Masters"/>
    <n v="9"/>
    <n v="161.6"/>
    <x v="96"/>
    <x v="4"/>
    <x v="1"/>
    <n v="5.69"/>
    <x v="10"/>
    <x v="2"/>
    <x v="1"/>
    <x v="0"/>
    <x v="13"/>
    <x v="1"/>
    <x v="2"/>
    <x v="257"/>
  </r>
  <r>
    <x v="22"/>
    <x v="1"/>
    <x v="4"/>
    <s v="Bachelors"/>
    <n v="4"/>
    <n v="161.1"/>
    <x v="102"/>
    <x v="16"/>
    <x v="1"/>
    <n v="9.1999999999999993"/>
    <x v="199"/>
    <x v="2"/>
    <x v="0"/>
    <x v="2"/>
    <x v="246"/>
    <x v="2"/>
    <x v="1"/>
    <x v="258"/>
  </r>
  <r>
    <x v="22"/>
    <x v="3"/>
    <x v="4"/>
    <s v="Masters"/>
    <n v="2"/>
    <n v="171.2"/>
    <x v="51"/>
    <x v="39"/>
    <x v="7"/>
    <n v="6.01"/>
    <x v="200"/>
    <x v="2"/>
    <x v="2"/>
    <x v="1"/>
    <x v="247"/>
    <x v="3"/>
    <x v="0"/>
    <x v="259"/>
  </r>
  <r>
    <x v="22"/>
    <x v="1"/>
    <x v="2"/>
    <s v="PhD"/>
    <n v="1"/>
    <n v="164.3"/>
    <x v="107"/>
    <x v="30"/>
    <x v="5"/>
    <n v="8.14"/>
    <x v="201"/>
    <x v="0"/>
    <x v="1"/>
    <x v="2"/>
    <x v="248"/>
    <x v="4"/>
    <x v="2"/>
    <x v="260"/>
  </r>
  <r>
    <x v="22"/>
    <x v="2"/>
    <x v="2"/>
    <s v="Masters"/>
    <n v="7"/>
    <n v="166.5"/>
    <x v="48"/>
    <x v="11"/>
    <x v="0"/>
    <n v="6.41"/>
    <x v="111"/>
    <x v="2"/>
    <x v="1"/>
    <x v="1"/>
    <x v="184"/>
    <x v="5"/>
    <x v="1"/>
    <x v="261"/>
  </r>
  <r>
    <x v="22"/>
    <x v="3"/>
    <x v="1"/>
    <s v="Masters"/>
    <n v="4"/>
    <n v="149.6"/>
    <x v="1"/>
    <x v="26"/>
    <x v="0"/>
    <n v="9.7799999999999994"/>
    <x v="202"/>
    <x v="2"/>
    <x v="0"/>
    <x v="0"/>
    <x v="249"/>
    <x v="6"/>
    <x v="1"/>
    <x v="262"/>
  </r>
  <r>
    <x v="22"/>
    <x v="3"/>
    <x v="0"/>
    <s v="PhD"/>
    <n v="9"/>
    <n v="141.6"/>
    <x v="76"/>
    <x v="68"/>
    <x v="8"/>
    <n v="7.68"/>
    <x v="203"/>
    <x v="2"/>
    <x v="0"/>
    <x v="1"/>
    <x v="250"/>
    <x v="7"/>
    <x v="0"/>
    <x v="263"/>
  </r>
  <r>
    <x v="22"/>
    <x v="3"/>
    <x v="0"/>
    <s v="Masters"/>
    <n v="1"/>
    <n v="162.30000000000001"/>
    <x v="1"/>
    <x v="20"/>
    <x v="5"/>
    <n v="8.86"/>
    <x v="163"/>
    <x v="2"/>
    <x v="0"/>
    <x v="0"/>
    <x v="122"/>
    <x v="8"/>
    <x v="2"/>
    <x v="264"/>
  </r>
  <r>
    <x v="22"/>
    <x v="0"/>
    <x v="2"/>
    <s v="Bachelors"/>
    <n v="6"/>
    <n v="153.1"/>
    <x v="48"/>
    <x v="43"/>
    <x v="8"/>
    <n v="8.1"/>
    <x v="204"/>
    <x v="0"/>
    <x v="2"/>
    <x v="0"/>
    <x v="251"/>
    <x v="9"/>
    <x v="1"/>
    <x v="265"/>
  </r>
  <r>
    <x v="23"/>
    <x v="2"/>
    <x v="0"/>
    <s v="Bachelors"/>
    <n v="9"/>
    <n v="149.69999999999999"/>
    <x v="62"/>
    <x v="68"/>
    <x v="5"/>
    <n v="4.6100000000000003"/>
    <x v="205"/>
    <x v="2"/>
    <x v="0"/>
    <x v="0"/>
    <x v="252"/>
    <x v="0"/>
    <x v="2"/>
    <x v="266"/>
  </r>
  <r>
    <x v="23"/>
    <x v="1"/>
    <x v="4"/>
    <s v="Bachelors"/>
    <n v="9"/>
    <n v="156.1"/>
    <x v="101"/>
    <x v="19"/>
    <x v="4"/>
    <n v="7.13"/>
    <x v="206"/>
    <x v="0"/>
    <x v="1"/>
    <x v="1"/>
    <x v="253"/>
    <x v="0"/>
    <x v="2"/>
    <x v="267"/>
  </r>
  <r>
    <x v="23"/>
    <x v="1"/>
    <x v="4"/>
    <s v="Bachelors"/>
    <n v="9"/>
    <n v="155.6"/>
    <x v="62"/>
    <x v="46"/>
    <x v="8"/>
    <n v="8.23"/>
    <x v="207"/>
    <x v="2"/>
    <x v="1"/>
    <x v="2"/>
    <x v="254"/>
    <x v="1"/>
    <x v="1"/>
    <x v="268"/>
  </r>
  <r>
    <x v="23"/>
    <x v="1"/>
    <x v="4"/>
    <s v="Bachelors"/>
    <n v="8"/>
    <n v="164.8"/>
    <x v="80"/>
    <x v="36"/>
    <x v="1"/>
    <m/>
    <x v="208"/>
    <x v="2"/>
    <x v="0"/>
    <x v="0"/>
    <x v="255"/>
    <x v="1"/>
    <x v="0"/>
    <x v="269"/>
  </r>
  <r>
    <x v="23"/>
    <x v="1"/>
    <x v="4"/>
    <s v="Masters"/>
    <n v="3"/>
    <n v="151.9"/>
    <x v="41"/>
    <x v="35"/>
    <x v="3"/>
    <n v="7.82"/>
    <x v="209"/>
    <x v="2"/>
    <x v="1"/>
    <x v="0"/>
    <x v="256"/>
    <x v="2"/>
    <x v="1"/>
    <x v="270"/>
  </r>
  <r>
    <x v="23"/>
    <x v="0"/>
    <x v="1"/>
    <s v="Bachelors"/>
    <n v="2"/>
    <n v="159.9"/>
    <x v="72"/>
    <x v="35"/>
    <x v="6"/>
    <n v="6.65"/>
    <x v="210"/>
    <x v="2"/>
    <x v="0"/>
    <x v="0"/>
    <x v="257"/>
    <x v="3"/>
    <x v="1"/>
    <x v="271"/>
  </r>
  <r>
    <x v="23"/>
    <x v="2"/>
    <x v="3"/>
    <s v="Bachelors"/>
    <n v="8"/>
    <n v="159.4"/>
    <x v="76"/>
    <x v="23"/>
    <x v="9"/>
    <n v="6.78"/>
    <x v="211"/>
    <x v="2"/>
    <x v="1"/>
    <x v="2"/>
    <x v="258"/>
    <x v="4"/>
    <x v="1"/>
    <x v="272"/>
  </r>
  <r>
    <x v="23"/>
    <x v="0"/>
    <x v="1"/>
    <s v="PhD"/>
    <n v="8"/>
    <n v="163.1"/>
    <x v="69"/>
    <x v="67"/>
    <x v="8"/>
    <n v="5.7"/>
    <x v="212"/>
    <x v="1"/>
    <x v="0"/>
    <x v="1"/>
    <x v="259"/>
    <x v="5"/>
    <x v="0"/>
    <x v="273"/>
  </r>
  <r>
    <x v="23"/>
    <x v="0"/>
    <x v="0"/>
    <s v="Masters"/>
    <n v="4"/>
    <n v="164.2"/>
    <x v="24"/>
    <x v="79"/>
    <x v="4"/>
    <n v="5.53"/>
    <x v="213"/>
    <x v="2"/>
    <x v="0"/>
    <x v="2"/>
    <x v="260"/>
    <x v="6"/>
    <x v="0"/>
    <x v="274"/>
  </r>
  <r>
    <x v="23"/>
    <x v="2"/>
    <x v="4"/>
    <s v="Bachelors"/>
    <n v="4"/>
    <n v="174"/>
    <x v="42"/>
    <x v="23"/>
    <x v="5"/>
    <n v="6.77"/>
    <x v="64"/>
    <x v="0"/>
    <x v="0"/>
    <x v="1"/>
    <x v="94"/>
    <x v="7"/>
    <x v="0"/>
    <x v="275"/>
  </r>
  <r>
    <x v="23"/>
    <x v="1"/>
    <x v="4"/>
    <s v="Bachelors"/>
    <n v="3"/>
    <n v="145.9"/>
    <x v="54"/>
    <x v="23"/>
    <x v="10"/>
    <n v="8.52"/>
    <x v="214"/>
    <x v="2"/>
    <x v="2"/>
    <x v="1"/>
    <x v="261"/>
    <x v="8"/>
    <x v="0"/>
    <x v="276"/>
  </r>
  <r>
    <x v="23"/>
    <x v="2"/>
    <x v="3"/>
    <s v="Masters"/>
    <n v="8"/>
    <n v="149.4"/>
    <x v="119"/>
    <x v="4"/>
    <x v="4"/>
    <n v="7.17"/>
    <x v="215"/>
    <x v="2"/>
    <x v="2"/>
    <x v="0"/>
    <x v="262"/>
    <x v="9"/>
    <x v="2"/>
    <x v="277"/>
  </r>
  <r>
    <x v="24"/>
    <x v="0"/>
    <x v="2"/>
    <s v="Masters"/>
    <n v="6"/>
    <n v="153.1"/>
    <x v="120"/>
    <x v="45"/>
    <x v="4"/>
    <n v="10"/>
    <x v="216"/>
    <x v="1"/>
    <x v="0"/>
    <x v="1"/>
    <x v="263"/>
    <x v="0"/>
    <x v="2"/>
    <x v="278"/>
  </r>
  <r>
    <x v="24"/>
    <x v="0"/>
    <x v="2"/>
    <s v="PhD"/>
    <n v="4"/>
    <n v="155.80000000000001"/>
    <x v="33"/>
    <x v="25"/>
    <x v="1"/>
    <n v="7.67"/>
    <x v="168"/>
    <x v="2"/>
    <x v="0"/>
    <x v="0"/>
    <x v="264"/>
    <x v="0"/>
    <x v="2"/>
    <x v="189"/>
  </r>
  <r>
    <x v="24"/>
    <x v="0"/>
    <x v="3"/>
    <s v="PhD"/>
    <n v="6"/>
    <n v="142.30000000000001"/>
    <x v="107"/>
    <x v="80"/>
    <x v="4"/>
    <n v="5.66"/>
    <x v="217"/>
    <x v="2"/>
    <x v="1"/>
    <x v="0"/>
    <x v="265"/>
    <x v="1"/>
    <x v="2"/>
    <x v="279"/>
  </r>
  <r>
    <x v="24"/>
    <x v="1"/>
    <x v="3"/>
    <s v="PhD"/>
    <n v="9"/>
    <n v="150.19999999999999"/>
    <x v="1"/>
    <x v="66"/>
    <x v="8"/>
    <n v="5.56"/>
    <x v="139"/>
    <x v="2"/>
    <x v="2"/>
    <x v="1"/>
    <x v="266"/>
    <x v="1"/>
    <x v="1"/>
    <x v="280"/>
  </r>
  <r>
    <x v="24"/>
    <x v="2"/>
    <x v="3"/>
    <s v="Masters"/>
    <n v="7"/>
    <n v="160.5"/>
    <x v="121"/>
    <x v="73"/>
    <x v="7"/>
    <n v="7.52"/>
    <x v="151"/>
    <x v="0"/>
    <x v="2"/>
    <x v="1"/>
    <x v="267"/>
    <x v="2"/>
    <x v="0"/>
    <x v="281"/>
  </r>
  <r>
    <x v="24"/>
    <x v="3"/>
    <x v="2"/>
    <s v="PhD"/>
    <n v="6"/>
    <n v="155"/>
    <x v="16"/>
    <x v="22"/>
    <x v="0"/>
    <n v="8.1199999999999992"/>
    <x v="218"/>
    <x v="1"/>
    <x v="2"/>
    <x v="2"/>
    <x v="268"/>
    <x v="3"/>
    <x v="0"/>
    <x v="282"/>
  </r>
  <r>
    <x v="24"/>
    <x v="0"/>
    <x v="0"/>
    <s v="PhD"/>
    <n v="7"/>
    <n v="136.69999999999999"/>
    <x v="122"/>
    <x v="10"/>
    <x v="14"/>
    <n v="9.4499999999999993"/>
    <x v="219"/>
    <x v="0"/>
    <x v="2"/>
    <x v="1"/>
    <x v="269"/>
    <x v="4"/>
    <x v="0"/>
    <x v="283"/>
  </r>
  <r>
    <x v="24"/>
    <x v="1"/>
    <x v="2"/>
    <s v="Masters"/>
    <n v="3"/>
    <n v="171.8"/>
    <x v="1"/>
    <x v="81"/>
    <x v="8"/>
    <n v="9.61"/>
    <x v="220"/>
    <x v="0"/>
    <x v="1"/>
    <x v="2"/>
    <x v="270"/>
    <x v="5"/>
    <x v="1"/>
    <x v="77"/>
  </r>
  <r>
    <x v="24"/>
    <x v="3"/>
    <x v="2"/>
    <s v="Masters"/>
    <n v="6"/>
    <n v="161.30000000000001"/>
    <x v="123"/>
    <x v="0"/>
    <x v="0"/>
    <n v="8.56"/>
    <x v="206"/>
    <x v="0"/>
    <x v="0"/>
    <x v="1"/>
    <x v="271"/>
    <x v="6"/>
    <x v="0"/>
    <x v="284"/>
  </r>
  <r>
    <x v="24"/>
    <x v="0"/>
    <x v="3"/>
    <s v="Masters"/>
    <n v="9"/>
    <n v="167.2"/>
    <x v="60"/>
    <x v="30"/>
    <x v="4"/>
    <n v="7.03"/>
    <x v="221"/>
    <x v="2"/>
    <x v="0"/>
    <x v="1"/>
    <x v="49"/>
    <x v="7"/>
    <x v="1"/>
    <x v="285"/>
  </r>
  <r>
    <x v="24"/>
    <x v="3"/>
    <x v="3"/>
    <s v="Bachelors"/>
    <n v="2"/>
    <n v="162.1"/>
    <x v="40"/>
    <x v="82"/>
    <x v="0"/>
    <n v="7.6"/>
    <x v="10"/>
    <x v="2"/>
    <x v="2"/>
    <x v="2"/>
    <x v="272"/>
    <x v="8"/>
    <x v="0"/>
    <x v="286"/>
  </r>
  <r>
    <x v="24"/>
    <x v="0"/>
    <x v="0"/>
    <s v="Bachelors"/>
    <n v="1"/>
    <n v="154.19999999999999"/>
    <x v="124"/>
    <x v="19"/>
    <x v="15"/>
    <n v="7.12"/>
    <x v="222"/>
    <x v="0"/>
    <x v="1"/>
    <x v="2"/>
    <x v="273"/>
    <x v="9"/>
    <x v="0"/>
    <x v="287"/>
  </r>
  <r>
    <x v="25"/>
    <x v="0"/>
    <x v="3"/>
    <s v="Bachelors"/>
    <n v="10"/>
    <n v="149.69999999999999"/>
    <x v="1"/>
    <x v="43"/>
    <x v="8"/>
    <m/>
    <x v="3"/>
    <x v="2"/>
    <x v="2"/>
    <x v="0"/>
    <x v="274"/>
    <x v="0"/>
    <x v="0"/>
    <x v="176"/>
  </r>
  <r>
    <x v="25"/>
    <x v="2"/>
    <x v="4"/>
    <s v="PhD"/>
    <n v="10"/>
    <n v="159.1"/>
    <x v="80"/>
    <x v="53"/>
    <x v="8"/>
    <n v="7.41"/>
    <x v="203"/>
    <x v="2"/>
    <x v="0"/>
    <x v="1"/>
    <x v="275"/>
    <x v="0"/>
    <x v="1"/>
    <x v="288"/>
  </r>
  <r>
    <x v="25"/>
    <x v="0"/>
    <x v="2"/>
    <s v="Masters"/>
    <n v="4"/>
    <n v="179.1"/>
    <x v="19"/>
    <x v="51"/>
    <x v="8"/>
    <n v="9.14"/>
    <x v="29"/>
    <x v="2"/>
    <x v="2"/>
    <x v="2"/>
    <x v="276"/>
    <x v="1"/>
    <x v="1"/>
    <x v="289"/>
  </r>
  <r>
    <x v="25"/>
    <x v="0"/>
    <x v="3"/>
    <s v="PhD"/>
    <n v="8"/>
    <n v="171.6"/>
    <x v="19"/>
    <x v="4"/>
    <x v="8"/>
    <n v="6.95"/>
    <x v="223"/>
    <x v="2"/>
    <x v="0"/>
    <x v="2"/>
    <x v="277"/>
    <x v="1"/>
    <x v="1"/>
    <x v="290"/>
  </r>
  <r>
    <x v="25"/>
    <x v="0"/>
    <x v="4"/>
    <s v="PhD"/>
    <n v="6"/>
    <n v="166.3"/>
    <x v="125"/>
    <x v="54"/>
    <x v="4"/>
    <n v="8.82"/>
    <x v="224"/>
    <x v="2"/>
    <x v="1"/>
    <x v="0"/>
    <x v="278"/>
    <x v="2"/>
    <x v="0"/>
    <x v="14"/>
  </r>
  <r>
    <x v="25"/>
    <x v="4"/>
    <x v="1"/>
    <s v="Bachelors"/>
    <n v="3"/>
    <n v="153.1"/>
    <x v="11"/>
    <x v="58"/>
    <x v="4"/>
    <n v="6.21"/>
    <x v="225"/>
    <x v="2"/>
    <x v="0"/>
    <x v="1"/>
    <x v="279"/>
    <x v="3"/>
    <x v="2"/>
    <x v="278"/>
  </r>
  <r>
    <x v="25"/>
    <x v="3"/>
    <x v="0"/>
    <s v="Masters"/>
    <n v="9"/>
    <n v="144.1"/>
    <x v="51"/>
    <x v="54"/>
    <x v="6"/>
    <m/>
    <x v="226"/>
    <x v="0"/>
    <x v="2"/>
    <x v="0"/>
    <x v="280"/>
    <x v="4"/>
    <x v="2"/>
    <x v="291"/>
  </r>
  <r>
    <x v="25"/>
    <x v="4"/>
    <x v="4"/>
    <s v="PhD"/>
    <n v="6"/>
    <n v="159.69999999999999"/>
    <x v="114"/>
    <x v="10"/>
    <x v="1"/>
    <n v="7.15"/>
    <x v="10"/>
    <x v="2"/>
    <x v="2"/>
    <x v="1"/>
    <x v="90"/>
    <x v="5"/>
    <x v="1"/>
    <x v="292"/>
  </r>
  <r>
    <x v="25"/>
    <x v="2"/>
    <x v="0"/>
    <s v="PhD"/>
    <n v="8"/>
    <n v="175"/>
    <x v="72"/>
    <x v="40"/>
    <x v="6"/>
    <n v="9.93"/>
    <x v="227"/>
    <x v="0"/>
    <x v="2"/>
    <x v="1"/>
    <x v="281"/>
    <x v="6"/>
    <x v="2"/>
    <x v="293"/>
  </r>
  <r>
    <x v="25"/>
    <x v="3"/>
    <x v="0"/>
    <s v="Bachelors"/>
    <n v="7"/>
    <n v="171.8"/>
    <x v="47"/>
    <x v="8"/>
    <x v="0"/>
    <n v="5.13"/>
    <x v="228"/>
    <x v="2"/>
    <x v="0"/>
    <x v="1"/>
    <x v="282"/>
    <x v="7"/>
    <x v="0"/>
    <x v="294"/>
  </r>
  <r>
    <x v="25"/>
    <x v="3"/>
    <x v="3"/>
    <s v="Masters"/>
    <n v="10"/>
    <n v="161.9"/>
    <x v="1"/>
    <x v="80"/>
    <x v="4"/>
    <n v="7.71"/>
    <x v="229"/>
    <x v="2"/>
    <x v="1"/>
    <x v="0"/>
    <x v="124"/>
    <x v="8"/>
    <x v="2"/>
    <x v="295"/>
  </r>
  <r>
    <x v="25"/>
    <x v="1"/>
    <x v="4"/>
    <s v="PhD"/>
    <n v="2"/>
    <n v="162"/>
    <x v="111"/>
    <x v="71"/>
    <x v="8"/>
    <n v="7.95"/>
    <x v="72"/>
    <x v="2"/>
    <x v="0"/>
    <x v="0"/>
    <x v="169"/>
    <x v="9"/>
    <x v="1"/>
    <x v="296"/>
  </r>
  <r>
    <x v="26"/>
    <x v="1"/>
    <x v="0"/>
    <s v="Bachelors"/>
    <n v="2"/>
    <n v="155.9"/>
    <x v="126"/>
    <x v="21"/>
    <x v="5"/>
    <n v="8.1199999999999992"/>
    <x v="230"/>
    <x v="2"/>
    <x v="2"/>
    <x v="1"/>
    <x v="283"/>
    <x v="0"/>
    <x v="2"/>
    <x v="297"/>
  </r>
  <r>
    <x v="26"/>
    <x v="1"/>
    <x v="2"/>
    <s v="Masters"/>
    <n v="4"/>
    <n v="158.4"/>
    <x v="1"/>
    <x v="58"/>
    <x v="1"/>
    <n v="5.51"/>
    <x v="231"/>
    <x v="0"/>
    <x v="0"/>
    <x v="2"/>
    <x v="284"/>
    <x v="0"/>
    <x v="0"/>
    <x v="298"/>
  </r>
  <r>
    <x v="26"/>
    <x v="1"/>
    <x v="3"/>
    <s v="Masters"/>
    <n v="4"/>
    <n v="164"/>
    <x v="38"/>
    <x v="59"/>
    <x v="8"/>
    <n v="6.15"/>
    <x v="105"/>
    <x v="0"/>
    <x v="2"/>
    <x v="2"/>
    <x v="285"/>
    <x v="1"/>
    <x v="2"/>
    <x v="299"/>
  </r>
  <r>
    <x v="26"/>
    <x v="2"/>
    <x v="4"/>
    <s v="Bachelors"/>
    <n v="10"/>
    <n v="179.3"/>
    <x v="127"/>
    <x v="58"/>
    <x v="0"/>
    <n v="5.62"/>
    <x v="232"/>
    <x v="2"/>
    <x v="1"/>
    <x v="0"/>
    <x v="286"/>
    <x v="1"/>
    <x v="2"/>
    <x v="300"/>
  </r>
  <r>
    <x v="26"/>
    <x v="1"/>
    <x v="4"/>
    <s v="Bachelors"/>
    <n v="6"/>
    <n v="172.1"/>
    <x v="52"/>
    <x v="73"/>
    <x v="4"/>
    <n v="7.22"/>
    <x v="10"/>
    <x v="2"/>
    <x v="2"/>
    <x v="0"/>
    <x v="287"/>
    <x v="2"/>
    <x v="0"/>
    <x v="301"/>
  </r>
  <r>
    <x v="26"/>
    <x v="3"/>
    <x v="2"/>
    <s v="PhD"/>
    <n v="4"/>
    <n v="157.6"/>
    <x v="128"/>
    <x v="21"/>
    <x v="0"/>
    <n v="5.94"/>
    <x v="10"/>
    <x v="2"/>
    <x v="0"/>
    <x v="2"/>
    <x v="288"/>
    <x v="3"/>
    <x v="1"/>
    <x v="302"/>
  </r>
  <r>
    <x v="26"/>
    <x v="2"/>
    <x v="2"/>
    <s v="Masters"/>
    <n v="1"/>
    <n v="166.4"/>
    <x v="112"/>
    <x v="45"/>
    <x v="6"/>
    <n v="7.4"/>
    <x v="10"/>
    <x v="2"/>
    <x v="0"/>
    <x v="0"/>
    <x v="289"/>
    <x v="4"/>
    <x v="0"/>
    <x v="303"/>
  </r>
  <r>
    <x v="26"/>
    <x v="2"/>
    <x v="0"/>
    <s v="Masters"/>
    <n v="4"/>
    <n v="167.9"/>
    <x v="1"/>
    <x v="83"/>
    <x v="0"/>
    <n v="7.23"/>
    <x v="129"/>
    <x v="2"/>
    <x v="0"/>
    <x v="0"/>
    <x v="290"/>
    <x v="5"/>
    <x v="2"/>
    <x v="304"/>
  </r>
  <r>
    <x v="26"/>
    <x v="3"/>
    <x v="4"/>
    <s v="Masters"/>
    <n v="5"/>
    <n v="155.69999999999999"/>
    <x v="81"/>
    <x v="40"/>
    <x v="8"/>
    <n v="7.13"/>
    <x v="63"/>
    <x v="1"/>
    <x v="2"/>
    <x v="1"/>
    <x v="291"/>
    <x v="6"/>
    <x v="1"/>
    <x v="62"/>
  </r>
  <r>
    <x v="26"/>
    <x v="3"/>
    <x v="0"/>
    <s v="Bachelors"/>
    <n v="10"/>
    <n v="156.1"/>
    <x v="72"/>
    <x v="76"/>
    <x v="5"/>
    <n v="7"/>
    <x v="40"/>
    <x v="0"/>
    <x v="0"/>
    <x v="1"/>
    <x v="292"/>
    <x v="7"/>
    <x v="2"/>
    <x v="305"/>
  </r>
  <r>
    <x v="26"/>
    <x v="0"/>
    <x v="0"/>
    <s v="Bachelors"/>
    <n v="3"/>
    <n v="164"/>
    <x v="61"/>
    <x v="34"/>
    <x v="7"/>
    <n v="3.86"/>
    <x v="233"/>
    <x v="2"/>
    <x v="0"/>
    <x v="0"/>
    <x v="293"/>
    <x v="8"/>
    <x v="1"/>
    <x v="306"/>
  </r>
  <r>
    <x v="26"/>
    <x v="1"/>
    <x v="3"/>
    <s v="Masters"/>
    <n v="1"/>
    <n v="152.1"/>
    <x v="48"/>
    <x v="27"/>
    <x v="0"/>
    <n v="5.74"/>
    <x v="175"/>
    <x v="0"/>
    <x v="0"/>
    <x v="0"/>
    <x v="294"/>
    <x v="9"/>
    <x v="2"/>
    <x v="307"/>
  </r>
  <r>
    <x v="27"/>
    <x v="0"/>
    <x v="2"/>
    <s v="PhD"/>
    <n v="1"/>
    <n v="165.9"/>
    <x v="129"/>
    <x v="19"/>
    <x v="5"/>
    <n v="10"/>
    <x v="234"/>
    <x v="2"/>
    <x v="0"/>
    <x v="0"/>
    <x v="295"/>
    <x v="0"/>
    <x v="0"/>
    <x v="308"/>
  </r>
  <r>
    <x v="27"/>
    <x v="1"/>
    <x v="2"/>
    <s v="PhD"/>
    <n v="4"/>
    <n v="185.1"/>
    <x v="76"/>
    <x v="35"/>
    <x v="6"/>
    <n v="5.22"/>
    <x v="235"/>
    <x v="2"/>
    <x v="2"/>
    <x v="0"/>
    <x v="296"/>
    <x v="0"/>
    <x v="0"/>
    <x v="309"/>
  </r>
  <r>
    <x v="27"/>
    <x v="2"/>
    <x v="4"/>
    <s v="PhD"/>
    <n v="3"/>
    <n v="141.6"/>
    <x v="25"/>
    <x v="2"/>
    <x v="1"/>
    <n v="8.5500000000000007"/>
    <x v="57"/>
    <x v="2"/>
    <x v="0"/>
    <x v="0"/>
    <x v="297"/>
    <x v="1"/>
    <x v="1"/>
    <x v="310"/>
  </r>
  <r>
    <x v="27"/>
    <x v="4"/>
    <x v="0"/>
    <s v="Masters"/>
    <n v="2"/>
    <n v="168.6"/>
    <x v="6"/>
    <x v="40"/>
    <x v="5"/>
    <n v="5.12"/>
    <x v="236"/>
    <x v="2"/>
    <x v="1"/>
    <x v="2"/>
    <x v="298"/>
    <x v="1"/>
    <x v="1"/>
    <x v="311"/>
  </r>
  <r>
    <x v="27"/>
    <x v="0"/>
    <x v="3"/>
    <s v="PhD"/>
    <n v="4"/>
    <n v="155.19999999999999"/>
    <x v="17"/>
    <x v="4"/>
    <x v="1"/>
    <n v="6.36"/>
    <x v="237"/>
    <x v="2"/>
    <x v="0"/>
    <x v="1"/>
    <x v="260"/>
    <x v="2"/>
    <x v="0"/>
    <x v="312"/>
  </r>
  <r>
    <x v="27"/>
    <x v="4"/>
    <x v="2"/>
    <s v="Masters"/>
    <n v="10"/>
    <n v="149.9"/>
    <x v="60"/>
    <x v="78"/>
    <x v="5"/>
    <n v="4.3099999999999996"/>
    <x v="238"/>
    <x v="0"/>
    <x v="1"/>
    <x v="2"/>
    <x v="299"/>
    <x v="3"/>
    <x v="2"/>
    <x v="313"/>
  </r>
  <r>
    <x v="27"/>
    <x v="0"/>
    <x v="3"/>
    <s v="Bachelors"/>
    <n v="2"/>
    <n v="158.6"/>
    <x v="1"/>
    <x v="21"/>
    <x v="8"/>
    <n v="6.99"/>
    <x v="239"/>
    <x v="2"/>
    <x v="2"/>
    <x v="2"/>
    <x v="300"/>
    <x v="4"/>
    <x v="0"/>
    <x v="314"/>
  </r>
  <r>
    <x v="27"/>
    <x v="3"/>
    <x v="0"/>
    <s v="Masters"/>
    <n v="6"/>
    <n v="168"/>
    <x v="126"/>
    <x v="64"/>
    <x v="5"/>
    <n v="7.14"/>
    <x v="240"/>
    <x v="2"/>
    <x v="1"/>
    <x v="0"/>
    <x v="301"/>
    <x v="5"/>
    <x v="2"/>
    <x v="315"/>
  </r>
  <r>
    <x v="27"/>
    <x v="4"/>
    <x v="4"/>
    <s v="Masters"/>
    <n v="6"/>
    <n v="148.69999999999999"/>
    <x v="1"/>
    <x v="42"/>
    <x v="10"/>
    <n v="7"/>
    <x v="241"/>
    <x v="2"/>
    <x v="2"/>
    <x v="0"/>
    <x v="302"/>
    <x v="6"/>
    <x v="1"/>
    <x v="316"/>
  </r>
  <r>
    <x v="27"/>
    <x v="4"/>
    <x v="3"/>
    <s v="PhD"/>
    <n v="7"/>
    <n v="162.6"/>
    <x v="89"/>
    <x v="42"/>
    <x v="8"/>
    <n v="6.12"/>
    <x v="242"/>
    <x v="0"/>
    <x v="0"/>
    <x v="0"/>
    <x v="303"/>
    <x v="7"/>
    <x v="2"/>
    <x v="317"/>
  </r>
  <r>
    <x v="27"/>
    <x v="3"/>
    <x v="1"/>
    <s v="Bachelors"/>
    <n v="5"/>
    <n v="179.5"/>
    <x v="1"/>
    <x v="9"/>
    <x v="8"/>
    <n v="7.54"/>
    <x v="243"/>
    <x v="2"/>
    <x v="2"/>
    <x v="1"/>
    <x v="304"/>
    <x v="8"/>
    <x v="2"/>
    <x v="318"/>
  </r>
  <r>
    <x v="27"/>
    <x v="0"/>
    <x v="4"/>
    <s v="PhD"/>
    <n v="1"/>
    <n v="147.69999999999999"/>
    <x v="40"/>
    <x v="53"/>
    <x v="8"/>
    <n v="5.25"/>
    <x v="244"/>
    <x v="0"/>
    <x v="1"/>
    <x v="2"/>
    <x v="305"/>
    <x v="9"/>
    <x v="1"/>
    <x v="319"/>
  </r>
  <r>
    <x v="28"/>
    <x v="3"/>
    <x v="1"/>
    <s v="Bachelors"/>
    <n v="5"/>
    <n v="161"/>
    <x v="70"/>
    <x v="66"/>
    <x v="8"/>
    <n v="6.29"/>
    <x v="245"/>
    <x v="2"/>
    <x v="1"/>
    <x v="0"/>
    <x v="306"/>
    <x v="0"/>
    <x v="1"/>
    <x v="320"/>
  </r>
  <r>
    <x v="28"/>
    <x v="3"/>
    <x v="1"/>
    <s v="Bachelors"/>
    <n v="5"/>
    <n v="168.9"/>
    <x v="6"/>
    <x v="0"/>
    <x v="10"/>
    <n v="9.16"/>
    <x v="47"/>
    <x v="2"/>
    <x v="2"/>
    <x v="0"/>
    <x v="307"/>
    <x v="0"/>
    <x v="0"/>
    <x v="321"/>
  </r>
  <r>
    <x v="28"/>
    <x v="0"/>
    <x v="1"/>
    <s v="PhD"/>
    <n v="6"/>
    <n v="171.7"/>
    <x v="34"/>
    <x v="46"/>
    <x v="9"/>
    <n v="8.2200000000000006"/>
    <x v="246"/>
    <x v="2"/>
    <x v="0"/>
    <x v="2"/>
    <x v="308"/>
    <x v="1"/>
    <x v="2"/>
    <x v="322"/>
  </r>
  <r>
    <x v="28"/>
    <x v="2"/>
    <x v="4"/>
    <s v="Masters"/>
    <n v="2"/>
    <n v="173.3"/>
    <x v="1"/>
    <x v="41"/>
    <x v="5"/>
    <n v="6.19"/>
    <x v="72"/>
    <x v="2"/>
    <x v="2"/>
    <x v="1"/>
    <x v="309"/>
    <x v="1"/>
    <x v="0"/>
    <x v="323"/>
  </r>
  <r>
    <x v="28"/>
    <x v="2"/>
    <x v="3"/>
    <s v="PhD"/>
    <n v="10"/>
    <n v="153.1"/>
    <x v="86"/>
    <x v="27"/>
    <x v="6"/>
    <n v="8.3000000000000007"/>
    <x v="155"/>
    <x v="2"/>
    <x v="0"/>
    <x v="0"/>
    <x v="310"/>
    <x v="2"/>
    <x v="0"/>
    <x v="324"/>
  </r>
  <r>
    <x v="28"/>
    <x v="4"/>
    <x v="0"/>
    <s v="Masters"/>
    <n v="3"/>
    <n v="142.19999999999999"/>
    <x v="130"/>
    <x v="35"/>
    <x v="5"/>
    <n v="6.66"/>
    <x v="247"/>
    <x v="2"/>
    <x v="0"/>
    <x v="1"/>
    <x v="311"/>
    <x v="3"/>
    <x v="1"/>
    <x v="325"/>
  </r>
  <r>
    <x v="28"/>
    <x v="3"/>
    <x v="3"/>
    <s v="PhD"/>
    <n v="10"/>
    <n v="176.2"/>
    <x v="1"/>
    <x v="84"/>
    <x v="6"/>
    <n v="8.74"/>
    <x v="248"/>
    <x v="2"/>
    <x v="1"/>
    <x v="2"/>
    <x v="220"/>
    <x v="4"/>
    <x v="1"/>
    <x v="326"/>
  </r>
  <r>
    <x v="28"/>
    <x v="2"/>
    <x v="0"/>
    <s v="Masters"/>
    <n v="5"/>
    <n v="148.4"/>
    <x v="131"/>
    <x v="49"/>
    <x v="4"/>
    <n v="8.49"/>
    <x v="249"/>
    <x v="2"/>
    <x v="0"/>
    <x v="2"/>
    <x v="312"/>
    <x v="5"/>
    <x v="0"/>
    <x v="327"/>
  </r>
  <r>
    <x v="28"/>
    <x v="0"/>
    <x v="0"/>
    <s v="Masters"/>
    <n v="9"/>
    <n v="166.3"/>
    <x v="1"/>
    <x v="64"/>
    <x v="8"/>
    <n v="6.27"/>
    <x v="153"/>
    <x v="0"/>
    <x v="0"/>
    <x v="0"/>
    <x v="313"/>
    <x v="6"/>
    <x v="1"/>
    <x v="328"/>
  </r>
  <r>
    <x v="28"/>
    <x v="0"/>
    <x v="4"/>
    <s v="PhD"/>
    <n v="4"/>
    <n v="155.4"/>
    <x v="111"/>
    <x v="37"/>
    <x v="0"/>
    <n v="9.08"/>
    <x v="111"/>
    <x v="2"/>
    <x v="2"/>
    <x v="2"/>
    <x v="31"/>
    <x v="7"/>
    <x v="0"/>
    <x v="329"/>
  </r>
  <r>
    <x v="28"/>
    <x v="4"/>
    <x v="4"/>
    <s v="PhD"/>
    <n v="10"/>
    <n v="156.6"/>
    <x v="11"/>
    <x v="9"/>
    <x v="3"/>
    <n v="6.54"/>
    <x v="250"/>
    <x v="2"/>
    <x v="2"/>
    <x v="0"/>
    <x v="314"/>
    <x v="8"/>
    <x v="1"/>
    <x v="330"/>
  </r>
  <r>
    <x v="28"/>
    <x v="4"/>
    <x v="4"/>
    <s v="PhD"/>
    <n v="1"/>
    <n v="166.9"/>
    <x v="61"/>
    <x v="68"/>
    <x v="0"/>
    <n v="7.4"/>
    <x v="251"/>
    <x v="2"/>
    <x v="1"/>
    <x v="2"/>
    <x v="315"/>
    <x v="9"/>
    <x v="0"/>
    <x v="331"/>
  </r>
  <r>
    <x v="29"/>
    <x v="2"/>
    <x v="2"/>
    <s v="PhD"/>
    <n v="6"/>
    <n v="176.9"/>
    <x v="104"/>
    <x v="4"/>
    <x v="1"/>
    <m/>
    <x v="252"/>
    <x v="2"/>
    <x v="1"/>
    <x v="0"/>
    <x v="316"/>
    <x v="0"/>
    <x v="2"/>
    <x v="97"/>
  </r>
  <r>
    <x v="29"/>
    <x v="4"/>
    <x v="0"/>
    <s v="Masters"/>
    <n v="7"/>
    <n v="157.4"/>
    <x v="117"/>
    <x v="74"/>
    <x v="1"/>
    <m/>
    <x v="10"/>
    <x v="2"/>
    <x v="2"/>
    <x v="0"/>
    <x v="317"/>
    <x v="0"/>
    <x v="0"/>
    <x v="332"/>
  </r>
  <r>
    <x v="29"/>
    <x v="2"/>
    <x v="1"/>
    <s v="Bachelors"/>
    <n v="10"/>
    <n v="167.4"/>
    <x v="91"/>
    <x v="20"/>
    <x v="3"/>
    <n v="7.04"/>
    <x v="221"/>
    <x v="2"/>
    <x v="1"/>
    <x v="1"/>
    <x v="305"/>
    <x v="1"/>
    <x v="1"/>
    <x v="333"/>
  </r>
  <r>
    <x v="29"/>
    <x v="4"/>
    <x v="2"/>
    <s v="PhD"/>
    <n v="4"/>
    <n v="156.30000000000001"/>
    <x v="4"/>
    <x v="14"/>
    <x v="3"/>
    <n v="5.86"/>
    <x v="253"/>
    <x v="0"/>
    <x v="2"/>
    <x v="1"/>
    <x v="318"/>
    <x v="1"/>
    <x v="0"/>
    <x v="334"/>
  </r>
  <r>
    <x v="29"/>
    <x v="1"/>
    <x v="3"/>
    <s v="Masters"/>
    <n v="4"/>
    <n v="153.1"/>
    <x v="79"/>
    <x v="20"/>
    <x v="5"/>
    <n v="7.62"/>
    <x v="254"/>
    <x v="0"/>
    <x v="0"/>
    <x v="2"/>
    <x v="309"/>
    <x v="2"/>
    <x v="0"/>
    <x v="335"/>
  </r>
  <r>
    <x v="29"/>
    <x v="4"/>
    <x v="3"/>
    <s v="PhD"/>
    <n v="9"/>
    <n v="155.9"/>
    <x v="105"/>
    <x v="79"/>
    <x v="0"/>
    <n v="4.78"/>
    <x v="210"/>
    <x v="0"/>
    <x v="2"/>
    <x v="0"/>
    <x v="319"/>
    <x v="3"/>
    <x v="1"/>
    <x v="47"/>
  </r>
  <r>
    <x v="29"/>
    <x v="3"/>
    <x v="0"/>
    <s v="Masters"/>
    <n v="2"/>
    <n v="158.30000000000001"/>
    <x v="132"/>
    <x v="42"/>
    <x v="5"/>
    <n v="6.56"/>
    <x v="255"/>
    <x v="2"/>
    <x v="1"/>
    <x v="1"/>
    <x v="57"/>
    <x v="4"/>
    <x v="0"/>
    <x v="336"/>
  </r>
  <r>
    <x v="29"/>
    <x v="4"/>
    <x v="3"/>
    <s v="Masters"/>
    <n v="10"/>
    <n v="150.19999999999999"/>
    <x v="110"/>
    <x v="4"/>
    <x v="6"/>
    <n v="7.62"/>
    <x v="256"/>
    <x v="2"/>
    <x v="2"/>
    <x v="1"/>
    <x v="320"/>
    <x v="5"/>
    <x v="1"/>
    <x v="337"/>
  </r>
  <r>
    <x v="29"/>
    <x v="2"/>
    <x v="1"/>
    <s v="Masters"/>
    <n v="8"/>
    <n v="163.30000000000001"/>
    <x v="48"/>
    <x v="83"/>
    <x v="4"/>
    <n v="10"/>
    <x v="257"/>
    <x v="2"/>
    <x v="1"/>
    <x v="1"/>
    <x v="321"/>
    <x v="6"/>
    <x v="0"/>
    <x v="338"/>
  </r>
  <r>
    <x v="29"/>
    <x v="1"/>
    <x v="3"/>
    <s v="Masters"/>
    <n v="8"/>
    <n v="166.4"/>
    <x v="93"/>
    <x v="40"/>
    <x v="5"/>
    <n v="9.3000000000000007"/>
    <x v="64"/>
    <x v="2"/>
    <x v="2"/>
    <x v="1"/>
    <x v="322"/>
    <x v="7"/>
    <x v="0"/>
    <x v="339"/>
  </r>
  <r>
    <x v="29"/>
    <x v="4"/>
    <x v="1"/>
    <s v="PhD"/>
    <n v="6"/>
    <n v="167.1"/>
    <x v="54"/>
    <x v="85"/>
    <x v="0"/>
    <n v="8.52"/>
    <x v="258"/>
    <x v="0"/>
    <x v="2"/>
    <x v="0"/>
    <x v="285"/>
    <x v="8"/>
    <x v="2"/>
    <x v="340"/>
  </r>
  <r>
    <x v="29"/>
    <x v="3"/>
    <x v="4"/>
    <s v="Masters"/>
    <n v="6"/>
    <n v="159"/>
    <x v="126"/>
    <x v="78"/>
    <x v="4"/>
    <n v="7.24"/>
    <x v="259"/>
    <x v="0"/>
    <x v="2"/>
    <x v="2"/>
    <x v="323"/>
    <x v="9"/>
    <x v="0"/>
    <x v="341"/>
  </r>
  <r>
    <x v="30"/>
    <x v="1"/>
    <x v="4"/>
    <s v="Bachelors"/>
    <n v="7"/>
    <n v="166.5"/>
    <x v="133"/>
    <x v="23"/>
    <x v="5"/>
    <n v="5.92"/>
    <x v="260"/>
    <x v="0"/>
    <x v="2"/>
    <x v="1"/>
    <x v="324"/>
    <x v="0"/>
    <x v="2"/>
    <x v="342"/>
  </r>
  <r>
    <x v="30"/>
    <x v="4"/>
    <x v="4"/>
    <s v="Masters"/>
    <n v="3"/>
    <n v="155.9"/>
    <x v="134"/>
    <x v="30"/>
    <x v="3"/>
    <n v="7.09"/>
    <x v="261"/>
    <x v="0"/>
    <x v="1"/>
    <x v="2"/>
    <x v="325"/>
    <x v="0"/>
    <x v="2"/>
    <x v="343"/>
  </r>
  <r>
    <x v="30"/>
    <x v="3"/>
    <x v="1"/>
    <s v="Bachelors"/>
    <n v="6"/>
    <n v="166.7"/>
    <x v="82"/>
    <x v="10"/>
    <x v="3"/>
    <n v="7.31"/>
    <x v="262"/>
    <x v="2"/>
    <x v="0"/>
    <x v="2"/>
    <x v="113"/>
    <x v="1"/>
    <x v="1"/>
    <x v="344"/>
  </r>
  <r>
    <x v="30"/>
    <x v="1"/>
    <x v="1"/>
    <s v="Bachelors"/>
    <n v="5"/>
    <n v="183.9"/>
    <x v="1"/>
    <x v="19"/>
    <x v="0"/>
    <n v="7.67"/>
    <x v="263"/>
    <x v="0"/>
    <x v="1"/>
    <x v="0"/>
    <x v="326"/>
    <x v="1"/>
    <x v="0"/>
    <x v="345"/>
  </r>
  <r>
    <x v="30"/>
    <x v="3"/>
    <x v="0"/>
    <s v="PhD"/>
    <n v="2"/>
    <n v="152.80000000000001"/>
    <x v="39"/>
    <x v="48"/>
    <x v="4"/>
    <n v="6.68"/>
    <x v="264"/>
    <x v="2"/>
    <x v="2"/>
    <x v="1"/>
    <x v="327"/>
    <x v="2"/>
    <x v="1"/>
    <x v="346"/>
  </r>
  <r>
    <x v="30"/>
    <x v="2"/>
    <x v="0"/>
    <s v="PhD"/>
    <n v="6"/>
    <n v="129"/>
    <x v="134"/>
    <x v="26"/>
    <x v="4"/>
    <n v="8.07"/>
    <x v="17"/>
    <x v="0"/>
    <x v="0"/>
    <x v="1"/>
    <x v="328"/>
    <x v="3"/>
    <x v="0"/>
    <x v="347"/>
  </r>
  <r>
    <x v="30"/>
    <x v="1"/>
    <x v="4"/>
    <s v="Masters"/>
    <n v="9"/>
    <n v="164.4"/>
    <x v="134"/>
    <x v="32"/>
    <x v="8"/>
    <n v="8.39"/>
    <x v="19"/>
    <x v="2"/>
    <x v="1"/>
    <x v="0"/>
    <x v="329"/>
    <x v="4"/>
    <x v="0"/>
    <x v="348"/>
  </r>
  <r>
    <x v="30"/>
    <x v="1"/>
    <x v="4"/>
    <s v="Bachelors"/>
    <n v="3"/>
    <n v="165"/>
    <x v="79"/>
    <x v="43"/>
    <x v="15"/>
    <n v="7.9"/>
    <x v="102"/>
    <x v="2"/>
    <x v="2"/>
    <x v="2"/>
    <x v="330"/>
    <x v="5"/>
    <x v="2"/>
    <x v="349"/>
  </r>
  <r>
    <x v="30"/>
    <x v="0"/>
    <x v="2"/>
    <s v="Masters"/>
    <n v="6"/>
    <n v="159.30000000000001"/>
    <x v="1"/>
    <x v="31"/>
    <x v="8"/>
    <m/>
    <x v="124"/>
    <x v="2"/>
    <x v="2"/>
    <x v="1"/>
    <x v="331"/>
    <x v="6"/>
    <x v="0"/>
    <x v="350"/>
  </r>
  <r>
    <x v="30"/>
    <x v="1"/>
    <x v="2"/>
    <s v="PhD"/>
    <n v="8"/>
    <n v="157.6"/>
    <x v="52"/>
    <x v="57"/>
    <x v="8"/>
    <n v="9.31"/>
    <x v="265"/>
    <x v="2"/>
    <x v="0"/>
    <x v="1"/>
    <x v="168"/>
    <x v="7"/>
    <x v="1"/>
    <x v="351"/>
  </r>
  <r>
    <x v="30"/>
    <x v="4"/>
    <x v="1"/>
    <s v="PhD"/>
    <n v="7"/>
    <n v="167.6"/>
    <x v="135"/>
    <x v="68"/>
    <x v="8"/>
    <m/>
    <x v="266"/>
    <x v="2"/>
    <x v="1"/>
    <x v="2"/>
    <x v="332"/>
    <x v="8"/>
    <x v="0"/>
    <x v="352"/>
  </r>
  <r>
    <x v="30"/>
    <x v="4"/>
    <x v="1"/>
    <s v="Masters"/>
    <n v="1"/>
    <n v="144.19999999999999"/>
    <x v="134"/>
    <x v="86"/>
    <x v="10"/>
    <n v="8.34"/>
    <x v="90"/>
    <x v="2"/>
    <x v="2"/>
    <x v="1"/>
    <x v="333"/>
    <x v="9"/>
    <x v="1"/>
    <x v="353"/>
  </r>
  <r>
    <x v="31"/>
    <x v="4"/>
    <x v="2"/>
    <s v="Masters"/>
    <n v="8"/>
    <n v="168.7"/>
    <x v="71"/>
    <x v="10"/>
    <x v="0"/>
    <n v="8.43"/>
    <x v="216"/>
    <x v="2"/>
    <x v="0"/>
    <x v="1"/>
    <x v="334"/>
    <x v="0"/>
    <x v="1"/>
    <x v="354"/>
  </r>
  <r>
    <x v="31"/>
    <x v="2"/>
    <x v="2"/>
    <s v="Bachelors"/>
    <n v="2"/>
    <n v="175.1"/>
    <x v="1"/>
    <x v="9"/>
    <x v="5"/>
    <n v="8.01"/>
    <x v="27"/>
    <x v="1"/>
    <x v="1"/>
    <x v="1"/>
    <x v="335"/>
    <x v="0"/>
    <x v="0"/>
    <x v="355"/>
  </r>
  <r>
    <x v="31"/>
    <x v="1"/>
    <x v="3"/>
    <s v="Bachelors"/>
    <n v="3"/>
    <n v="168.7"/>
    <x v="126"/>
    <x v="42"/>
    <x v="0"/>
    <n v="7.29"/>
    <x v="267"/>
    <x v="1"/>
    <x v="2"/>
    <x v="2"/>
    <x v="336"/>
    <x v="1"/>
    <x v="0"/>
    <x v="354"/>
  </r>
  <r>
    <x v="31"/>
    <x v="3"/>
    <x v="4"/>
    <s v="Bachelors"/>
    <n v="5"/>
    <n v="146.6"/>
    <x v="1"/>
    <x v="28"/>
    <x v="1"/>
    <n v="7.02"/>
    <x v="268"/>
    <x v="2"/>
    <x v="2"/>
    <x v="1"/>
    <x v="337"/>
    <x v="1"/>
    <x v="1"/>
    <x v="356"/>
  </r>
  <r>
    <x v="31"/>
    <x v="0"/>
    <x v="3"/>
    <s v="Bachelors"/>
    <n v="7"/>
    <n v="155.30000000000001"/>
    <x v="1"/>
    <x v="51"/>
    <x v="10"/>
    <n v="6.18"/>
    <x v="66"/>
    <x v="2"/>
    <x v="1"/>
    <x v="2"/>
    <x v="338"/>
    <x v="2"/>
    <x v="0"/>
    <x v="357"/>
  </r>
  <r>
    <x v="31"/>
    <x v="4"/>
    <x v="4"/>
    <s v="Bachelors"/>
    <n v="8"/>
    <n v="172.1"/>
    <x v="115"/>
    <x v="42"/>
    <x v="0"/>
    <n v="8.09"/>
    <x v="195"/>
    <x v="0"/>
    <x v="0"/>
    <x v="0"/>
    <x v="339"/>
    <x v="3"/>
    <x v="1"/>
    <x v="358"/>
  </r>
  <r>
    <x v="31"/>
    <x v="1"/>
    <x v="2"/>
    <s v="Masters"/>
    <n v="6"/>
    <n v="168.7"/>
    <x v="84"/>
    <x v="46"/>
    <x v="6"/>
    <n v="8.69"/>
    <x v="10"/>
    <x v="2"/>
    <x v="1"/>
    <x v="2"/>
    <x v="340"/>
    <x v="4"/>
    <x v="1"/>
    <x v="359"/>
  </r>
  <r>
    <x v="31"/>
    <x v="0"/>
    <x v="2"/>
    <s v="PhD"/>
    <n v="5"/>
    <n v="166.4"/>
    <x v="17"/>
    <x v="8"/>
    <x v="8"/>
    <n v="5.77"/>
    <x v="2"/>
    <x v="2"/>
    <x v="0"/>
    <x v="0"/>
    <x v="341"/>
    <x v="5"/>
    <x v="0"/>
    <x v="360"/>
  </r>
  <r>
    <x v="31"/>
    <x v="4"/>
    <x v="0"/>
    <s v="Masters"/>
    <n v="10"/>
    <n v="149.9"/>
    <x v="136"/>
    <x v="85"/>
    <x v="8"/>
    <m/>
    <x v="269"/>
    <x v="0"/>
    <x v="1"/>
    <x v="0"/>
    <x v="342"/>
    <x v="6"/>
    <x v="2"/>
    <x v="361"/>
  </r>
  <r>
    <x v="31"/>
    <x v="3"/>
    <x v="0"/>
    <s v="PhD"/>
    <n v="8"/>
    <n v="157.4"/>
    <x v="62"/>
    <x v="46"/>
    <x v="0"/>
    <n v="9.0399999999999991"/>
    <x v="270"/>
    <x v="0"/>
    <x v="2"/>
    <x v="2"/>
    <x v="343"/>
    <x v="7"/>
    <x v="1"/>
    <x v="362"/>
  </r>
  <r>
    <x v="31"/>
    <x v="1"/>
    <x v="1"/>
    <s v="Bachelors"/>
    <n v="2"/>
    <n v="182.1"/>
    <x v="1"/>
    <x v="11"/>
    <x v="6"/>
    <n v="8.68"/>
    <x v="125"/>
    <x v="1"/>
    <x v="0"/>
    <x v="2"/>
    <x v="120"/>
    <x v="8"/>
    <x v="1"/>
    <x v="363"/>
  </r>
  <r>
    <x v="31"/>
    <x v="1"/>
    <x v="2"/>
    <s v="Masters"/>
    <n v="2"/>
    <n v="170.6"/>
    <x v="12"/>
    <x v="48"/>
    <x v="0"/>
    <n v="5.68"/>
    <x v="271"/>
    <x v="2"/>
    <x v="2"/>
    <x v="0"/>
    <x v="344"/>
    <x v="9"/>
    <x v="0"/>
    <x v="364"/>
  </r>
  <r>
    <x v="32"/>
    <x v="0"/>
    <x v="0"/>
    <s v="Masters"/>
    <n v="5"/>
    <n v="145.30000000000001"/>
    <x v="137"/>
    <x v="87"/>
    <x v="6"/>
    <n v="7.67"/>
    <x v="5"/>
    <x v="2"/>
    <x v="1"/>
    <x v="0"/>
    <x v="237"/>
    <x v="0"/>
    <x v="0"/>
    <x v="365"/>
  </r>
  <r>
    <x v="32"/>
    <x v="2"/>
    <x v="4"/>
    <s v="PhD"/>
    <n v="1"/>
    <n v="158.69999999999999"/>
    <x v="84"/>
    <x v="88"/>
    <x v="5"/>
    <n v="6.51"/>
    <x v="272"/>
    <x v="0"/>
    <x v="0"/>
    <x v="0"/>
    <x v="345"/>
    <x v="0"/>
    <x v="0"/>
    <x v="66"/>
  </r>
  <r>
    <x v="32"/>
    <x v="3"/>
    <x v="1"/>
    <s v="Masters"/>
    <n v="8"/>
    <n v="163.1"/>
    <x v="56"/>
    <x v="25"/>
    <x v="5"/>
    <n v="8.27"/>
    <x v="237"/>
    <x v="2"/>
    <x v="1"/>
    <x v="0"/>
    <x v="346"/>
    <x v="1"/>
    <x v="0"/>
    <x v="366"/>
  </r>
  <r>
    <x v="32"/>
    <x v="1"/>
    <x v="2"/>
    <s v="PhD"/>
    <n v="10"/>
    <n v="139"/>
    <x v="1"/>
    <x v="42"/>
    <x v="0"/>
    <n v="8.1"/>
    <x v="273"/>
    <x v="2"/>
    <x v="2"/>
    <x v="2"/>
    <x v="347"/>
    <x v="1"/>
    <x v="1"/>
    <x v="367"/>
  </r>
  <r>
    <x v="32"/>
    <x v="0"/>
    <x v="0"/>
    <s v="Masters"/>
    <n v="1"/>
    <n v="164.9"/>
    <x v="74"/>
    <x v="23"/>
    <x v="5"/>
    <n v="7.22"/>
    <x v="69"/>
    <x v="2"/>
    <x v="2"/>
    <x v="1"/>
    <x v="348"/>
    <x v="2"/>
    <x v="0"/>
    <x v="368"/>
  </r>
  <r>
    <x v="32"/>
    <x v="0"/>
    <x v="4"/>
    <s v="PhD"/>
    <n v="7"/>
    <n v="160.6"/>
    <x v="1"/>
    <x v="51"/>
    <x v="3"/>
    <n v="9.31"/>
    <x v="274"/>
    <x v="2"/>
    <x v="1"/>
    <x v="1"/>
    <x v="349"/>
    <x v="3"/>
    <x v="1"/>
    <x v="369"/>
  </r>
  <r>
    <x v="32"/>
    <x v="1"/>
    <x v="3"/>
    <s v="Masters"/>
    <n v="1"/>
    <n v="163"/>
    <x v="1"/>
    <x v="46"/>
    <x v="0"/>
    <n v="6.97"/>
    <x v="239"/>
    <x v="0"/>
    <x v="1"/>
    <x v="1"/>
    <x v="350"/>
    <x v="4"/>
    <x v="2"/>
    <x v="370"/>
  </r>
  <r>
    <x v="32"/>
    <x v="3"/>
    <x v="1"/>
    <s v="PhD"/>
    <n v="9"/>
    <n v="168.3"/>
    <x v="39"/>
    <x v="58"/>
    <x v="0"/>
    <n v="7.01"/>
    <x v="275"/>
    <x v="2"/>
    <x v="0"/>
    <x v="0"/>
    <x v="351"/>
    <x v="5"/>
    <x v="0"/>
    <x v="371"/>
  </r>
  <r>
    <x v="32"/>
    <x v="0"/>
    <x v="4"/>
    <s v="Masters"/>
    <n v="4"/>
    <n v="162"/>
    <x v="90"/>
    <x v="29"/>
    <x v="8"/>
    <n v="9.06"/>
    <x v="136"/>
    <x v="1"/>
    <x v="1"/>
    <x v="1"/>
    <x v="352"/>
    <x v="6"/>
    <x v="1"/>
    <x v="296"/>
  </r>
  <r>
    <x v="32"/>
    <x v="2"/>
    <x v="4"/>
    <s v="PhD"/>
    <n v="8"/>
    <n v="142.9"/>
    <x v="138"/>
    <x v="26"/>
    <x v="10"/>
    <n v="7.69"/>
    <x v="276"/>
    <x v="0"/>
    <x v="2"/>
    <x v="0"/>
    <x v="191"/>
    <x v="7"/>
    <x v="0"/>
    <x v="372"/>
  </r>
  <r>
    <x v="32"/>
    <x v="4"/>
    <x v="2"/>
    <s v="Bachelors"/>
    <n v="6"/>
    <n v="167"/>
    <x v="6"/>
    <x v="64"/>
    <x v="3"/>
    <n v="8.49"/>
    <x v="277"/>
    <x v="2"/>
    <x v="2"/>
    <x v="2"/>
    <x v="353"/>
    <x v="8"/>
    <x v="1"/>
    <x v="373"/>
  </r>
  <r>
    <x v="32"/>
    <x v="3"/>
    <x v="3"/>
    <s v="PhD"/>
    <n v="8"/>
    <n v="149.30000000000001"/>
    <x v="14"/>
    <x v="8"/>
    <x v="10"/>
    <n v="10"/>
    <x v="278"/>
    <x v="2"/>
    <x v="1"/>
    <x v="2"/>
    <x v="354"/>
    <x v="9"/>
    <x v="0"/>
    <x v="374"/>
  </r>
  <r>
    <x v="33"/>
    <x v="0"/>
    <x v="3"/>
    <s v="Bachelors"/>
    <n v="7"/>
    <n v="154.9"/>
    <x v="139"/>
    <x v="42"/>
    <x v="8"/>
    <n v="6.96"/>
    <x v="247"/>
    <x v="2"/>
    <x v="2"/>
    <x v="1"/>
    <x v="355"/>
    <x v="0"/>
    <x v="0"/>
    <x v="375"/>
  </r>
  <r>
    <x v="33"/>
    <x v="0"/>
    <x v="4"/>
    <s v="PhD"/>
    <n v="7"/>
    <n v="157.30000000000001"/>
    <x v="11"/>
    <x v="4"/>
    <x v="5"/>
    <n v="7.65"/>
    <x v="279"/>
    <x v="1"/>
    <x v="0"/>
    <x v="0"/>
    <x v="356"/>
    <x v="0"/>
    <x v="1"/>
    <x v="376"/>
  </r>
  <r>
    <x v="33"/>
    <x v="0"/>
    <x v="3"/>
    <s v="PhD"/>
    <n v="2"/>
    <n v="153.1"/>
    <x v="51"/>
    <x v="26"/>
    <x v="10"/>
    <n v="8.3000000000000007"/>
    <x v="280"/>
    <x v="0"/>
    <x v="0"/>
    <x v="1"/>
    <x v="357"/>
    <x v="1"/>
    <x v="1"/>
    <x v="377"/>
  </r>
  <r>
    <x v="33"/>
    <x v="1"/>
    <x v="2"/>
    <s v="PhD"/>
    <n v="2"/>
    <n v="155.80000000000001"/>
    <x v="50"/>
    <x v="67"/>
    <x v="6"/>
    <n v="6.48"/>
    <x v="18"/>
    <x v="0"/>
    <x v="0"/>
    <x v="1"/>
    <x v="358"/>
    <x v="1"/>
    <x v="0"/>
    <x v="378"/>
  </r>
  <r>
    <x v="33"/>
    <x v="1"/>
    <x v="1"/>
    <s v="Bachelors"/>
    <n v="1"/>
    <n v="148.30000000000001"/>
    <x v="68"/>
    <x v="77"/>
    <x v="1"/>
    <n v="6.49"/>
    <x v="281"/>
    <x v="2"/>
    <x v="2"/>
    <x v="2"/>
    <x v="359"/>
    <x v="2"/>
    <x v="1"/>
    <x v="379"/>
  </r>
  <r>
    <x v="33"/>
    <x v="0"/>
    <x v="3"/>
    <s v="Bachelors"/>
    <n v="4"/>
    <n v="150.1"/>
    <x v="138"/>
    <x v="74"/>
    <x v="4"/>
    <n v="7.88"/>
    <x v="28"/>
    <x v="0"/>
    <x v="1"/>
    <x v="0"/>
    <x v="282"/>
    <x v="3"/>
    <x v="0"/>
    <x v="380"/>
  </r>
  <r>
    <x v="33"/>
    <x v="0"/>
    <x v="3"/>
    <s v="Masters"/>
    <n v="4"/>
    <n v="166.7"/>
    <x v="27"/>
    <x v="89"/>
    <x v="6"/>
    <n v="7.56"/>
    <x v="247"/>
    <x v="2"/>
    <x v="2"/>
    <x v="2"/>
    <x v="360"/>
    <x v="4"/>
    <x v="2"/>
    <x v="381"/>
  </r>
  <r>
    <x v="33"/>
    <x v="2"/>
    <x v="2"/>
    <s v="Masters"/>
    <n v="1"/>
    <n v="151.5"/>
    <x v="17"/>
    <x v="4"/>
    <x v="6"/>
    <n v="6.73"/>
    <x v="282"/>
    <x v="2"/>
    <x v="1"/>
    <x v="1"/>
    <x v="361"/>
    <x v="5"/>
    <x v="0"/>
    <x v="25"/>
  </r>
  <r>
    <x v="33"/>
    <x v="1"/>
    <x v="3"/>
    <s v="Masters"/>
    <n v="7"/>
    <n v="162"/>
    <x v="139"/>
    <x v="42"/>
    <x v="5"/>
    <n v="6.87"/>
    <x v="283"/>
    <x v="1"/>
    <x v="1"/>
    <x v="1"/>
    <x v="20"/>
    <x v="6"/>
    <x v="1"/>
    <x v="87"/>
  </r>
  <r>
    <x v="33"/>
    <x v="3"/>
    <x v="3"/>
    <s v="Bachelors"/>
    <n v="10"/>
    <n v="166"/>
    <x v="7"/>
    <x v="4"/>
    <x v="5"/>
    <n v="8.26"/>
    <x v="102"/>
    <x v="0"/>
    <x v="0"/>
    <x v="2"/>
    <x v="362"/>
    <x v="7"/>
    <x v="0"/>
    <x v="382"/>
  </r>
  <r>
    <x v="33"/>
    <x v="4"/>
    <x v="2"/>
    <s v="Masters"/>
    <n v="3"/>
    <n v="176"/>
    <x v="36"/>
    <x v="64"/>
    <x v="4"/>
    <n v="6.16"/>
    <x v="284"/>
    <x v="2"/>
    <x v="0"/>
    <x v="0"/>
    <x v="294"/>
    <x v="8"/>
    <x v="2"/>
    <x v="383"/>
  </r>
  <r>
    <x v="33"/>
    <x v="4"/>
    <x v="2"/>
    <s v="Masters"/>
    <n v="10"/>
    <n v="164.4"/>
    <x v="1"/>
    <x v="25"/>
    <x v="4"/>
    <n v="6.72"/>
    <x v="285"/>
    <x v="0"/>
    <x v="2"/>
    <x v="2"/>
    <x v="363"/>
    <x v="9"/>
    <x v="2"/>
    <x v="121"/>
  </r>
  <r>
    <x v="34"/>
    <x v="0"/>
    <x v="2"/>
    <s v="Bachelors"/>
    <n v="8"/>
    <n v="162.6"/>
    <x v="1"/>
    <x v="23"/>
    <x v="8"/>
    <n v="10"/>
    <x v="10"/>
    <x v="2"/>
    <x v="0"/>
    <x v="1"/>
    <x v="364"/>
    <x v="0"/>
    <x v="1"/>
    <x v="317"/>
  </r>
  <r>
    <x v="34"/>
    <x v="1"/>
    <x v="4"/>
    <s v="Masters"/>
    <n v="10"/>
    <n v="166.1"/>
    <x v="63"/>
    <x v="19"/>
    <x v="7"/>
    <n v="5.88"/>
    <x v="286"/>
    <x v="0"/>
    <x v="0"/>
    <x v="0"/>
    <x v="365"/>
    <x v="0"/>
    <x v="0"/>
    <x v="384"/>
  </r>
  <r>
    <x v="34"/>
    <x v="0"/>
    <x v="3"/>
    <s v="PhD"/>
    <n v="5"/>
    <n v="152.1"/>
    <x v="123"/>
    <x v="64"/>
    <x v="1"/>
    <n v="4.3"/>
    <x v="287"/>
    <x v="2"/>
    <x v="0"/>
    <x v="2"/>
    <x v="366"/>
    <x v="1"/>
    <x v="2"/>
    <x v="385"/>
  </r>
  <r>
    <x v="34"/>
    <x v="4"/>
    <x v="4"/>
    <s v="PhD"/>
    <n v="5"/>
    <n v="169.3"/>
    <x v="26"/>
    <x v="32"/>
    <x v="1"/>
    <n v="8.23"/>
    <x v="288"/>
    <x v="2"/>
    <x v="0"/>
    <x v="0"/>
    <x v="149"/>
    <x v="1"/>
    <x v="0"/>
    <x v="386"/>
  </r>
  <r>
    <x v="34"/>
    <x v="4"/>
    <x v="3"/>
    <s v="Masters"/>
    <n v="2"/>
    <n v="159.69999999999999"/>
    <x v="87"/>
    <x v="0"/>
    <x v="6"/>
    <n v="6.1"/>
    <x v="247"/>
    <x v="2"/>
    <x v="1"/>
    <x v="1"/>
    <x v="367"/>
    <x v="2"/>
    <x v="1"/>
    <x v="387"/>
  </r>
  <r>
    <x v="34"/>
    <x v="3"/>
    <x v="4"/>
    <s v="Masters"/>
    <n v="3"/>
    <n v="143.9"/>
    <x v="56"/>
    <x v="90"/>
    <x v="12"/>
    <n v="8.31"/>
    <x v="289"/>
    <x v="2"/>
    <x v="0"/>
    <x v="1"/>
    <x v="368"/>
    <x v="3"/>
    <x v="0"/>
    <x v="388"/>
  </r>
  <r>
    <x v="34"/>
    <x v="0"/>
    <x v="0"/>
    <s v="PhD"/>
    <n v="9"/>
    <n v="149.9"/>
    <x v="45"/>
    <x v="40"/>
    <x v="5"/>
    <n v="7.05"/>
    <x v="290"/>
    <x v="2"/>
    <x v="2"/>
    <x v="2"/>
    <x v="369"/>
    <x v="4"/>
    <x v="1"/>
    <x v="313"/>
  </r>
  <r>
    <x v="34"/>
    <x v="3"/>
    <x v="4"/>
    <s v="PhD"/>
    <n v="3"/>
    <n v="170"/>
    <x v="62"/>
    <x v="35"/>
    <x v="0"/>
    <n v="7.46"/>
    <x v="134"/>
    <x v="0"/>
    <x v="2"/>
    <x v="0"/>
    <x v="370"/>
    <x v="5"/>
    <x v="0"/>
    <x v="389"/>
  </r>
  <r>
    <x v="34"/>
    <x v="0"/>
    <x v="1"/>
    <s v="PhD"/>
    <n v="1"/>
    <n v="172.7"/>
    <x v="18"/>
    <x v="17"/>
    <x v="8"/>
    <n v="5.09"/>
    <x v="291"/>
    <x v="2"/>
    <x v="2"/>
    <x v="2"/>
    <x v="371"/>
    <x v="6"/>
    <x v="0"/>
    <x v="390"/>
  </r>
  <r>
    <x v="34"/>
    <x v="0"/>
    <x v="1"/>
    <s v="Bachelors"/>
    <n v="10"/>
    <n v="165.7"/>
    <x v="140"/>
    <x v="10"/>
    <x v="8"/>
    <n v="8.2899999999999991"/>
    <x v="117"/>
    <x v="2"/>
    <x v="1"/>
    <x v="1"/>
    <x v="258"/>
    <x v="7"/>
    <x v="1"/>
    <x v="391"/>
  </r>
  <r>
    <x v="34"/>
    <x v="3"/>
    <x v="3"/>
    <s v="Masters"/>
    <n v="1"/>
    <n v="164.3"/>
    <x v="99"/>
    <x v="38"/>
    <x v="5"/>
    <n v="4.13"/>
    <x v="292"/>
    <x v="0"/>
    <x v="2"/>
    <x v="0"/>
    <x v="159"/>
    <x v="8"/>
    <x v="0"/>
    <x v="260"/>
  </r>
  <r>
    <x v="34"/>
    <x v="2"/>
    <x v="1"/>
    <s v="PhD"/>
    <n v="2"/>
    <n v="151.4"/>
    <x v="105"/>
    <x v="57"/>
    <x v="3"/>
    <n v="8.9700000000000006"/>
    <x v="148"/>
    <x v="2"/>
    <x v="0"/>
    <x v="2"/>
    <x v="372"/>
    <x v="9"/>
    <x v="1"/>
    <x v="392"/>
  </r>
  <r>
    <x v="35"/>
    <x v="3"/>
    <x v="2"/>
    <s v="Bachelors"/>
    <n v="3"/>
    <n v="170.9"/>
    <x v="141"/>
    <x v="0"/>
    <x v="8"/>
    <n v="7.12"/>
    <x v="293"/>
    <x v="2"/>
    <x v="2"/>
    <x v="0"/>
    <x v="206"/>
    <x v="0"/>
    <x v="2"/>
    <x v="393"/>
  </r>
  <r>
    <x v="35"/>
    <x v="2"/>
    <x v="3"/>
    <s v="Masters"/>
    <n v="9"/>
    <n v="160"/>
    <x v="115"/>
    <x v="20"/>
    <x v="4"/>
    <n v="6.42"/>
    <x v="155"/>
    <x v="2"/>
    <x v="0"/>
    <x v="1"/>
    <x v="373"/>
    <x v="0"/>
    <x v="1"/>
    <x v="394"/>
  </r>
  <r>
    <x v="35"/>
    <x v="3"/>
    <x v="1"/>
    <s v="Bachelors"/>
    <n v="3"/>
    <n v="159.4"/>
    <x v="1"/>
    <x v="42"/>
    <x v="8"/>
    <n v="10"/>
    <x v="294"/>
    <x v="2"/>
    <x v="1"/>
    <x v="1"/>
    <x v="374"/>
    <x v="1"/>
    <x v="1"/>
    <x v="395"/>
  </r>
  <r>
    <x v="35"/>
    <x v="1"/>
    <x v="2"/>
    <s v="PhD"/>
    <n v="3"/>
    <n v="163.5"/>
    <x v="74"/>
    <x v="60"/>
    <x v="8"/>
    <n v="8.64"/>
    <x v="71"/>
    <x v="0"/>
    <x v="0"/>
    <x v="1"/>
    <x v="375"/>
    <x v="1"/>
    <x v="1"/>
    <x v="396"/>
  </r>
  <r>
    <x v="35"/>
    <x v="0"/>
    <x v="3"/>
    <s v="Masters"/>
    <n v="4"/>
    <n v="162.19999999999999"/>
    <x v="111"/>
    <x v="19"/>
    <x v="0"/>
    <n v="7.29"/>
    <x v="10"/>
    <x v="0"/>
    <x v="2"/>
    <x v="2"/>
    <x v="376"/>
    <x v="2"/>
    <x v="2"/>
    <x v="397"/>
  </r>
  <r>
    <x v="35"/>
    <x v="1"/>
    <x v="4"/>
    <s v="Masters"/>
    <n v="10"/>
    <n v="153.69999999999999"/>
    <x v="49"/>
    <x v="13"/>
    <x v="3"/>
    <n v="7.19"/>
    <x v="10"/>
    <x v="2"/>
    <x v="2"/>
    <x v="2"/>
    <x v="377"/>
    <x v="3"/>
    <x v="1"/>
    <x v="398"/>
  </r>
  <r>
    <x v="35"/>
    <x v="1"/>
    <x v="0"/>
    <s v="Bachelors"/>
    <n v="2"/>
    <n v="163.19999999999999"/>
    <x v="27"/>
    <x v="46"/>
    <x v="7"/>
    <m/>
    <x v="295"/>
    <x v="0"/>
    <x v="1"/>
    <x v="2"/>
    <x v="378"/>
    <x v="4"/>
    <x v="1"/>
    <x v="399"/>
  </r>
  <r>
    <x v="35"/>
    <x v="1"/>
    <x v="2"/>
    <s v="Bachelors"/>
    <n v="7"/>
    <n v="178.7"/>
    <x v="1"/>
    <x v="21"/>
    <x v="0"/>
    <n v="8.67"/>
    <x v="10"/>
    <x v="2"/>
    <x v="2"/>
    <x v="2"/>
    <x v="379"/>
    <x v="5"/>
    <x v="0"/>
    <x v="400"/>
  </r>
  <r>
    <x v="35"/>
    <x v="3"/>
    <x v="0"/>
    <s v="PhD"/>
    <n v="9"/>
    <n v="155.19999999999999"/>
    <x v="110"/>
    <x v="13"/>
    <x v="1"/>
    <n v="3.7"/>
    <x v="50"/>
    <x v="0"/>
    <x v="2"/>
    <x v="2"/>
    <x v="380"/>
    <x v="6"/>
    <x v="0"/>
    <x v="312"/>
  </r>
  <r>
    <x v="35"/>
    <x v="3"/>
    <x v="1"/>
    <s v="PhD"/>
    <n v="2"/>
    <n v="149.5"/>
    <x v="142"/>
    <x v="15"/>
    <x v="4"/>
    <n v="8.34"/>
    <x v="296"/>
    <x v="2"/>
    <x v="2"/>
    <x v="1"/>
    <x v="43"/>
    <x v="7"/>
    <x v="1"/>
    <x v="401"/>
  </r>
  <r>
    <x v="35"/>
    <x v="1"/>
    <x v="3"/>
    <s v="PhD"/>
    <n v="9"/>
    <n v="151.4"/>
    <x v="43"/>
    <x v="36"/>
    <x v="8"/>
    <n v="7.52"/>
    <x v="250"/>
    <x v="2"/>
    <x v="1"/>
    <x v="0"/>
    <x v="381"/>
    <x v="8"/>
    <x v="1"/>
    <x v="402"/>
  </r>
  <r>
    <x v="35"/>
    <x v="1"/>
    <x v="1"/>
    <s v="Bachelors"/>
    <n v="4"/>
    <n v="149.4"/>
    <x v="96"/>
    <x v="11"/>
    <x v="3"/>
    <n v="8.93"/>
    <x v="297"/>
    <x v="0"/>
    <x v="0"/>
    <x v="0"/>
    <x v="382"/>
    <x v="9"/>
    <x v="1"/>
    <x v="51"/>
  </r>
  <r>
    <x v="36"/>
    <x v="3"/>
    <x v="4"/>
    <s v="PhD"/>
    <n v="9"/>
    <n v="170.3"/>
    <x v="143"/>
    <x v="43"/>
    <x v="6"/>
    <n v="7.98"/>
    <x v="298"/>
    <x v="2"/>
    <x v="0"/>
    <x v="2"/>
    <x v="383"/>
    <x v="0"/>
    <x v="2"/>
    <x v="403"/>
  </r>
  <r>
    <x v="36"/>
    <x v="2"/>
    <x v="1"/>
    <s v="PhD"/>
    <n v="8"/>
    <n v="140.1"/>
    <x v="43"/>
    <x v="37"/>
    <x v="1"/>
    <n v="6.59"/>
    <x v="63"/>
    <x v="2"/>
    <x v="1"/>
    <x v="0"/>
    <x v="384"/>
    <x v="0"/>
    <x v="0"/>
    <x v="404"/>
  </r>
  <r>
    <x v="36"/>
    <x v="3"/>
    <x v="2"/>
    <s v="PhD"/>
    <n v="4"/>
    <n v="153.6"/>
    <x v="144"/>
    <x v="4"/>
    <x v="10"/>
    <n v="9.81"/>
    <x v="299"/>
    <x v="2"/>
    <x v="2"/>
    <x v="2"/>
    <x v="341"/>
    <x v="1"/>
    <x v="0"/>
    <x v="405"/>
  </r>
  <r>
    <x v="36"/>
    <x v="2"/>
    <x v="2"/>
    <s v="Masters"/>
    <n v="10"/>
    <n v="171.6"/>
    <x v="145"/>
    <x v="79"/>
    <x v="12"/>
    <n v="8.5299999999999994"/>
    <x v="143"/>
    <x v="2"/>
    <x v="2"/>
    <x v="0"/>
    <x v="385"/>
    <x v="1"/>
    <x v="0"/>
    <x v="406"/>
  </r>
  <r>
    <x v="36"/>
    <x v="1"/>
    <x v="3"/>
    <s v="PhD"/>
    <n v="5"/>
    <n v="158.30000000000001"/>
    <x v="111"/>
    <x v="45"/>
    <x v="4"/>
    <n v="5.42"/>
    <x v="133"/>
    <x v="2"/>
    <x v="1"/>
    <x v="2"/>
    <x v="386"/>
    <x v="2"/>
    <x v="0"/>
    <x v="407"/>
  </r>
  <r>
    <x v="36"/>
    <x v="4"/>
    <x v="4"/>
    <s v="Masters"/>
    <n v="1"/>
    <n v="158.30000000000001"/>
    <x v="70"/>
    <x v="54"/>
    <x v="6"/>
    <n v="7.27"/>
    <x v="205"/>
    <x v="2"/>
    <x v="1"/>
    <x v="1"/>
    <x v="387"/>
    <x v="3"/>
    <x v="0"/>
    <x v="408"/>
  </r>
  <r>
    <x v="36"/>
    <x v="2"/>
    <x v="1"/>
    <s v="Bachelors"/>
    <n v="9"/>
    <n v="169.5"/>
    <x v="36"/>
    <x v="40"/>
    <x v="6"/>
    <n v="5.31"/>
    <x v="300"/>
    <x v="0"/>
    <x v="0"/>
    <x v="1"/>
    <x v="388"/>
    <x v="4"/>
    <x v="2"/>
    <x v="409"/>
  </r>
  <r>
    <x v="36"/>
    <x v="0"/>
    <x v="0"/>
    <s v="PhD"/>
    <n v="10"/>
    <n v="160"/>
    <x v="1"/>
    <x v="91"/>
    <x v="6"/>
    <n v="5.8"/>
    <x v="196"/>
    <x v="2"/>
    <x v="1"/>
    <x v="2"/>
    <x v="389"/>
    <x v="5"/>
    <x v="1"/>
    <x v="410"/>
  </r>
  <r>
    <x v="36"/>
    <x v="1"/>
    <x v="1"/>
    <s v="Masters"/>
    <n v="1"/>
    <n v="158.4"/>
    <x v="146"/>
    <x v="92"/>
    <x v="0"/>
    <n v="4.54"/>
    <x v="301"/>
    <x v="0"/>
    <x v="2"/>
    <x v="0"/>
    <x v="390"/>
    <x v="6"/>
    <x v="1"/>
    <x v="411"/>
  </r>
  <r>
    <x v="36"/>
    <x v="3"/>
    <x v="4"/>
    <s v="Masters"/>
    <n v="3"/>
    <n v="149.19999999999999"/>
    <x v="134"/>
    <x v="22"/>
    <x v="0"/>
    <n v="8.26"/>
    <x v="302"/>
    <x v="2"/>
    <x v="1"/>
    <x v="2"/>
    <x v="173"/>
    <x v="7"/>
    <x v="2"/>
    <x v="412"/>
  </r>
  <r>
    <x v="36"/>
    <x v="1"/>
    <x v="4"/>
    <s v="Masters"/>
    <n v="10"/>
    <n v="163.9"/>
    <x v="102"/>
    <x v="0"/>
    <x v="3"/>
    <n v="7.57"/>
    <x v="244"/>
    <x v="0"/>
    <x v="1"/>
    <x v="1"/>
    <x v="391"/>
    <x v="8"/>
    <x v="1"/>
    <x v="413"/>
  </r>
  <r>
    <x v="36"/>
    <x v="3"/>
    <x v="4"/>
    <s v="PhD"/>
    <n v="9"/>
    <n v="169.7"/>
    <x v="89"/>
    <x v="31"/>
    <x v="8"/>
    <n v="10"/>
    <x v="303"/>
    <x v="2"/>
    <x v="1"/>
    <x v="1"/>
    <x v="392"/>
    <x v="9"/>
    <x v="1"/>
    <x v="414"/>
  </r>
  <r>
    <x v="37"/>
    <x v="1"/>
    <x v="4"/>
    <s v="PhD"/>
    <n v="8"/>
    <n v="153.69999999999999"/>
    <x v="125"/>
    <x v="14"/>
    <x v="7"/>
    <n v="9.94"/>
    <x v="304"/>
    <x v="2"/>
    <x v="1"/>
    <x v="0"/>
    <x v="393"/>
    <x v="0"/>
    <x v="0"/>
    <x v="415"/>
  </r>
  <r>
    <x v="37"/>
    <x v="2"/>
    <x v="4"/>
    <s v="Masters"/>
    <n v="10"/>
    <n v="161.4"/>
    <x v="147"/>
    <x v="4"/>
    <x v="5"/>
    <n v="7.56"/>
    <x v="305"/>
    <x v="2"/>
    <x v="2"/>
    <x v="0"/>
    <x v="394"/>
    <x v="0"/>
    <x v="2"/>
    <x v="416"/>
  </r>
  <r>
    <x v="37"/>
    <x v="0"/>
    <x v="0"/>
    <s v="Bachelors"/>
    <n v="9"/>
    <n v="142.30000000000001"/>
    <x v="6"/>
    <x v="43"/>
    <x v="0"/>
    <n v="7.8"/>
    <x v="306"/>
    <x v="2"/>
    <x v="2"/>
    <x v="1"/>
    <x v="395"/>
    <x v="1"/>
    <x v="0"/>
    <x v="417"/>
  </r>
  <r>
    <x v="37"/>
    <x v="3"/>
    <x v="1"/>
    <s v="PhD"/>
    <n v="8"/>
    <n v="145.69999999999999"/>
    <x v="25"/>
    <x v="6"/>
    <x v="8"/>
    <n v="5.84"/>
    <x v="10"/>
    <x v="2"/>
    <x v="0"/>
    <x v="1"/>
    <x v="396"/>
    <x v="1"/>
    <x v="0"/>
    <x v="418"/>
  </r>
  <r>
    <x v="37"/>
    <x v="0"/>
    <x v="2"/>
    <s v="PhD"/>
    <n v="4"/>
    <n v="161.1"/>
    <x v="70"/>
    <x v="68"/>
    <x v="8"/>
    <n v="7.38"/>
    <x v="283"/>
    <x v="2"/>
    <x v="2"/>
    <x v="2"/>
    <x v="397"/>
    <x v="2"/>
    <x v="2"/>
    <x v="419"/>
  </r>
  <r>
    <x v="37"/>
    <x v="3"/>
    <x v="2"/>
    <s v="Bachelors"/>
    <n v="9"/>
    <n v="160.30000000000001"/>
    <x v="148"/>
    <x v="21"/>
    <x v="8"/>
    <n v="9.0500000000000007"/>
    <x v="10"/>
    <x v="2"/>
    <x v="2"/>
    <x v="2"/>
    <x v="398"/>
    <x v="3"/>
    <x v="1"/>
    <x v="420"/>
  </r>
  <r>
    <x v="37"/>
    <x v="3"/>
    <x v="2"/>
    <s v="Bachelors"/>
    <n v="5"/>
    <n v="165.1"/>
    <x v="91"/>
    <x v="32"/>
    <x v="6"/>
    <n v="7.14"/>
    <x v="307"/>
    <x v="2"/>
    <x v="2"/>
    <x v="0"/>
    <x v="305"/>
    <x v="4"/>
    <x v="1"/>
    <x v="421"/>
  </r>
  <r>
    <x v="37"/>
    <x v="1"/>
    <x v="2"/>
    <s v="Masters"/>
    <n v="10"/>
    <n v="149.5"/>
    <x v="62"/>
    <x v="21"/>
    <x v="7"/>
    <n v="5.93"/>
    <x v="13"/>
    <x v="2"/>
    <x v="0"/>
    <x v="2"/>
    <x v="399"/>
    <x v="5"/>
    <x v="2"/>
    <x v="422"/>
  </r>
  <r>
    <x v="37"/>
    <x v="1"/>
    <x v="3"/>
    <s v="PhD"/>
    <n v="5"/>
    <n v="163.1"/>
    <x v="39"/>
    <x v="68"/>
    <x v="4"/>
    <n v="10"/>
    <x v="308"/>
    <x v="2"/>
    <x v="1"/>
    <x v="2"/>
    <x v="181"/>
    <x v="6"/>
    <x v="2"/>
    <x v="95"/>
  </r>
  <r>
    <x v="37"/>
    <x v="3"/>
    <x v="3"/>
    <s v="Masters"/>
    <n v="5"/>
    <n v="170.9"/>
    <x v="41"/>
    <x v="43"/>
    <x v="0"/>
    <n v="8.6300000000000008"/>
    <x v="309"/>
    <x v="2"/>
    <x v="1"/>
    <x v="2"/>
    <x v="268"/>
    <x v="7"/>
    <x v="0"/>
    <x v="423"/>
  </r>
  <r>
    <x v="37"/>
    <x v="2"/>
    <x v="4"/>
    <s v="Bachelors"/>
    <n v="1"/>
    <n v="163.4"/>
    <x v="33"/>
    <x v="2"/>
    <x v="8"/>
    <n v="6.69"/>
    <x v="310"/>
    <x v="0"/>
    <x v="0"/>
    <x v="0"/>
    <x v="400"/>
    <x v="8"/>
    <x v="1"/>
    <x v="424"/>
  </r>
  <r>
    <x v="37"/>
    <x v="4"/>
    <x v="0"/>
    <s v="Masters"/>
    <n v="1"/>
    <n v="172.7"/>
    <x v="45"/>
    <x v="4"/>
    <x v="6"/>
    <n v="8.07"/>
    <x v="311"/>
    <x v="2"/>
    <x v="0"/>
    <x v="0"/>
    <x v="260"/>
    <x v="9"/>
    <x v="0"/>
    <x v="425"/>
  </r>
  <r>
    <x v="38"/>
    <x v="1"/>
    <x v="0"/>
    <s v="Bachelors"/>
    <n v="1"/>
    <n v="163.5"/>
    <x v="1"/>
    <x v="73"/>
    <x v="4"/>
    <n v="7.75"/>
    <x v="10"/>
    <x v="0"/>
    <x v="0"/>
    <x v="2"/>
    <x v="401"/>
    <x v="0"/>
    <x v="1"/>
    <x v="426"/>
  </r>
  <r>
    <x v="38"/>
    <x v="2"/>
    <x v="2"/>
    <s v="Bachelors"/>
    <n v="8"/>
    <n v="140.1"/>
    <x v="23"/>
    <x v="27"/>
    <x v="6"/>
    <n v="5.85"/>
    <x v="175"/>
    <x v="0"/>
    <x v="1"/>
    <x v="2"/>
    <x v="402"/>
    <x v="0"/>
    <x v="2"/>
    <x v="427"/>
  </r>
  <r>
    <x v="38"/>
    <x v="2"/>
    <x v="3"/>
    <s v="Bachelors"/>
    <n v="8"/>
    <n v="160.9"/>
    <x v="1"/>
    <x v="42"/>
    <x v="6"/>
    <n v="3.65"/>
    <x v="58"/>
    <x v="1"/>
    <x v="1"/>
    <x v="2"/>
    <x v="403"/>
    <x v="1"/>
    <x v="2"/>
    <x v="428"/>
  </r>
  <r>
    <x v="38"/>
    <x v="2"/>
    <x v="2"/>
    <s v="Masters"/>
    <n v="10"/>
    <n v="171.8"/>
    <x v="75"/>
    <x v="83"/>
    <x v="4"/>
    <n v="6.31"/>
    <x v="53"/>
    <x v="2"/>
    <x v="0"/>
    <x v="2"/>
    <x v="404"/>
    <x v="1"/>
    <x v="1"/>
    <x v="429"/>
  </r>
  <r>
    <x v="38"/>
    <x v="0"/>
    <x v="0"/>
    <s v="Masters"/>
    <n v="2"/>
    <n v="156.5"/>
    <x v="27"/>
    <x v="40"/>
    <x v="6"/>
    <n v="6.89"/>
    <x v="294"/>
    <x v="2"/>
    <x v="2"/>
    <x v="2"/>
    <x v="405"/>
    <x v="2"/>
    <x v="0"/>
    <x v="206"/>
  </r>
  <r>
    <x v="38"/>
    <x v="1"/>
    <x v="1"/>
    <s v="PhD"/>
    <n v="6"/>
    <n v="144.19999999999999"/>
    <x v="105"/>
    <x v="42"/>
    <x v="4"/>
    <n v="8.41"/>
    <x v="312"/>
    <x v="2"/>
    <x v="0"/>
    <x v="0"/>
    <x v="386"/>
    <x v="3"/>
    <x v="0"/>
    <x v="430"/>
  </r>
  <r>
    <x v="38"/>
    <x v="0"/>
    <x v="3"/>
    <s v="Masters"/>
    <n v="8"/>
    <n v="160.80000000000001"/>
    <x v="49"/>
    <x v="78"/>
    <x v="8"/>
    <n v="6.06"/>
    <x v="294"/>
    <x v="0"/>
    <x v="2"/>
    <x v="1"/>
    <x v="220"/>
    <x v="4"/>
    <x v="1"/>
    <x v="431"/>
  </r>
  <r>
    <x v="38"/>
    <x v="4"/>
    <x v="3"/>
    <s v="PhD"/>
    <n v="4"/>
    <n v="176.5"/>
    <x v="4"/>
    <x v="35"/>
    <x v="10"/>
    <n v="8.23"/>
    <x v="313"/>
    <x v="0"/>
    <x v="1"/>
    <x v="0"/>
    <x v="406"/>
    <x v="5"/>
    <x v="2"/>
    <x v="432"/>
  </r>
  <r>
    <x v="38"/>
    <x v="4"/>
    <x v="1"/>
    <s v="Masters"/>
    <n v="8"/>
    <n v="166"/>
    <x v="2"/>
    <x v="67"/>
    <x v="5"/>
    <n v="10"/>
    <x v="314"/>
    <x v="2"/>
    <x v="2"/>
    <x v="2"/>
    <x v="407"/>
    <x v="6"/>
    <x v="1"/>
    <x v="382"/>
  </r>
  <r>
    <x v="38"/>
    <x v="4"/>
    <x v="3"/>
    <s v="Bachelors"/>
    <n v="2"/>
    <n v="168.6"/>
    <x v="65"/>
    <x v="25"/>
    <x v="8"/>
    <n v="5.67"/>
    <x v="148"/>
    <x v="2"/>
    <x v="0"/>
    <x v="0"/>
    <x v="333"/>
    <x v="7"/>
    <x v="1"/>
    <x v="433"/>
  </r>
  <r>
    <x v="38"/>
    <x v="2"/>
    <x v="4"/>
    <s v="Bachelors"/>
    <n v="4"/>
    <n v="155.30000000000001"/>
    <x v="48"/>
    <x v="58"/>
    <x v="8"/>
    <n v="5.99"/>
    <x v="315"/>
    <x v="2"/>
    <x v="0"/>
    <x v="1"/>
    <x v="408"/>
    <x v="8"/>
    <x v="0"/>
    <x v="434"/>
  </r>
  <r>
    <x v="38"/>
    <x v="3"/>
    <x v="0"/>
    <s v="Masters"/>
    <n v="1"/>
    <n v="170.1"/>
    <x v="14"/>
    <x v="42"/>
    <x v="8"/>
    <n v="5.91"/>
    <x v="293"/>
    <x v="2"/>
    <x v="2"/>
    <x v="2"/>
    <x v="7"/>
    <x v="9"/>
    <x v="0"/>
    <x v="435"/>
  </r>
  <r>
    <x v="39"/>
    <x v="2"/>
    <x v="3"/>
    <s v="PhD"/>
    <n v="4"/>
    <n v="152.9"/>
    <x v="129"/>
    <x v="10"/>
    <x v="5"/>
    <n v="8.59"/>
    <x v="316"/>
    <x v="2"/>
    <x v="2"/>
    <x v="1"/>
    <x v="409"/>
    <x v="0"/>
    <x v="0"/>
    <x v="217"/>
  </r>
  <r>
    <x v="39"/>
    <x v="0"/>
    <x v="1"/>
    <s v="Bachelors"/>
    <n v="5"/>
    <n v="167.5"/>
    <x v="75"/>
    <x v="55"/>
    <x v="6"/>
    <n v="6.46"/>
    <x v="198"/>
    <x v="2"/>
    <x v="0"/>
    <x v="2"/>
    <x v="410"/>
    <x v="0"/>
    <x v="1"/>
    <x v="436"/>
  </r>
  <r>
    <x v="39"/>
    <x v="3"/>
    <x v="4"/>
    <s v="Masters"/>
    <n v="8"/>
    <n v="159.9"/>
    <x v="1"/>
    <x v="4"/>
    <x v="5"/>
    <n v="6.7"/>
    <x v="317"/>
    <x v="0"/>
    <x v="1"/>
    <x v="0"/>
    <x v="411"/>
    <x v="1"/>
    <x v="0"/>
    <x v="437"/>
  </r>
  <r>
    <x v="39"/>
    <x v="2"/>
    <x v="4"/>
    <s v="Masters"/>
    <n v="1"/>
    <n v="167.4"/>
    <x v="1"/>
    <x v="21"/>
    <x v="8"/>
    <n v="7.29"/>
    <x v="318"/>
    <x v="2"/>
    <x v="2"/>
    <x v="0"/>
    <x v="360"/>
    <x v="1"/>
    <x v="2"/>
    <x v="438"/>
  </r>
  <r>
    <x v="39"/>
    <x v="0"/>
    <x v="0"/>
    <s v="Bachelors"/>
    <n v="5"/>
    <n v="164.4"/>
    <x v="119"/>
    <x v="41"/>
    <x v="1"/>
    <n v="6.07"/>
    <x v="319"/>
    <x v="2"/>
    <x v="2"/>
    <x v="2"/>
    <x v="412"/>
    <x v="2"/>
    <x v="0"/>
    <x v="439"/>
  </r>
  <r>
    <x v="39"/>
    <x v="4"/>
    <x v="4"/>
    <s v="Masters"/>
    <n v="7"/>
    <n v="167"/>
    <x v="149"/>
    <x v="47"/>
    <x v="12"/>
    <n v="10"/>
    <x v="320"/>
    <x v="2"/>
    <x v="1"/>
    <x v="1"/>
    <x v="413"/>
    <x v="3"/>
    <x v="0"/>
    <x v="440"/>
  </r>
  <r>
    <x v="39"/>
    <x v="2"/>
    <x v="1"/>
    <s v="Masters"/>
    <n v="8"/>
    <n v="161.80000000000001"/>
    <x v="123"/>
    <x v="23"/>
    <x v="4"/>
    <n v="6.41"/>
    <x v="279"/>
    <x v="2"/>
    <x v="2"/>
    <x v="2"/>
    <x v="229"/>
    <x v="4"/>
    <x v="2"/>
    <x v="441"/>
  </r>
  <r>
    <x v="39"/>
    <x v="1"/>
    <x v="2"/>
    <s v="PhD"/>
    <n v="6"/>
    <n v="168.2"/>
    <x v="79"/>
    <x v="58"/>
    <x v="4"/>
    <n v="6.98"/>
    <x v="321"/>
    <x v="2"/>
    <x v="2"/>
    <x v="2"/>
    <x v="414"/>
    <x v="5"/>
    <x v="1"/>
    <x v="442"/>
  </r>
  <r>
    <x v="39"/>
    <x v="2"/>
    <x v="3"/>
    <s v="PhD"/>
    <n v="9"/>
    <n v="146.6"/>
    <x v="1"/>
    <x v="25"/>
    <x v="3"/>
    <n v="7.36"/>
    <x v="170"/>
    <x v="2"/>
    <x v="2"/>
    <x v="1"/>
    <x v="415"/>
    <x v="6"/>
    <x v="1"/>
    <x v="443"/>
  </r>
  <r>
    <x v="39"/>
    <x v="4"/>
    <x v="4"/>
    <s v="Masters"/>
    <n v="7"/>
    <n v="165.9"/>
    <x v="47"/>
    <x v="29"/>
    <x v="8"/>
    <m/>
    <x v="322"/>
    <x v="2"/>
    <x v="0"/>
    <x v="0"/>
    <x v="416"/>
    <x v="7"/>
    <x v="2"/>
    <x v="148"/>
  </r>
  <r>
    <x v="39"/>
    <x v="3"/>
    <x v="3"/>
    <s v="PhD"/>
    <n v="8"/>
    <n v="179.7"/>
    <x v="114"/>
    <x v="81"/>
    <x v="6"/>
    <n v="5.21"/>
    <x v="288"/>
    <x v="2"/>
    <x v="1"/>
    <x v="2"/>
    <x v="417"/>
    <x v="8"/>
    <x v="2"/>
    <x v="444"/>
  </r>
  <r>
    <x v="39"/>
    <x v="2"/>
    <x v="3"/>
    <s v="PhD"/>
    <n v="7"/>
    <n v="161.4"/>
    <x v="59"/>
    <x v="11"/>
    <x v="5"/>
    <n v="5.2"/>
    <x v="239"/>
    <x v="2"/>
    <x v="2"/>
    <x v="1"/>
    <x v="243"/>
    <x v="9"/>
    <x v="2"/>
    <x v="416"/>
  </r>
  <r>
    <x v="40"/>
    <x v="0"/>
    <x v="4"/>
    <s v="Masters"/>
    <n v="6"/>
    <n v="180.8"/>
    <x v="6"/>
    <x v="66"/>
    <x v="4"/>
    <n v="9.36"/>
    <x v="323"/>
    <x v="0"/>
    <x v="0"/>
    <x v="1"/>
    <x v="418"/>
    <x v="0"/>
    <x v="1"/>
    <x v="445"/>
  </r>
  <r>
    <x v="40"/>
    <x v="2"/>
    <x v="4"/>
    <s v="Bachelors"/>
    <n v="3"/>
    <n v="132.9"/>
    <x v="72"/>
    <x v="79"/>
    <x v="10"/>
    <n v="6.79"/>
    <x v="1"/>
    <x v="1"/>
    <x v="2"/>
    <x v="0"/>
    <x v="419"/>
    <x v="0"/>
    <x v="1"/>
    <x v="446"/>
  </r>
  <r>
    <x v="40"/>
    <x v="2"/>
    <x v="2"/>
    <s v="Bachelors"/>
    <n v="10"/>
    <n v="162.9"/>
    <x v="76"/>
    <x v="5"/>
    <x v="8"/>
    <m/>
    <x v="324"/>
    <x v="2"/>
    <x v="2"/>
    <x v="1"/>
    <x v="420"/>
    <x v="1"/>
    <x v="0"/>
    <x v="447"/>
  </r>
  <r>
    <x v="40"/>
    <x v="2"/>
    <x v="2"/>
    <s v="Bachelors"/>
    <n v="6"/>
    <n v="159.4"/>
    <x v="51"/>
    <x v="48"/>
    <x v="0"/>
    <n v="7.69"/>
    <x v="325"/>
    <x v="2"/>
    <x v="2"/>
    <x v="0"/>
    <x v="336"/>
    <x v="1"/>
    <x v="0"/>
    <x v="207"/>
  </r>
  <r>
    <x v="40"/>
    <x v="0"/>
    <x v="4"/>
    <s v="PhD"/>
    <n v="7"/>
    <n v="162.1"/>
    <x v="34"/>
    <x v="53"/>
    <x v="6"/>
    <n v="7.44"/>
    <x v="146"/>
    <x v="0"/>
    <x v="1"/>
    <x v="0"/>
    <x v="421"/>
    <x v="2"/>
    <x v="2"/>
    <x v="448"/>
  </r>
  <r>
    <x v="40"/>
    <x v="0"/>
    <x v="2"/>
    <s v="Masters"/>
    <n v="8"/>
    <n v="170.2"/>
    <x v="150"/>
    <x v="5"/>
    <x v="8"/>
    <n v="5.82"/>
    <x v="138"/>
    <x v="0"/>
    <x v="0"/>
    <x v="0"/>
    <x v="32"/>
    <x v="3"/>
    <x v="0"/>
    <x v="449"/>
  </r>
  <r>
    <x v="40"/>
    <x v="4"/>
    <x v="1"/>
    <s v="Masters"/>
    <n v="8"/>
    <n v="163.9"/>
    <x v="54"/>
    <x v="23"/>
    <x v="8"/>
    <n v="9.61"/>
    <x v="326"/>
    <x v="0"/>
    <x v="2"/>
    <x v="1"/>
    <x v="422"/>
    <x v="4"/>
    <x v="0"/>
    <x v="450"/>
  </r>
  <r>
    <x v="40"/>
    <x v="4"/>
    <x v="0"/>
    <s v="PhD"/>
    <n v="9"/>
    <n v="155.5"/>
    <x v="42"/>
    <x v="11"/>
    <x v="6"/>
    <n v="9.4499999999999993"/>
    <x v="279"/>
    <x v="2"/>
    <x v="1"/>
    <x v="1"/>
    <x v="423"/>
    <x v="5"/>
    <x v="1"/>
    <x v="451"/>
  </r>
  <r>
    <x v="40"/>
    <x v="1"/>
    <x v="4"/>
    <s v="Masters"/>
    <n v="7"/>
    <n v="183.9"/>
    <x v="84"/>
    <x v="66"/>
    <x v="7"/>
    <n v="6.82"/>
    <x v="140"/>
    <x v="0"/>
    <x v="2"/>
    <x v="2"/>
    <x v="424"/>
    <x v="6"/>
    <x v="0"/>
    <x v="452"/>
  </r>
  <r>
    <x v="40"/>
    <x v="2"/>
    <x v="2"/>
    <s v="Masters"/>
    <n v="8"/>
    <n v="158.19999999999999"/>
    <x v="120"/>
    <x v="15"/>
    <x v="3"/>
    <n v="6.78"/>
    <x v="54"/>
    <x v="0"/>
    <x v="1"/>
    <x v="2"/>
    <x v="376"/>
    <x v="7"/>
    <x v="2"/>
    <x v="453"/>
  </r>
  <r>
    <x v="40"/>
    <x v="2"/>
    <x v="3"/>
    <s v="PhD"/>
    <n v="2"/>
    <n v="153.80000000000001"/>
    <x v="83"/>
    <x v="42"/>
    <x v="0"/>
    <n v="8.67"/>
    <x v="159"/>
    <x v="2"/>
    <x v="0"/>
    <x v="1"/>
    <x v="425"/>
    <x v="8"/>
    <x v="1"/>
    <x v="454"/>
  </r>
  <r>
    <x v="40"/>
    <x v="3"/>
    <x v="4"/>
    <s v="Masters"/>
    <n v="3"/>
    <n v="135.30000000000001"/>
    <x v="46"/>
    <x v="53"/>
    <x v="8"/>
    <n v="6.57"/>
    <x v="10"/>
    <x v="2"/>
    <x v="1"/>
    <x v="0"/>
    <x v="426"/>
    <x v="9"/>
    <x v="0"/>
    <x v="455"/>
  </r>
  <r>
    <x v="41"/>
    <x v="3"/>
    <x v="4"/>
    <s v="Masters"/>
    <n v="4"/>
    <n v="161.4"/>
    <x v="151"/>
    <x v="26"/>
    <x v="0"/>
    <n v="9.18"/>
    <x v="327"/>
    <x v="2"/>
    <x v="1"/>
    <x v="2"/>
    <x v="427"/>
    <x v="0"/>
    <x v="0"/>
    <x v="456"/>
  </r>
  <r>
    <x v="41"/>
    <x v="3"/>
    <x v="1"/>
    <s v="PhD"/>
    <n v="7"/>
    <n v="150.69999999999999"/>
    <x v="149"/>
    <x v="22"/>
    <x v="3"/>
    <n v="7.25"/>
    <x v="328"/>
    <x v="2"/>
    <x v="2"/>
    <x v="2"/>
    <x v="428"/>
    <x v="0"/>
    <x v="0"/>
    <x v="457"/>
  </r>
  <r>
    <x v="41"/>
    <x v="3"/>
    <x v="2"/>
    <s v="Masters"/>
    <n v="10"/>
    <n v="154.80000000000001"/>
    <x v="96"/>
    <x v="44"/>
    <x v="9"/>
    <n v="7.76"/>
    <x v="329"/>
    <x v="0"/>
    <x v="2"/>
    <x v="1"/>
    <x v="429"/>
    <x v="1"/>
    <x v="1"/>
    <x v="458"/>
  </r>
  <r>
    <x v="41"/>
    <x v="3"/>
    <x v="3"/>
    <s v="Bachelors"/>
    <n v="4"/>
    <n v="153.5"/>
    <x v="93"/>
    <x v="41"/>
    <x v="8"/>
    <n v="5.25"/>
    <x v="330"/>
    <x v="0"/>
    <x v="2"/>
    <x v="1"/>
    <x v="325"/>
    <x v="1"/>
    <x v="2"/>
    <x v="459"/>
  </r>
  <r>
    <x v="41"/>
    <x v="2"/>
    <x v="2"/>
    <s v="Masters"/>
    <n v="9"/>
    <n v="147.30000000000001"/>
    <x v="38"/>
    <x v="72"/>
    <x v="6"/>
    <n v="7.45"/>
    <x v="168"/>
    <x v="2"/>
    <x v="0"/>
    <x v="0"/>
    <x v="430"/>
    <x v="2"/>
    <x v="2"/>
    <x v="460"/>
  </r>
  <r>
    <x v="41"/>
    <x v="3"/>
    <x v="0"/>
    <s v="Masters"/>
    <n v="5"/>
    <n v="159.6"/>
    <x v="149"/>
    <x v="40"/>
    <x v="8"/>
    <n v="6.75"/>
    <x v="331"/>
    <x v="2"/>
    <x v="2"/>
    <x v="0"/>
    <x v="431"/>
    <x v="3"/>
    <x v="0"/>
    <x v="461"/>
  </r>
  <r>
    <x v="41"/>
    <x v="3"/>
    <x v="2"/>
    <s v="PhD"/>
    <n v="9"/>
    <n v="151.69999999999999"/>
    <x v="1"/>
    <x v="27"/>
    <x v="0"/>
    <n v="9"/>
    <x v="332"/>
    <x v="2"/>
    <x v="0"/>
    <x v="1"/>
    <x v="432"/>
    <x v="4"/>
    <x v="0"/>
    <x v="462"/>
  </r>
  <r>
    <x v="41"/>
    <x v="4"/>
    <x v="1"/>
    <s v="Bachelors"/>
    <n v="3"/>
    <n v="149.6"/>
    <x v="115"/>
    <x v="64"/>
    <x v="6"/>
    <n v="10"/>
    <x v="10"/>
    <x v="2"/>
    <x v="2"/>
    <x v="2"/>
    <x v="433"/>
    <x v="5"/>
    <x v="1"/>
    <x v="463"/>
  </r>
  <r>
    <x v="41"/>
    <x v="2"/>
    <x v="3"/>
    <s v="Bachelors"/>
    <n v="3"/>
    <n v="169.6"/>
    <x v="3"/>
    <x v="83"/>
    <x v="1"/>
    <n v="6.33"/>
    <x v="55"/>
    <x v="0"/>
    <x v="1"/>
    <x v="1"/>
    <x v="434"/>
    <x v="6"/>
    <x v="2"/>
    <x v="464"/>
  </r>
  <r>
    <x v="41"/>
    <x v="2"/>
    <x v="1"/>
    <s v="Bachelors"/>
    <n v="10"/>
    <n v="164.1"/>
    <x v="84"/>
    <x v="40"/>
    <x v="4"/>
    <n v="6.85"/>
    <x v="274"/>
    <x v="2"/>
    <x v="1"/>
    <x v="1"/>
    <x v="435"/>
    <x v="7"/>
    <x v="0"/>
    <x v="465"/>
  </r>
  <r>
    <x v="41"/>
    <x v="2"/>
    <x v="1"/>
    <s v="PhD"/>
    <n v="1"/>
    <n v="158.5"/>
    <x v="104"/>
    <x v="44"/>
    <x v="0"/>
    <n v="6.99"/>
    <x v="333"/>
    <x v="2"/>
    <x v="1"/>
    <x v="0"/>
    <x v="436"/>
    <x v="8"/>
    <x v="1"/>
    <x v="466"/>
  </r>
  <r>
    <x v="41"/>
    <x v="0"/>
    <x v="2"/>
    <s v="Masters"/>
    <n v="10"/>
    <n v="155"/>
    <x v="51"/>
    <x v="81"/>
    <x v="0"/>
    <n v="6.78"/>
    <x v="334"/>
    <x v="2"/>
    <x v="2"/>
    <x v="2"/>
    <x v="437"/>
    <x v="9"/>
    <x v="2"/>
    <x v="282"/>
  </r>
  <r>
    <x v="42"/>
    <x v="0"/>
    <x v="1"/>
    <s v="Bachelors"/>
    <n v="5"/>
    <n v="169.6"/>
    <x v="39"/>
    <x v="13"/>
    <x v="0"/>
    <n v="8.07"/>
    <x v="335"/>
    <x v="2"/>
    <x v="2"/>
    <x v="0"/>
    <x v="184"/>
    <x v="0"/>
    <x v="1"/>
    <x v="467"/>
  </r>
  <r>
    <x v="42"/>
    <x v="4"/>
    <x v="2"/>
    <s v="Masters"/>
    <n v="3"/>
    <n v="147.30000000000001"/>
    <x v="1"/>
    <x v="43"/>
    <x v="4"/>
    <n v="8.41"/>
    <x v="336"/>
    <x v="2"/>
    <x v="2"/>
    <x v="0"/>
    <x v="438"/>
    <x v="0"/>
    <x v="1"/>
    <x v="468"/>
  </r>
  <r>
    <x v="42"/>
    <x v="3"/>
    <x v="3"/>
    <s v="Masters"/>
    <n v="7"/>
    <n v="148.80000000000001"/>
    <x v="11"/>
    <x v="32"/>
    <x v="10"/>
    <n v="8.7200000000000006"/>
    <x v="337"/>
    <x v="2"/>
    <x v="2"/>
    <x v="0"/>
    <x v="439"/>
    <x v="1"/>
    <x v="0"/>
    <x v="469"/>
  </r>
  <r>
    <x v="42"/>
    <x v="0"/>
    <x v="4"/>
    <s v="Bachelors"/>
    <n v="7"/>
    <n v="156.30000000000001"/>
    <x v="81"/>
    <x v="36"/>
    <x v="10"/>
    <n v="7.92"/>
    <x v="338"/>
    <x v="0"/>
    <x v="2"/>
    <x v="1"/>
    <x v="440"/>
    <x v="1"/>
    <x v="0"/>
    <x v="470"/>
  </r>
  <r>
    <x v="42"/>
    <x v="0"/>
    <x v="1"/>
    <s v="Masters"/>
    <n v="8"/>
    <n v="165.8"/>
    <x v="51"/>
    <x v="41"/>
    <x v="8"/>
    <n v="9.1199999999999992"/>
    <x v="339"/>
    <x v="2"/>
    <x v="1"/>
    <x v="0"/>
    <x v="441"/>
    <x v="2"/>
    <x v="0"/>
    <x v="471"/>
  </r>
  <r>
    <x v="42"/>
    <x v="4"/>
    <x v="2"/>
    <s v="Bachelors"/>
    <n v="3"/>
    <n v="127.5"/>
    <x v="1"/>
    <x v="49"/>
    <x v="5"/>
    <n v="9.85"/>
    <x v="128"/>
    <x v="0"/>
    <x v="2"/>
    <x v="2"/>
    <x v="442"/>
    <x v="3"/>
    <x v="0"/>
    <x v="472"/>
  </r>
  <r>
    <x v="42"/>
    <x v="0"/>
    <x v="0"/>
    <s v="Masters"/>
    <n v="8"/>
    <n v="176.6"/>
    <x v="105"/>
    <x v="55"/>
    <x v="3"/>
    <n v="8.2200000000000006"/>
    <x v="67"/>
    <x v="0"/>
    <x v="2"/>
    <x v="1"/>
    <x v="443"/>
    <x v="4"/>
    <x v="0"/>
    <x v="473"/>
  </r>
  <r>
    <x v="42"/>
    <x v="0"/>
    <x v="3"/>
    <s v="Masters"/>
    <n v="6"/>
    <n v="159.6"/>
    <x v="2"/>
    <x v="73"/>
    <x v="0"/>
    <n v="8.19"/>
    <x v="49"/>
    <x v="2"/>
    <x v="0"/>
    <x v="1"/>
    <x v="444"/>
    <x v="5"/>
    <x v="2"/>
    <x v="75"/>
  </r>
  <r>
    <x v="42"/>
    <x v="2"/>
    <x v="4"/>
    <s v="Masters"/>
    <n v="9"/>
    <n v="174.6"/>
    <x v="25"/>
    <x v="4"/>
    <x v="5"/>
    <n v="7.62"/>
    <x v="86"/>
    <x v="2"/>
    <x v="1"/>
    <x v="1"/>
    <x v="192"/>
    <x v="6"/>
    <x v="2"/>
    <x v="474"/>
  </r>
  <r>
    <x v="42"/>
    <x v="4"/>
    <x v="3"/>
    <s v="Bachelors"/>
    <n v="7"/>
    <n v="165.2"/>
    <x v="152"/>
    <x v="23"/>
    <x v="4"/>
    <n v="6.01"/>
    <x v="340"/>
    <x v="0"/>
    <x v="1"/>
    <x v="2"/>
    <x v="445"/>
    <x v="7"/>
    <x v="0"/>
    <x v="475"/>
  </r>
  <r>
    <x v="42"/>
    <x v="1"/>
    <x v="2"/>
    <s v="PhD"/>
    <n v="4"/>
    <n v="141.4"/>
    <x v="1"/>
    <x v="75"/>
    <x v="6"/>
    <n v="6.57"/>
    <x v="341"/>
    <x v="2"/>
    <x v="0"/>
    <x v="1"/>
    <x v="128"/>
    <x v="8"/>
    <x v="0"/>
    <x v="476"/>
  </r>
  <r>
    <x v="42"/>
    <x v="1"/>
    <x v="0"/>
    <s v="PhD"/>
    <n v="3"/>
    <n v="149.1"/>
    <x v="72"/>
    <x v="4"/>
    <x v="0"/>
    <n v="8.1199999999999992"/>
    <x v="152"/>
    <x v="2"/>
    <x v="0"/>
    <x v="2"/>
    <x v="446"/>
    <x v="9"/>
    <x v="2"/>
    <x v="477"/>
  </r>
  <r>
    <x v="43"/>
    <x v="2"/>
    <x v="1"/>
    <s v="Bachelors"/>
    <n v="5"/>
    <n v="133"/>
    <x v="16"/>
    <x v="26"/>
    <x v="0"/>
    <n v="5.92"/>
    <x v="187"/>
    <x v="2"/>
    <x v="2"/>
    <x v="1"/>
    <x v="440"/>
    <x v="0"/>
    <x v="0"/>
    <x v="478"/>
  </r>
  <r>
    <x v="43"/>
    <x v="4"/>
    <x v="2"/>
    <s v="PhD"/>
    <n v="1"/>
    <n v="171.1"/>
    <x v="18"/>
    <x v="35"/>
    <x v="4"/>
    <n v="6.98"/>
    <x v="342"/>
    <x v="2"/>
    <x v="0"/>
    <x v="0"/>
    <x v="445"/>
    <x v="0"/>
    <x v="0"/>
    <x v="479"/>
  </r>
  <r>
    <x v="43"/>
    <x v="4"/>
    <x v="0"/>
    <s v="Bachelors"/>
    <n v="7"/>
    <n v="170.9"/>
    <x v="10"/>
    <x v="93"/>
    <x v="8"/>
    <m/>
    <x v="256"/>
    <x v="2"/>
    <x v="1"/>
    <x v="2"/>
    <x v="447"/>
    <x v="1"/>
    <x v="1"/>
    <x v="393"/>
  </r>
  <r>
    <x v="43"/>
    <x v="3"/>
    <x v="1"/>
    <s v="Bachelors"/>
    <n v="10"/>
    <n v="163.69999999999999"/>
    <x v="134"/>
    <x v="53"/>
    <x v="1"/>
    <n v="8.67"/>
    <x v="343"/>
    <x v="2"/>
    <x v="0"/>
    <x v="2"/>
    <x v="448"/>
    <x v="1"/>
    <x v="0"/>
    <x v="480"/>
  </r>
  <r>
    <x v="43"/>
    <x v="1"/>
    <x v="2"/>
    <s v="Masters"/>
    <n v="1"/>
    <n v="147.5"/>
    <x v="26"/>
    <x v="31"/>
    <x v="8"/>
    <n v="4.83"/>
    <x v="344"/>
    <x v="2"/>
    <x v="0"/>
    <x v="2"/>
    <x v="449"/>
    <x v="2"/>
    <x v="0"/>
    <x v="481"/>
  </r>
  <r>
    <x v="43"/>
    <x v="2"/>
    <x v="4"/>
    <s v="Bachelors"/>
    <n v="5"/>
    <n v="158.69999999999999"/>
    <x v="1"/>
    <x v="51"/>
    <x v="4"/>
    <n v="5.84"/>
    <x v="345"/>
    <x v="0"/>
    <x v="0"/>
    <x v="1"/>
    <x v="450"/>
    <x v="3"/>
    <x v="2"/>
    <x v="482"/>
  </r>
  <r>
    <x v="43"/>
    <x v="3"/>
    <x v="1"/>
    <s v="Bachelors"/>
    <n v="4"/>
    <n v="175.8"/>
    <x v="3"/>
    <x v="79"/>
    <x v="4"/>
    <n v="4.95"/>
    <x v="50"/>
    <x v="0"/>
    <x v="2"/>
    <x v="0"/>
    <x v="451"/>
    <x v="4"/>
    <x v="0"/>
    <x v="483"/>
  </r>
  <r>
    <x v="43"/>
    <x v="4"/>
    <x v="3"/>
    <s v="Bachelors"/>
    <n v="8"/>
    <n v="163.30000000000001"/>
    <x v="153"/>
    <x v="8"/>
    <x v="0"/>
    <n v="9.3000000000000007"/>
    <x v="346"/>
    <x v="0"/>
    <x v="0"/>
    <x v="1"/>
    <x v="452"/>
    <x v="5"/>
    <x v="2"/>
    <x v="484"/>
  </r>
  <r>
    <x v="43"/>
    <x v="2"/>
    <x v="3"/>
    <s v="PhD"/>
    <n v="10"/>
    <n v="174.1"/>
    <x v="107"/>
    <x v="43"/>
    <x v="7"/>
    <n v="8.07"/>
    <x v="48"/>
    <x v="0"/>
    <x v="1"/>
    <x v="1"/>
    <x v="453"/>
    <x v="6"/>
    <x v="0"/>
    <x v="485"/>
  </r>
  <r>
    <x v="43"/>
    <x v="3"/>
    <x v="3"/>
    <s v="PhD"/>
    <n v="5"/>
    <n v="151.19999999999999"/>
    <x v="5"/>
    <x v="78"/>
    <x v="1"/>
    <n v="8.98"/>
    <x v="221"/>
    <x v="0"/>
    <x v="1"/>
    <x v="0"/>
    <x v="267"/>
    <x v="7"/>
    <x v="0"/>
    <x v="486"/>
  </r>
  <r>
    <x v="43"/>
    <x v="1"/>
    <x v="2"/>
    <s v="Bachelors"/>
    <n v="3"/>
    <n v="168.2"/>
    <x v="27"/>
    <x v="32"/>
    <x v="6"/>
    <n v="10"/>
    <x v="10"/>
    <x v="2"/>
    <x v="0"/>
    <x v="1"/>
    <x v="454"/>
    <x v="8"/>
    <x v="0"/>
    <x v="487"/>
  </r>
  <r>
    <x v="43"/>
    <x v="2"/>
    <x v="3"/>
    <s v="Masters"/>
    <n v="9"/>
    <n v="156.1"/>
    <x v="154"/>
    <x v="30"/>
    <x v="7"/>
    <n v="4.79"/>
    <x v="103"/>
    <x v="0"/>
    <x v="2"/>
    <x v="1"/>
    <x v="455"/>
    <x v="9"/>
    <x v="1"/>
    <x v="488"/>
  </r>
  <r>
    <x v="44"/>
    <x v="4"/>
    <x v="4"/>
    <s v="PhD"/>
    <n v="9"/>
    <n v="155.80000000000001"/>
    <x v="98"/>
    <x v="36"/>
    <x v="1"/>
    <n v="9.3000000000000007"/>
    <x v="347"/>
    <x v="2"/>
    <x v="1"/>
    <x v="0"/>
    <x v="456"/>
    <x v="0"/>
    <x v="1"/>
    <x v="189"/>
  </r>
  <r>
    <x v="44"/>
    <x v="2"/>
    <x v="0"/>
    <s v="PhD"/>
    <n v="10"/>
    <n v="157.19999999999999"/>
    <x v="1"/>
    <x v="83"/>
    <x v="8"/>
    <n v="6.14"/>
    <x v="186"/>
    <x v="2"/>
    <x v="0"/>
    <x v="1"/>
    <x v="457"/>
    <x v="0"/>
    <x v="2"/>
    <x v="489"/>
  </r>
  <r>
    <x v="44"/>
    <x v="3"/>
    <x v="0"/>
    <s v="PhD"/>
    <n v="2"/>
    <n v="151.6"/>
    <x v="155"/>
    <x v="37"/>
    <x v="0"/>
    <n v="7.77"/>
    <x v="10"/>
    <x v="2"/>
    <x v="1"/>
    <x v="0"/>
    <x v="247"/>
    <x v="1"/>
    <x v="0"/>
    <x v="490"/>
  </r>
  <r>
    <x v="44"/>
    <x v="2"/>
    <x v="4"/>
    <s v="Bachelors"/>
    <n v="6"/>
    <n v="164.8"/>
    <x v="69"/>
    <x v="29"/>
    <x v="1"/>
    <n v="5.21"/>
    <x v="348"/>
    <x v="2"/>
    <x v="2"/>
    <x v="1"/>
    <x v="458"/>
    <x v="1"/>
    <x v="0"/>
    <x v="269"/>
  </r>
  <r>
    <x v="44"/>
    <x v="1"/>
    <x v="1"/>
    <s v="Masters"/>
    <n v="7"/>
    <n v="163.9"/>
    <x v="71"/>
    <x v="53"/>
    <x v="1"/>
    <n v="4.84"/>
    <x v="10"/>
    <x v="2"/>
    <x v="2"/>
    <x v="2"/>
    <x v="459"/>
    <x v="2"/>
    <x v="2"/>
    <x v="491"/>
  </r>
  <r>
    <x v="44"/>
    <x v="0"/>
    <x v="1"/>
    <s v="PhD"/>
    <n v="10"/>
    <n v="148.80000000000001"/>
    <x v="35"/>
    <x v="69"/>
    <x v="15"/>
    <n v="5.29"/>
    <x v="23"/>
    <x v="0"/>
    <x v="2"/>
    <x v="2"/>
    <x v="460"/>
    <x v="3"/>
    <x v="1"/>
    <x v="492"/>
  </r>
  <r>
    <x v="44"/>
    <x v="0"/>
    <x v="4"/>
    <s v="Masters"/>
    <n v="3"/>
    <n v="146.5"/>
    <x v="78"/>
    <x v="14"/>
    <x v="4"/>
    <n v="6.15"/>
    <x v="10"/>
    <x v="2"/>
    <x v="1"/>
    <x v="2"/>
    <x v="53"/>
    <x v="4"/>
    <x v="1"/>
    <x v="493"/>
  </r>
  <r>
    <x v="44"/>
    <x v="1"/>
    <x v="4"/>
    <s v="Masters"/>
    <n v="2"/>
    <n v="173.6"/>
    <x v="4"/>
    <x v="60"/>
    <x v="5"/>
    <n v="7.45"/>
    <x v="111"/>
    <x v="0"/>
    <x v="0"/>
    <x v="1"/>
    <x v="461"/>
    <x v="5"/>
    <x v="1"/>
    <x v="494"/>
  </r>
  <r>
    <x v="44"/>
    <x v="0"/>
    <x v="4"/>
    <s v="Masters"/>
    <n v="5"/>
    <n v="153.80000000000001"/>
    <x v="111"/>
    <x v="58"/>
    <x v="12"/>
    <n v="5.26"/>
    <x v="349"/>
    <x v="0"/>
    <x v="2"/>
    <x v="2"/>
    <x v="462"/>
    <x v="6"/>
    <x v="2"/>
    <x v="495"/>
  </r>
  <r>
    <x v="44"/>
    <x v="0"/>
    <x v="2"/>
    <s v="Masters"/>
    <n v="7"/>
    <n v="154.5"/>
    <x v="11"/>
    <x v="62"/>
    <x v="8"/>
    <n v="7.98"/>
    <x v="350"/>
    <x v="2"/>
    <x v="1"/>
    <x v="1"/>
    <x v="463"/>
    <x v="7"/>
    <x v="0"/>
    <x v="496"/>
  </r>
  <r>
    <x v="44"/>
    <x v="1"/>
    <x v="4"/>
    <s v="Bachelors"/>
    <n v="8"/>
    <n v="159.19999999999999"/>
    <x v="147"/>
    <x v="35"/>
    <x v="0"/>
    <n v="7.37"/>
    <x v="351"/>
    <x v="2"/>
    <x v="1"/>
    <x v="2"/>
    <x v="464"/>
    <x v="8"/>
    <x v="0"/>
    <x v="497"/>
  </r>
  <r>
    <x v="44"/>
    <x v="3"/>
    <x v="0"/>
    <s v="PhD"/>
    <n v="3"/>
    <n v="138.69999999999999"/>
    <x v="16"/>
    <x v="42"/>
    <x v="4"/>
    <n v="5.78"/>
    <x v="284"/>
    <x v="2"/>
    <x v="1"/>
    <x v="0"/>
    <x v="465"/>
    <x v="9"/>
    <x v="1"/>
    <x v="498"/>
  </r>
  <r>
    <x v="45"/>
    <x v="4"/>
    <x v="0"/>
    <s v="Masters"/>
    <n v="4"/>
    <n v="155.80000000000001"/>
    <x v="135"/>
    <x v="68"/>
    <x v="4"/>
    <n v="5.52"/>
    <x v="334"/>
    <x v="2"/>
    <x v="0"/>
    <x v="0"/>
    <x v="466"/>
    <x v="0"/>
    <x v="1"/>
    <x v="499"/>
  </r>
  <r>
    <x v="45"/>
    <x v="1"/>
    <x v="2"/>
    <s v="Masters"/>
    <n v="8"/>
    <n v="160.9"/>
    <x v="1"/>
    <x v="94"/>
    <x v="4"/>
    <n v="7.65"/>
    <x v="352"/>
    <x v="0"/>
    <x v="0"/>
    <x v="2"/>
    <x v="467"/>
    <x v="0"/>
    <x v="1"/>
    <x v="500"/>
  </r>
  <r>
    <x v="45"/>
    <x v="4"/>
    <x v="2"/>
    <s v="Bachelors"/>
    <n v="9"/>
    <n v="154.9"/>
    <x v="65"/>
    <x v="21"/>
    <x v="4"/>
    <n v="10"/>
    <x v="264"/>
    <x v="0"/>
    <x v="2"/>
    <x v="1"/>
    <x v="468"/>
    <x v="1"/>
    <x v="0"/>
    <x v="501"/>
  </r>
  <r>
    <x v="45"/>
    <x v="2"/>
    <x v="1"/>
    <s v="PhD"/>
    <n v="6"/>
    <n v="165.5"/>
    <x v="81"/>
    <x v="21"/>
    <x v="5"/>
    <n v="8.24"/>
    <x v="18"/>
    <x v="0"/>
    <x v="0"/>
    <x v="0"/>
    <x v="469"/>
    <x v="1"/>
    <x v="0"/>
    <x v="155"/>
  </r>
  <r>
    <x v="45"/>
    <x v="1"/>
    <x v="4"/>
    <s v="Masters"/>
    <n v="1"/>
    <n v="161"/>
    <x v="110"/>
    <x v="4"/>
    <x v="8"/>
    <n v="6.49"/>
    <x v="353"/>
    <x v="2"/>
    <x v="2"/>
    <x v="0"/>
    <x v="470"/>
    <x v="2"/>
    <x v="1"/>
    <x v="320"/>
  </r>
  <r>
    <x v="45"/>
    <x v="1"/>
    <x v="0"/>
    <s v="Bachelors"/>
    <n v="1"/>
    <n v="167.1"/>
    <x v="105"/>
    <x v="19"/>
    <x v="7"/>
    <n v="8.67"/>
    <x v="10"/>
    <x v="0"/>
    <x v="0"/>
    <x v="2"/>
    <x v="471"/>
    <x v="3"/>
    <x v="2"/>
    <x v="502"/>
  </r>
  <r>
    <x v="45"/>
    <x v="2"/>
    <x v="2"/>
    <s v="PhD"/>
    <n v="1"/>
    <n v="154.69999999999999"/>
    <x v="145"/>
    <x v="45"/>
    <x v="1"/>
    <n v="7.69"/>
    <x v="354"/>
    <x v="2"/>
    <x v="0"/>
    <x v="0"/>
    <x v="321"/>
    <x v="4"/>
    <x v="0"/>
    <x v="503"/>
  </r>
  <r>
    <x v="45"/>
    <x v="1"/>
    <x v="2"/>
    <s v="Masters"/>
    <n v="4"/>
    <n v="154.6"/>
    <x v="145"/>
    <x v="21"/>
    <x v="4"/>
    <n v="6.94"/>
    <x v="75"/>
    <x v="2"/>
    <x v="1"/>
    <x v="2"/>
    <x v="472"/>
    <x v="5"/>
    <x v="0"/>
    <x v="504"/>
  </r>
  <r>
    <x v="45"/>
    <x v="1"/>
    <x v="0"/>
    <s v="Bachelors"/>
    <n v="3"/>
    <n v="164.6"/>
    <x v="86"/>
    <x v="5"/>
    <x v="10"/>
    <n v="6.67"/>
    <x v="165"/>
    <x v="0"/>
    <x v="2"/>
    <x v="2"/>
    <x v="162"/>
    <x v="6"/>
    <x v="2"/>
    <x v="505"/>
  </r>
  <r>
    <x v="45"/>
    <x v="2"/>
    <x v="0"/>
    <s v="Bachelors"/>
    <n v="2"/>
    <n v="171.4"/>
    <x v="91"/>
    <x v="23"/>
    <x v="7"/>
    <n v="5.79"/>
    <x v="355"/>
    <x v="0"/>
    <x v="1"/>
    <x v="0"/>
    <x v="473"/>
    <x v="7"/>
    <x v="0"/>
    <x v="506"/>
  </r>
  <r>
    <x v="45"/>
    <x v="0"/>
    <x v="4"/>
    <s v="Bachelors"/>
    <n v="6"/>
    <n v="150"/>
    <x v="1"/>
    <x v="75"/>
    <x v="9"/>
    <n v="6.3"/>
    <x v="340"/>
    <x v="0"/>
    <x v="0"/>
    <x v="1"/>
    <x v="474"/>
    <x v="8"/>
    <x v="1"/>
    <x v="507"/>
  </r>
  <r>
    <x v="45"/>
    <x v="0"/>
    <x v="1"/>
    <s v="PhD"/>
    <n v="1"/>
    <n v="170"/>
    <x v="156"/>
    <x v="75"/>
    <x v="8"/>
    <n v="5.87"/>
    <x v="10"/>
    <x v="0"/>
    <x v="1"/>
    <x v="2"/>
    <x v="475"/>
    <x v="9"/>
    <x v="2"/>
    <x v="508"/>
  </r>
  <r>
    <x v="46"/>
    <x v="4"/>
    <x v="1"/>
    <s v="PhD"/>
    <n v="6"/>
    <n v="161"/>
    <x v="50"/>
    <x v="68"/>
    <x v="8"/>
    <n v="6.92"/>
    <x v="356"/>
    <x v="2"/>
    <x v="1"/>
    <x v="0"/>
    <x v="476"/>
    <x v="0"/>
    <x v="2"/>
    <x v="320"/>
  </r>
  <r>
    <x v="46"/>
    <x v="1"/>
    <x v="4"/>
    <s v="Masters"/>
    <n v="9"/>
    <n v="160.19999999999999"/>
    <x v="34"/>
    <x v="12"/>
    <x v="6"/>
    <n v="4.6900000000000004"/>
    <x v="101"/>
    <x v="1"/>
    <x v="1"/>
    <x v="1"/>
    <x v="477"/>
    <x v="0"/>
    <x v="1"/>
    <x v="509"/>
  </r>
  <r>
    <x v="46"/>
    <x v="2"/>
    <x v="3"/>
    <s v="PhD"/>
    <n v="8"/>
    <n v="161.9"/>
    <x v="1"/>
    <x v="46"/>
    <x v="3"/>
    <n v="7.22"/>
    <x v="351"/>
    <x v="2"/>
    <x v="2"/>
    <x v="1"/>
    <x v="478"/>
    <x v="1"/>
    <x v="1"/>
    <x v="510"/>
  </r>
  <r>
    <x v="46"/>
    <x v="3"/>
    <x v="1"/>
    <s v="Masters"/>
    <n v="9"/>
    <n v="155.69999999999999"/>
    <x v="39"/>
    <x v="81"/>
    <x v="7"/>
    <n v="7.55"/>
    <x v="357"/>
    <x v="0"/>
    <x v="1"/>
    <x v="1"/>
    <x v="479"/>
    <x v="1"/>
    <x v="1"/>
    <x v="511"/>
  </r>
  <r>
    <x v="46"/>
    <x v="2"/>
    <x v="1"/>
    <s v="Masters"/>
    <n v="3"/>
    <n v="148.1"/>
    <x v="1"/>
    <x v="4"/>
    <x v="5"/>
    <n v="6.33"/>
    <x v="276"/>
    <x v="0"/>
    <x v="0"/>
    <x v="2"/>
    <x v="480"/>
    <x v="2"/>
    <x v="1"/>
    <x v="512"/>
  </r>
  <r>
    <x v="46"/>
    <x v="0"/>
    <x v="4"/>
    <s v="PhD"/>
    <n v="6"/>
    <n v="165.8"/>
    <x v="27"/>
    <x v="40"/>
    <x v="8"/>
    <n v="9.5399999999999991"/>
    <x v="358"/>
    <x v="2"/>
    <x v="2"/>
    <x v="0"/>
    <x v="481"/>
    <x v="3"/>
    <x v="1"/>
    <x v="471"/>
  </r>
  <r>
    <x v="46"/>
    <x v="4"/>
    <x v="4"/>
    <s v="Masters"/>
    <n v="8"/>
    <n v="143.9"/>
    <x v="145"/>
    <x v="14"/>
    <x v="2"/>
    <n v="4.6100000000000003"/>
    <x v="359"/>
    <x v="0"/>
    <x v="1"/>
    <x v="2"/>
    <x v="482"/>
    <x v="4"/>
    <x v="1"/>
    <x v="513"/>
  </r>
  <r>
    <x v="46"/>
    <x v="4"/>
    <x v="4"/>
    <s v="Masters"/>
    <n v="2"/>
    <n v="160.6"/>
    <x v="106"/>
    <x v="43"/>
    <x v="0"/>
    <n v="7.63"/>
    <x v="360"/>
    <x v="2"/>
    <x v="2"/>
    <x v="2"/>
    <x v="327"/>
    <x v="5"/>
    <x v="1"/>
    <x v="514"/>
  </r>
  <r>
    <x v="46"/>
    <x v="4"/>
    <x v="1"/>
    <s v="Masters"/>
    <n v="2"/>
    <n v="159.9"/>
    <x v="41"/>
    <x v="46"/>
    <x v="2"/>
    <n v="7.42"/>
    <x v="157"/>
    <x v="0"/>
    <x v="0"/>
    <x v="0"/>
    <x v="229"/>
    <x v="6"/>
    <x v="2"/>
    <x v="515"/>
  </r>
  <r>
    <x v="46"/>
    <x v="2"/>
    <x v="2"/>
    <s v="Bachelors"/>
    <n v="1"/>
    <n v="151.5"/>
    <x v="91"/>
    <x v="19"/>
    <x v="10"/>
    <n v="6.56"/>
    <x v="361"/>
    <x v="0"/>
    <x v="1"/>
    <x v="2"/>
    <x v="483"/>
    <x v="7"/>
    <x v="0"/>
    <x v="516"/>
  </r>
  <r>
    <x v="46"/>
    <x v="1"/>
    <x v="2"/>
    <s v="Bachelors"/>
    <n v="2"/>
    <n v="162.30000000000001"/>
    <x v="11"/>
    <x v="31"/>
    <x v="3"/>
    <n v="5.92"/>
    <x v="362"/>
    <x v="0"/>
    <x v="2"/>
    <x v="2"/>
    <x v="484"/>
    <x v="8"/>
    <x v="0"/>
    <x v="517"/>
  </r>
  <r>
    <x v="46"/>
    <x v="4"/>
    <x v="4"/>
    <s v="PhD"/>
    <n v="4"/>
    <n v="154.19999999999999"/>
    <x v="1"/>
    <x v="39"/>
    <x v="4"/>
    <n v="7.52"/>
    <x v="363"/>
    <x v="0"/>
    <x v="1"/>
    <x v="2"/>
    <x v="485"/>
    <x v="9"/>
    <x v="2"/>
    <x v="518"/>
  </r>
  <r>
    <x v="47"/>
    <x v="1"/>
    <x v="3"/>
    <s v="Bachelors"/>
    <n v="8"/>
    <n v="165.6"/>
    <x v="1"/>
    <x v="63"/>
    <x v="5"/>
    <n v="8.57"/>
    <x v="51"/>
    <x v="2"/>
    <x v="0"/>
    <x v="1"/>
    <x v="39"/>
    <x v="0"/>
    <x v="0"/>
    <x v="519"/>
  </r>
  <r>
    <x v="47"/>
    <x v="0"/>
    <x v="2"/>
    <s v="Masters"/>
    <n v="3"/>
    <n v="152.30000000000001"/>
    <x v="1"/>
    <x v="95"/>
    <x v="6"/>
    <n v="7.44"/>
    <x v="225"/>
    <x v="2"/>
    <x v="1"/>
    <x v="1"/>
    <x v="486"/>
    <x v="0"/>
    <x v="0"/>
    <x v="520"/>
  </r>
  <r>
    <x v="47"/>
    <x v="1"/>
    <x v="0"/>
    <s v="Masters"/>
    <n v="3"/>
    <n v="152.9"/>
    <x v="1"/>
    <x v="75"/>
    <x v="6"/>
    <n v="6.38"/>
    <x v="96"/>
    <x v="2"/>
    <x v="0"/>
    <x v="1"/>
    <x v="487"/>
    <x v="1"/>
    <x v="1"/>
    <x v="521"/>
  </r>
  <r>
    <x v="47"/>
    <x v="2"/>
    <x v="4"/>
    <s v="Bachelors"/>
    <n v="5"/>
    <n v="146.69999999999999"/>
    <x v="73"/>
    <x v="34"/>
    <x v="13"/>
    <n v="7.58"/>
    <x v="364"/>
    <x v="2"/>
    <x v="1"/>
    <x v="0"/>
    <x v="291"/>
    <x v="1"/>
    <x v="1"/>
    <x v="522"/>
  </r>
  <r>
    <x v="47"/>
    <x v="2"/>
    <x v="4"/>
    <s v="Bachelors"/>
    <n v="1"/>
    <n v="172.1"/>
    <x v="11"/>
    <x v="47"/>
    <x v="0"/>
    <n v="7.55"/>
    <x v="365"/>
    <x v="0"/>
    <x v="0"/>
    <x v="0"/>
    <x v="488"/>
    <x v="2"/>
    <x v="2"/>
    <x v="358"/>
  </r>
  <r>
    <x v="47"/>
    <x v="3"/>
    <x v="3"/>
    <s v="Bachelors"/>
    <n v="9"/>
    <n v="162.1"/>
    <x v="36"/>
    <x v="6"/>
    <x v="5"/>
    <n v="7.45"/>
    <x v="366"/>
    <x v="0"/>
    <x v="1"/>
    <x v="0"/>
    <x v="489"/>
    <x v="3"/>
    <x v="2"/>
    <x v="523"/>
  </r>
  <r>
    <x v="47"/>
    <x v="0"/>
    <x v="2"/>
    <s v="Bachelors"/>
    <n v="9"/>
    <n v="174"/>
    <x v="8"/>
    <x v="41"/>
    <x v="3"/>
    <m/>
    <x v="367"/>
    <x v="2"/>
    <x v="2"/>
    <x v="1"/>
    <x v="490"/>
    <x v="4"/>
    <x v="2"/>
    <x v="524"/>
  </r>
  <r>
    <x v="47"/>
    <x v="1"/>
    <x v="2"/>
    <s v="Bachelors"/>
    <n v="8"/>
    <n v="157.5"/>
    <x v="145"/>
    <x v="40"/>
    <x v="6"/>
    <n v="7.97"/>
    <x v="80"/>
    <x v="2"/>
    <x v="2"/>
    <x v="2"/>
    <x v="491"/>
    <x v="5"/>
    <x v="1"/>
    <x v="525"/>
  </r>
  <r>
    <x v="47"/>
    <x v="3"/>
    <x v="2"/>
    <s v="Masters"/>
    <n v="7"/>
    <n v="168.2"/>
    <x v="21"/>
    <x v="48"/>
    <x v="10"/>
    <n v="7.14"/>
    <x v="368"/>
    <x v="2"/>
    <x v="2"/>
    <x v="1"/>
    <x v="10"/>
    <x v="6"/>
    <x v="1"/>
    <x v="526"/>
  </r>
  <r>
    <x v="47"/>
    <x v="3"/>
    <x v="3"/>
    <s v="Masters"/>
    <n v="4"/>
    <n v="161.69999999999999"/>
    <x v="18"/>
    <x v="11"/>
    <x v="0"/>
    <n v="9.39"/>
    <x v="255"/>
    <x v="2"/>
    <x v="0"/>
    <x v="1"/>
    <x v="492"/>
    <x v="7"/>
    <x v="2"/>
    <x v="527"/>
  </r>
  <r>
    <x v="47"/>
    <x v="4"/>
    <x v="2"/>
    <s v="Bachelors"/>
    <n v="4"/>
    <n v="155.69999999999999"/>
    <x v="11"/>
    <x v="74"/>
    <x v="8"/>
    <n v="9.0399999999999991"/>
    <x v="369"/>
    <x v="2"/>
    <x v="2"/>
    <x v="2"/>
    <x v="493"/>
    <x v="8"/>
    <x v="2"/>
    <x v="62"/>
  </r>
  <r>
    <x v="47"/>
    <x v="3"/>
    <x v="1"/>
    <s v="Masters"/>
    <n v="9"/>
    <n v="166.3"/>
    <x v="70"/>
    <x v="69"/>
    <x v="10"/>
    <m/>
    <x v="370"/>
    <x v="2"/>
    <x v="0"/>
    <x v="2"/>
    <x v="494"/>
    <x v="9"/>
    <x v="2"/>
    <x v="528"/>
  </r>
  <r>
    <x v="48"/>
    <x v="0"/>
    <x v="4"/>
    <s v="Bachelors"/>
    <n v="9"/>
    <n v="152.69999999999999"/>
    <x v="126"/>
    <x v="51"/>
    <x v="4"/>
    <n v="9.25"/>
    <x v="371"/>
    <x v="2"/>
    <x v="2"/>
    <x v="0"/>
    <x v="495"/>
    <x v="0"/>
    <x v="1"/>
    <x v="529"/>
  </r>
  <r>
    <x v="48"/>
    <x v="0"/>
    <x v="3"/>
    <s v="PhD"/>
    <n v="6"/>
    <n v="157.5"/>
    <x v="42"/>
    <x v="21"/>
    <x v="8"/>
    <n v="4.01"/>
    <x v="372"/>
    <x v="2"/>
    <x v="2"/>
    <x v="1"/>
    <x v="496"/>
    <x v="0"/>
    <x v="0"/>
    <x v="530"/>
  </r>
  <r>
    <x v="48"/>
    <x v="4"/>
    <x v="3"/>
    <s v="Bachelors"/>
    <n v="10"/>
    <n v="169.5"/>
    <x v="50"/>
    <x v="11"/>
    <x v="6"/>
    <n v="9.41"/>
    <x v="373"/>
    <x v="0"/>
    <x v="1"/>
    <x v="2"/>
    <x v="497"/>
    <x v="1"/>
    <x v="2"/>
    <x v="409"/>
  </r>
  <r>
    <x v="48"/>
    <x v="1"/>
    <x v="2"/>
    <s v="PhD"/>
    <n v="1"/>
    <n v="156.4"/>
    <x v="4"/>
    <x v="75"/>
    <x v="0"/>
    <n v="5.23"/>
    <x v="374"/>
    <x v="2"/>
    <x v="1"/>
    <x v="2"/>
    <x v="498"/>
    <x v="1"/>
    <x v="2"/>
    <x v="531"/>
  </r>
  <r>
    <x v="48"/>
    <x v="2"/>
    <x v="3"/>
    <s v="Masters"/>
    <n v="8"/>
    <n v="151.69999999999999"/>
    <x v="0"/>
    <x v="35"/>
    <x v="8"/>
    <n v="9.32"/>
    <x v="266"/>
    <x v="2"/>
    <x v="0"/>
    <x v="1"/>
    <x v="230"/>
    <x v="2"/>
    <x v="0"/>
    <x v="532"/>
  </r>
  <r>
    <x v="48"/>
    <x v="4"/>
    <x v="2"/>
    <s v="Bachelors"/>
    <n v="2"/>
    <n v="160.9"/>
    <x v="52"/>
    <x v="21"/>
    <x v="8"/>
    <n v="6.31"/>
    <x v="73"/>
    <x v="1"/>
    <x v="2"/>
    <x v="2"/>
    <x v="499"/>
    <x v="3"/>
    <x v="2"/>
    <x v="533"/>
  </r>
  <r>
    <x v="48"/>
    <x v="1"/>
    <x v="1"/>
    <s v="PhD"/>
    <n v="6"/>
    <n v="159.30000000000001"/>
    <x v="119"/>
    <x v="48"/>
    <x v="8"/>
    <n v="6.89"/>
    <x v="339"/>
    <x v="2"/>
    <x v="2"/>
    <x v="2"/>
    <x v="500"/>
    <x v="4"/>
    <x v="2"/>
    <x v="350"/>
  </r>
  <r>
    <x v="48"/>
    <x v="1"/>
    <x v="4"/>
    <s v="PhD"/>
    <n v="2"/>
    <n v="158.80000000000001"/>
    <x v="52"/>
    <x v="78"/>
    <x v="4"/>
    <n v="4.1900000000000004"/>
    <x v="158"/>
    <x v="2"/>
    <x v="1"/>
    <x v="1"/>
    <x v="18"/>
    <x v="5"/>
    <x v="1"/>
    <x v="534"/>
  </r>
  <r>
    <x v="48"/>
    <x v="0"/>
    <x v="0"/>
    <s v="PhD"/>
    <n v="2"/>
    <n v="171.8"/>
    <x v="89"/>
    <x v="20"/>
    <x v="6"/>
    <n v="6.8"/>
    <x v="45"/>
    <x v="0"/>
    <x v="1"/>
    <x v="0"/>
    <x v="501"/>
    <x v="6"/>
    <x v="2"/>
    <x v="535"/>
  </r>
  <r>
    <x v="48"/>
    <x v="4"/>
    <x v="1"/>
    <s v="PhD"/>
    <n v="1"/>
    <n v="153.4"/>
    <x v="30"/>
    <x v="66"/>
    <x v="10"/>
    <n v="8.32"/>
    <x v="155"/>
    <x v="2"/>
    <x v="1"/>
    <x v="0"/>
    <x v="502"/>
    <x v="7"/>
    <x v="0"/>
    <x v="536"/>
  </r>
  <r>
    <x v="48"/>
    <x v="1"/>
    <x v="0"/>
    <s v="Bachelors"/>
    <n v="4"/>
    <n v="171.8"/>
    <x v="60"/>
    <x v="67"/>
    <x v="4"/>
    <n v="7.54"/>
    <x v="375"/>
    <x v="0"/>
    <x v="2"/>
    <x v="2"/>
    <x v="503"/>
    <x v="8"/>
    <x v="0"/>
    <x v="429"/>
  </r>
  <r>
    <x v="48"/>
    <x v="3"/>
    <x v="0"/>
    <s v="PhD"/>
    <n v="6"/>
    <n v="161.19999999999999"/>
    <x v="42"/>
    <x v="68"/>
    <x v="4"/>
    <n v="8.34"/>
    <x v="97"/>
    <x v="0"/>
    <x v="2"/>
    <x v="1"/>
    <x v="379"/>
    <x v="9"/>
    <x v="0"/>
    <x v="537"/>
  </r>
  <r>
    <x v="49"/>
    <x v="2"/>
    <x v="2"/>
    <s v="PhD"/>
    <n v="7"/>
    <n v="143.6"/>
    <x v="60"/>
    <x v="75"/>
    <x v="9"/>
    <n v="7.41"/>
    <x v="210"/>
    <x v="0"/>
    <x v="0"/>
    <x v="0"/>
    <x v="504"/>
    <x v="0"/>
    <x v="1"/>
    <x v="538"/>
  </r>
  <r>
    <x v="49"/>
    <x v="0"/>
    <x v="4"/>
    <s v="PhD"/>
    <n v="8"/>
    <n v="139.69999999999999"/>
    <x v="20"/>
    <x v="40"/>
    <x v="4"/>
    <n v="6.07"/>
    <x v="376"/>
    <x v="2"/>
    <x v="0"/>
    <x v="0"/>
    <x v="505"/>
    <x v="0"/>
    <x v="2"/>
    <x v="539"/>
  </r>
  <r>
    <x v="49"/>
    <x v="0"/>
    <x v="4"/>
    <s v="PhD"/>
    <n v="10"/>
    <n v="167.9"/>
    <x v="105"/>
    <x v="9"/>
    <x v="0"/>
    <n v="5.21"/>
    <x v="10"/>
    <x v="2"/>
    <x v="0"/>
    <x v="1"/>
    <x v="506"/>
    <x v="1"/>
    <x v="2"/>
    <x v="304"/>
  </r>
  <r>
    <x v="49"/>
    <x v="3"/>
    <x v="0"/>
    <s v="PhD"/>
    <n v="3"/>
    <n v="178.5"/>
    <x v="34"/>
    <x v="4"/>
    <x v="4"/>
    <n v="6.96"/>
    <x v="28"/>
    <x v="2"/>
    <x v="2"/>
    <x v="1"/>
    <x v="507"/>
    <x v="1"/>
    <x v="1"/>
    <x v="540"/>
  </r>
  <r>
    <x v="49"/>
    <x v="4"/>
    <x v="1"/>
    <s v="Bachelors"/>
    <n v="2"/>
    <n v="144.69999999999999"/>
    <x v="114"/>
    <x v="32"/>
    <x v="4"/>
    <n v="6.36"/>
    <x v="141"/>
    <x v="2"/>
    <x v="1"/>
    <x v="1"/>
    <x v="508"/>
    <x v="2"/>
    <x v="2"/>
    <x v="541"/>
  </r>
  <r>
    <x v="49"/>
    <x v="1"/>
    <x v="1"/>
    <s v="Bachelors"/>
    <n v="8"/>
    <n v="154.30000000000001"/>
    <x v="1"/>
    <x v="96"/>
    <x v="4"/>
    <n v="6.48"/>
    <x v="377"/>
    <x v="2"/>
    <x v="2"/>
    <x v="1"/>
    <x v="509"/>
    <x v="3"/>
    <x v="2"/>
    <x v="542"/>
  </r>
  <r>
    <x v="49"/>
    <x v="3"/>
    <x v="3"/>
    <s v="Masters"/>
    <n v="10"/>
    <n v="169.9"/>
    <x v="25"/>
    <x v="8"/>
    <x v="1"/>
    <n v="8.31"/>
    <x v="378"/>
    <x v="0"/>
    <x v="0"/>
    <x v="0"/>
    <x v="355"/>
    <x v="4"/>
    <x v="0"/>
    <x v="543"/>
  </r>
  <r>
    <x v="49"/>
    <x v="3"/>
    <x v="2"/>
    <s v="Masters"/>
    <n v="2"/>
    <n v="160.80000000000001"/>
    <x v="1"/>
    <x v="37"/>
    <x v="2"/>
    <n v="9.93"/>
    <x v="185"/>
    <x v="1"/>
    <x v="2"/>
    <x v="0"/>
    <x v="510"/>
    <x v="5"/>
    <x v="1"/>
    <x v="544"/>
  </r>
  <r>
    <x v="49"/>
    <x v="1"/>
    <x v="3"/>
    <s v="PhD"/>
    <n v="3"/>
    <n v="163.30000000000001"/>
    <x v="131"/>
    <x v="51"/>
    <x v="5"/>
    <n v="8"/>
    <x v="229"/>
    <x v="2"/>
    <x v="1"/>
    <x v="1"/>
    <x v="511"/>
    <x v="6"/>
    <x v="1"/>
    <x v="54"/>
  </r>
  <r>
    <x v="49"/>
    <x v="0"/>
    <x v="0"/>
    <s v="Masters"/>
    <n v="7"/>
    <n v="159.1"/>
    <x v="78"/>
    <x v="66"/>
    <x v="1"/>
    <n v="6.69"/>
    <x v="92"/>
    <x v="2"/>
    <x v="0"/>
    <x v="2"/>
    <x v="512"/>
    <x v="7"/>
    <x v="0"/>
    <x v="545"/>
  </r>
  <r>
    <x v="49"/>
    <x v="2"/>
    <x v="2"/>
    <s v="Bachelors"/>
    <n v="9"/>
    <n v="187.1"/>
    <x v="0"/>
    <x v="20"/>
    <x v="5"/>
    <n v="8.42"/>
    <x v="379"/>
    <x v="1"/>
    <x v="2"/>
    <x v="0"/>
    <x v="513"/>
    <x v="8"/>
    <x v="1"/>
    <x v="546"/>
  </r>
  <r>
    <x v="49"/>
    <x v="1"/>
    <x v="0"/>
    <s v="Masters"/>
    <n v="9"/>
    <n v="168.1"/>
    <x v="97"/>
    <x v="29"/>
    <x v="5"/>
    <n v="7.69"/>
    <x v="260"/>
    <x v="2"/>
    <x v="0"/>
    <x v="1"/>
    <x v="514"/>
    <x v="9"/>
    <x v="0"/>
    <x v="547"/>
  </r>
  <r>
    <x v="50"/>
    <x v="3"/>
    <x v="4"/>
    <s v="Bachelors"/>
    <n v="9"/>
    <n v="166.9"/>
    <x v="1"/>
    <x v="15"/>
    <x v="1"/>
    <n v="7.19"/>
    <x v="231"/>
    <x v="0"/>
    <x v="2"/>
    <x v="0"/>
    <x v="515"/>
    <x v="0"/>
    <x v="1"/>
    <x v="548"/>
  </r>
  <r>
    <x v="50"/>
    <x v="1"/>
    <x v="1"/>
    <s v="PhD"/>
    <n v="3"/>
    <n v="155.69999999999999"/>
    <x v="1"/>
    <x v="58"/>
    <x v="0"/>
    <n v="8.93"/>
    <x v="10"/>
    <x v="0"/>
    <x v="2"/>
    <x v="2"/>
    <x v="516"/>
    <x v="0"/>
    <x v="1"/>
    <x v="215"/>
  </r>
  <r>
    <x v="50"/>
    <x v="3"/>
    <x v="0"/>
    <s v="Bachelors"/>
    <n v="6"/>
    <n v="159.5"/>
    <x v="1"/>
    <x v="83"/>
    <x v="6"/>
    <n v="6.83"/>
    <x v="380"/>
    <x v="2"/>
    <x v="2"/>
    <x v="2"/>
    <x v="424"/>
    <x v="1"/>
    <x v="0"/>
    <x v="549"/>
  </r>
  <r>
    <x v="50"/>
    <x v="2"/>
    <x v="4"/>
    <s v="PhD"/>
    <n v="9"/>
    <n v="151.69999999999999"/>
    <x v="23"/>
    <x v="30"/>
    <x v="8"/>
    <n v="7.79"/>
    <x v="381"/>
    <x v="2"/>
    <x v="1"/>
    <x v="0"/>
    <x v="24"/>
    <x v="1"/>
    <x v="0"/>
    <x v="532"/>
  </r>
  <r>
    <x v="50"/>
    <x v="3"/>
    <x v="0"/>
    <s v="Bachelors"/>
    <n v="10"/>
    <n v="151.69999999999999"/>
    <x v="60"/>
    <x v="79"/>
    <x v="9"/>
    <n v="7.9"/>
    <x v="320"/>
    <x v="2"/>
    <x v="2"/>
    <x v="0"/>
    <x v="517"/>
    <x v="2"/>
    <x v="0"/>
    <x v="550"/>
  </r>
  <r>
    <x v="50"/>
    <x v="4"/>
    <x v="0"/>
    <s v="Masters"/>
    <n v="3"/>
    <n v="166.4"/>
    <x v="49"/>
    <x v="20"/>
    <x v="0"/>
    <n v="6.26"/>
    <x v="382"/>
    <x v="0"/>
    <x v="1"/>
    <x v="1"/>
    <x v="518"/>
    <x v="3"/>
    <x v="2"/>
    <x v="233"/>
  </r>
  <r>
    <x v="50"/>
    <x v="1"/>
    <x v="4"/>
    <s v="Masters"/>
    <n v="8"/>
    <n v="182.4"/>
    <x v="6"/>
    <x v="4"/>
    <x v="9"/>
    <n v="5.29"/>
    <x v="200"/>
    <x v="2"/>
    <x v="2"/>
    <x v="1"/>
    <x v="519"/>
    <x v="4"/>
    <x v="1"/>
    <x v="551"/>
  </r>
  <r>
    <x v="50"/>
    <x v="3"/>
    <x v="2"/>
    <s v="PhD"/>
    <n v="8"/>
    <n v="158.5"/>
    <x v="79"/>
    <x v="38"/>
    <x v="15"/>
    <n v="5.87"/>
    <x v="74"/>
    <x v="2"/>
    <x v="1"/>
    <x v="1"/>
    <x v="345"/>
    <x v="5"/>
    <x v="0"/>
    <x v="552"/>
  </r>
  <r>
    <x v="50"/>
    <x v="0"/>
    <x v="4"/>
    <s v="PhD"/>
    <n v="2"/>
    <n v="154.19999999999999"/>
    <x v="75"/>
    <x v="78"/>
    <x v="7"/>
    <m/>
    <x v="383"/>
    <x v="2"/>
    <x v="0"/>
    <x v="0"/>
    <x v="520"/>
    <x v="6"/>
    <x v="1"/>
    <x v="553"/>
  </r>
  <r>
    <x v="50"/>
    <x v="0"/>
    <x v="2"/>
    <s v="Bachelors"/>
    <n v="10"/>
    <n v="169.1"/>
    <x v="76"/>
    <x v="51"/>
    <x v="3"/>
    <n v="7.84"/>
    <x v="229"/>
    <x v="2"/>
    <x v="1"/>
    <x v="2"/>
    <x v="521"/>
    <x v="7"/>
    <x v="1"/>
    <x v="554"/>
  </r>
  <r>
    <x v="50"/>
    <x v="2"/>
    <x v="4"/>
    <s v="PhD"/>
    <n v="9"/>
    <n v="163.4"/>
    <x v="46"/>
    <x v="27"/>
    <x v="10"/>
    <n v="8.31"/>
    <x v="384"/>
    <x v="2"/>
    <x v="0"/>
    <x v="2"/>
    <x v="522"/>
    <x v="8"/>
    <x v="0"/>
    <x v="555"/>
  </r>
  <r>
    <x v="50"/>
    <x v="0"/>
    <x v="3"/>
    <s v="Masters"/>
    <n v="10"/>
    <n v="158.30000000000001"/>
    <x v="24"/>
    <x v="10"/>
    <x v="6"/>
    <n v="5.05"/>
    <x v="385"/>
    <x v="2"/>
    <x v="0"/>
    <x v="0"/>
    <x v="195"/>
    <x v="9"/>
    <x v="1"/>
    <x v="408"/>
  </r>
  <r>
    <x v="51"/>
    <x v="3"/>
    <x v="4"/>
    <s v="Masters"/>
    <n v="1"/>
    <n v="156.19999999999999"/>
    <x v="52"/>
    <x v="86"/>
    <x v="10"/>
    <n v="8.01"/>
    <x v="63"/>
    <x v="0"/>
    <x v="0"/>
    <x v="0"/>
    <x v="523"/>
    <x v="0"/>
    <x v="1"/>
    <x v="556"/>
  </r>
  <r>
    <x v="51"/>
    <x v="2"/>
    <x v="2"/>
    <s v="Bachelors"/>
    <n v="5"/>
    <n v="148.69999999999999"/>
    <x v="24"/>
    <x v="13"/>
    <x v="6"/>
    <n v="6.69"/>
    <x v="114"/>
    <x v="0"/>
    <x v="2"/>
    <x v="2"/>
    <x v="524"/>
    <x v="0"/>
    <x v="1"/>
    <x v="557"/>
  </r>
  <r>
    <x v="51"/>
    <x v="1"/>
    <x v="0"/>
    <s v="Bachelors"/>
    <n v="7"/>
    <n v="145.80000000000001"/>
    <x v="74"/>
    <x v="51"/>
    <x v="4"/>
    <n v="5.42"/>
    <x v="10"/>
    <x v="2"/>
    <x v="0"/>
    <x v="0"/>
    <x v="123"/>
    <x v="1"/>
    <x v="1"/>
    <x v="558"/>
  </r>
  <r>
    <x v="51"/>
    <x v="4"/>
    <x v="1"/>
    <s v="PhD"/>
    <n v="3"/>
    <n v="163"/>
    <x v="139"/>
    <x v="13"/>
    <x v="5"/>
    <n v="5.51"/>
    <x v="386"/>
    <x v="2"/>
    <x v="0"/>
    <x v="2"/>
    <x v="525"/>
    <x v="1"/>
    <x v="1"/>
    <x v="559"/>
  </r>
  <r>
    <x v="51"/>
    <x v="3"/>
    <x v="0"/>
    <s v="Bachelors"/>
    <n v="6"/>
    <n v="138.80000000000001"/>
    <x v="105"/>
    <x v="95"/>
    <x v="0"/>
    <n v="8.1999999999999993"/>
    <x v="387"/>
    <x v="0"/>
    <x v="1"/>
    <x v="2"/>
    <x v="526"/>
    <x v="2"/>
    <x v="1"/>
    <x v="560"/>
  </r>
  <r>
    <x v="51"/>
    <x v="4"/>
    <x v="3"/>
    <s v="Masters"/>
    <n v="6"/>
    <n v="170.8"/>
    <x v="1"/>
    <x v="20"/>
    <x v="1"/>
    <m/>
    <x v="388"/>
    <x v="2"/>
    <x v="1"/>
    <x v="0"/>
    <x v="527"/>
    <x v="3"/>
    <x v="2"/>
    <x v="561"/>
  </r>
  <r>
    <x v="51"/>
    <x v="0"/>
    <x v="1"/>
    <s v="Masters"/>
    <n v="4"/>
    <n v="171.1"/>
    <x v="92"/>
    <x v="21"/>
    <x v="8"/>
    <n v="7.78"/>
    <x v="389"/>
    <x v="2"/>
    <x v="0"/>
    <x v="1"/>
    <x v="250"/>
    <x v="4"/>
    <x v="0"/>
    <x v="562"/>
  </r>
  <r>
    <x v="51"/>
    <x v="2"/>
    <x v="4"/>
    <s v="Masters"/>
    <n v="7"/>
    <n v="152"/>
    <x v="95"/>
    <x v="79"/>
    <x v="6"/>
    <n v="6.84"/>
    <x v="390"/>
    <x v="2"/>
    <x v="1"/>
    <x v="0"/>
    <x v="528"/>
    <x v="5"/>
    <x v="2"/>
    <x v="49"/>
  </r>
  <r>
    <x v="51"/>
    <x v="0"/>
    <x v="3"/>
    <s v="PhD"/>
    <n v="6"/>
    <n v="156"/>
    <x v="76"/>
    <x v="4"/>
    <x v="3"/>
    <n v="5.18"/>
    <x v="343"/>
    <x v="2"/>
    <x v="1"/>
    <x v="1"/>
    <x v="491"/>
    <x v="6"/>
    <x v="1"/>
    <x v="563"/>
  </r>
  <r>
    <x v="51"/>
    <x v="2"/>
    <x v="3"/>
    <s v="Masters"/>
    <n v="4"/>
    <n v="159.6"/>
    <x v="105"/>
    <x v="39"/>
    <x v="5"/>
    <n v="7.83"/>
    <x v="279"/>
    <x v="2"/>
    <x v="1"/>
    <x v="2"/>
    <x v="529"/>
    <x v="7"/>
    <x v="0"/>
    <x v="564"/>
  </r>
  <r>
    <x v="51"/>
    <x v="4"/>
    <x v="2"/>
    <s v="Bachelors"/>
    <n v="4"/>
    <n v="166.1"/>
    <x v="43"/>
    <x v="35"/>
    <x v="5"/>
    <n v="7.59"/>
    <x v="349"/>
    <x v="0"/>
    <x v="2"/>
    <x v="1"/>
    <x v="530"/>
    <x v="8"/>
    <x v="0"/>
    <x v="565"/>
  </r>
  <r>
    <x v="51"/>
    <x v="1"/>
    <x v="4"/>
    <s v="PhD"/>
    <n v="8"/>
    <n v="155.4"/>
    <x v="1"/>
    <x v="48"/>
    <x v="5"/>
    <n v="9.92"/>
    <x v="391"/>
    <x v="2"/>
    <x v="1"/>
    <x v="1"/>
    <x v="531"/>
    <x v="9"/>
    <x v="2"/>
    <x v="566"/>
  </r>
  <r>
    <x v="52"/>
    <x v="4"/>
    <x v="1"/>
    <s v="Bachelors"/>
    <n v="7"/>
    <n v="145.4"/>
    <x v="121"/>
    <x v="18"/>
    <x v="8"/>
    <m/>
    <x v="392"/>
    <x v="2"/>
    <x v="0"/>
    <x v="2"/>
    <x v="532"/>
    <x v="0"/>
    <x v="1"/>
    <x v="567"/>
  </r>
  <r>
    <x v="52"/>
    <x v="3"/>
    <x v="2"/>
    <s v="Bachelors"/>
    <n v="10"/>
    <n v="162.30000000000001"/>
    <x v="82"/>
    <x v="54"/>
    <x v="0"/>
    <n v="7.12"/>
    <x v="36"/>
    <x v="2"/>
    <x v="1"/>
    <x v="0"/>
    <x v="533"/>
    <x v="0"/>
    <x v="0"/>
    <x v="568"/>
  </r>
  <r>
    <x v="52"/>
    <x v="4"/>
    <x v="3"/>
    <s v="Masters"/>
    <n v="5"/>
    <n v="143.80000000000001"/>
    <x v="12"/>
    <x v="97"/>
    <x v="6"/>
    <n v="6.13"/>
    <x v="393"/>
    <x v="0"/>
    <x v="0"/>
    <x v="2"/>
    <x v="534"/>
    <x v="1"/>
    <x v="2"/>
    <x v="569"/>
  </r>
  <r>
    <x v="52"/>
    <x v="0"/>
    <x v="3"/>
    <s v="Masters"/>
    <n v="4"/>
    <n v="151.9"/>
    <x v="0"/>
    <x v="45"/>
    <x v="5"/>
    <n v="7.98"/>
    <x v="69"/>
    <x v="0"/>
    <x v="1"/>
    <x v="1"/>
    <x v="535"/>
    <x v="1"/>
    <x v="0"/>
    <x v="570"/>
  </r>
  <r>
    <x v="52"/>
    <x v="4"/>
    <x v="4"/>
    <s v="PhD"/>
    <n v="8"/>
    <n v="151.6"/>
    <x v="3"/>
    <x v="4"/>
    <x v="12"/>
    <n v="6.87"/>
    <x v="394"/>
    <x v="0"/>
    <x v="1"/>
    <x v="2"/>
    <x v="536"/>
    <x v="2"/>
    <x v="2"/>
    <x v="571"/>
  </r>
  <r>
    <x v="52"/>
    <x v="0"/>
    <x v="1"/>
    <s v="Masters"/>
    <n v="1"/>
    <n v="166"/>
    <x v="40"/>
    <x v="86"/>
    <x v="8"/>
    <n v="4.37"/>
    <x v="342"/>
    <x v="2"/>
    <x v="1"/>
    <x v="2"/>
    <x v="537"/>
    <x v="3"/>
    <x v="2"/>
    <x v="572"/>
  </r>
  <r>
    <x v="52"/>
    <x v="3"/>
    <x v="4"/>
    <s v="Masters"/>
    <n v="10"/>
    <n v="146.4"/>
    <x v="5"/>
    <x v="7"/>
    <x v="6"/>
    <n v="8.91"/>
    <x v="10"/>
    <x v="2"/>
    <x v="0"/>
    <x v="2"/>
    <x v="538"/>
    <x v="4"/>
    <x v="0"/>
    <x v="573"/>
  </r>
  <r>
    <x v="52"/>
    <x v="3"/>
    <x v="2"/>
    <s v="PhD"/>
    <n v="4"/>
    <n v="152.5"/>
    <x v="149"/>
    <x v="26"/>
    <x v="4"/>
    <n v="9.4"/>
    <x v="395"/>
    <x v="2"/>
    <x v="2"/>
    <x v="0"/>
    <x v="539"/>
    <x v="5"/>
    <x v="0"/>
    <x v="574"/>
  </r>
  <r>
    <x v="52"/>
    <x v="3"/>
    <x v="3"/>
    <s v="PhD"/>
    <n v="6"/>
    <n v="157.4"/>
    <x v="26"/>
    <x v="29"/>
    <x v="0"/>
    <n v="8.19"/>
    <x v="319"/>
    <x v="2"/>
    <x v="2"/>
    <x v="0"/>
    <x v="540"/>
    <x v="6"/>
    <x v="0"/>
    <x v="362"/>
  </r>
  <r>
    <x v="52"/>
    <x v="4"/>
    <x v="3"/>
    <s v="Bachelors"/>
    <n v="3"/>
    <n v="149.9"/>
    <x v="73"/>
    <x v="40"/>
    <x v="3"/>
    <n v="7.11"/>
    <x v="369"/>
    <x v="2"/>
    <x v="0"/>
    <x v="2"/>
    <x v="541"/>
    <x v="7"/>
    <x v="1"/>
    <x v="575"/>
  </r>
  <r>
    <x v="52"/>
    <x v="3"/>
    <x v="2"/>
    <s v="PhD"/>
    <n v="1"/>
    <n v="160.9"/>
    <x v="157"/>
    <x v="72"/>
    <x v="0"/>
    <n v="5.75"/>
    <x v="268"/>
    <x v="0"/>
    <x v="1"/>
    <x v="2"/>
    <x v="542"/>
    <x v="8"/>
    <x v="1"/>
    <x v="576"/>
  </r>
  <r>
    <x v="52"/>
    <x v="4"/>
    <x v="3"/>
    <s v="Masters"/>
    <n v="1"/>
    <n v="163"/>
    <x v="72"/>
    <x v="58"/>
    <x v="0"/>
    <n v="8.84"/>
    <x v="396"/>
    <x v="0"/>
    <x v="0"/>
    <x v="0"/>
    <x v="543"/>
    <x v="9"/>
    <x v="1"/>
    <x v="370"/>
  </r>
  <r>
    <x v="53"/>
    <x v="2"/>
    <x v="1"/>
    <s v="PhD"/>
    <n v="6"/>
    <n v="172.5"/>
    <x v="139"/>
    <x v="44"/>
    <x v="3"/>
    <n v="9.06"/>
    <x v="397"/>
    <x v="2"/>
    <x v="2"/>
    <x v="0"/>
    <x v="120"/>
    <x v="0"/>
    <x v="1"/>
    <x v="577"/>
  </r>
  <r>
    <x v="53"/>
    <x v="2"/>
    <x v="0"/>
    <s v="PhD"/>
    <n v="7"/>
    <n v="176.2"/>
    <x v="66"/>
    <x v="20"/>
    <x v="6"/>
    <n v="7.48"/>
    <x v="398"/>
    <x v="2"/>
    <x v="0"/>
    <x v="1"/>
    <x v="544"/>
    <x v="0"/>
    <x v="1"/>
    <x v="326"/>
  </r>
  <r>
    <x v="53"/>
    <x v="1"/>
    <x v="2"/>
    <s v="Masters"/>
    <n v="9"/>
    <n v="160.19999999999999"/>
    <x v="96"/>
    <x v="41"/>
    <x v="10"/>
    <n v="7.72"/>
    <x v="10"/>
    <x v="0"/>
    <x v="2"/>
    <x v="0"/>
    <x v="545"/>
    <x v="1"/>
    <x v="2"/>
    <x v="578"/>
  </r>
  <r>
    <x v="53"/>
    <x v="4"/>
    <x v="2"/>
    <s v="Bachelors"/>
    <n v="9"/>
    <n v="164"/>
    <x v="56"/>
    <x v="28"/>
    <x v="1"/>
    <n v="6.67"/>
    <x v="162"/>
    <x v="2"/>
    <x v="2"/>
    <x v="2"/>
    <x v="546"/>
    <x v="1"/>
    <x v="1"/>
    <x v="579"/>
  </r>
  <r>
    <x v="53"/>
    <x v="1"/>
    <x v="3"/>
    <s v="PhD"/>
    <n v="1"/>
    <n v="161.69999999999999"/>
    <x v="82"/>
    <x v="74"/>
    <x v="12"/>
    <n v="6.31"/>
    <x v="261"/>
    <x v="2"/>
    <x v="1"/>
    <x v="1"/>
    <x v="547"/>
    <x v="2"/>
    <x v="2"/>
    <x v="580"/>
  </r>
  <r>
    <x v="53"/>
    <x v="4"/>
    <x v="2"/>
    <s v="Bachelors"/>
    <n v="2"/>
    <n v="143.5"/>
    <x v="99"/>
    <x v="73"/>
    <x v="8"/>
    <n v="6.55"/>
    <x v="399"/>
    <x v="2"/>
    <x v="0"/>
    <x v="1"/>
    <x v="548"/>
    <x v="3"/>
    <x v="1"/>
    <x v="581"/>
  </r>
  <r>
    <x v="53"/>
    <x v="4"/>
    <x v="4"/>
    <s v="Masters"/>
    <n v="7"/>
    <n v="147.80000000000001"/>
    <x v="148"/>
    <x v="36"/>
    <x v="8"/>
    <n v="7.76"/>
    <x v="213"/>
    <x v="2"/>
    <x v="2"/>
    <x v="1"/>
    <x v="222"/>
    <x v="4"/>
    <x v="0"/>
    <x v="582"/>
  </r>
  <r>
    <x v="53"/>
    <x v="4"/>
    <x v="4"/>
    <s v="Bachelors"/>
    <n v="5"/>
    <n v="171.2"/>
    <x v="121"/>
    <x v="71"/>
    <x v="10"/>
    <n v="6.26"/>
    <x v="253"/>
    <x v="0"/>
    <x v="0"/>
    <x v="1"/>
    <x v="289"/>
    <x v="5"/>
    <x v="0"/>
    <x v="583"/>
  </r>
  <r>
    <x v="53"/>
    <x v="2"/>
    <x v="4"/>
    <s v="PhD"/>
    <n v="4"/>
    <n v="154.80000000000001"/>
    <x v="158"/>
    <x v="25"/>
    <x v="4"/>
    <n v="5.57"/>
    <x v="140"/>
    <x v="2"/>
    <x v="1"/>
    <x v="0"/>
    <x v="211"/>
    <x v="6"/>
    <x v="0"/>
    <x v="584"/>
  </r>
  <r>
    <x v="53"/>
    <x v="1"/>
    <x v="3"/>
    <s v="Bachelors"/>
    <n v="2"/>
    <n v="160.5"/>
    <x v="104"/>
    <x v="42"/>
    <x v="4"/>
    <n v="7.51"/>
    <x v="400"/>
    <x v="2"/>
    <x v="2"/>
    <x v="1"/>
    <x v="549"/>
    <x v="7"/>
    <x v="2"/>
    <x v="585"/>
  </r>
  <r>
    <x v="53"/>
    <x v="0"/>
    <x v="4"/>
    <s v="PhD"/>
    <n v="8"/>
    <n v="169.3"/>
    <x v="75"/>
    <x v="17"/>
    <x v="1"/>
    <n v="6.63"/>
    <x v="401"/>
    <x v="2"/>
    <x v="2"/>
    <x v="1"/>
    <x v="529"/>
    <x v="8"/>
    <x v="0"/>
    <x v="386"/>
  </r>
  <r>
    <x v="53"/>
    <x v="4"/>
    <x v="3"/>
    <s v="Masters"/>
    <n v="3"/>
    <n v="156.19999999999999"/>
    <x v="145"/>
    <x v="10"/>
    <x v="4"/>
    <n v="9.43"/>
    <x v="311"/>
    <x v="2"/>
    <x v="1"/>
    <x v="0"/>
    <x v="365"/>
    <x v="9"/>
    <x v="0"/>
    <x v="586"/>
  </r>
  <r>
    <x v="54"/>
    <x v="0"/>
    <x v="3"/>
    <s v="Bachelors"/>
    <n v="1"/>
    <n v="158.1"/>
    <x v="81"/>
    <x v="10"/>
    <x v="6"/>
    <m/>
    <x v="159"/>
    <x v="2"/>
    <x v="2"/>
    <x v="1"/>
    <x v="550"/>
    <x v="0"/>
    <x v="0"/>
    <x v="71"/>
  </r>
  <r>
    <x v="54"/>
    <x v="2"/>
    <x v="4"/>
    <s v="PhD"/>
    <n v="7"/>
    <n v="161.80000000000001"/>
    <x v="95"/>
    <x v="46"/>
    <x v="8"/>
    <n v="7.03"/>
    <x v="402"/>
    <x v="0"/>
    <x v="2"/>
    <x v="1"/>
    <x v="21"/>
    <x v="0"/>
    <x v="2"/>
    <x v="37"/>
  </r>
  <r>
    <x v="54"/>
    <x v="1"/>
    <x v="2"/>
    <s v="Masters"/>
    <n v="4"/>
    <n v="159.30000000000001"/>
    <x v="46"/>
    <x v="5"/>
    <x v="4"/>
    <n v="8.74"/>
    <x v="51"/>
    <x v="2"/>
    <x v="0"/>
    <x v="2"/>
    <x v="218"/>
    <x v="1"/>
    <x v="1"/>
    <x v="587"/>
  </r>
  <r>
    <x v="54"/>
    <x v="2"/>
    <x v="4"/>
    <s v="Bachelors"/>
    <n v="4"/>
    <n v="161.69999999999999"/>
    <x v="93"/>
    <x v="53"/>
    <x v="6"/>
    <n v="6.11"/>
    <x v="403"/>
    <x v="2"/>
    <x v="0"/>
    <x v="0"/>
    <x v="551"/>
    <x v="1"/>
    <x v="2"/>
    <x v="588"/>
  </r>
  <r>
    <x v="54"/>
    <x v="4"/>
    <x v="0"/>
    <s v="Masters"/>
    <n v="8"/>
    <n v="154.5"/>
    <x v="2"/>
    <x v="32"/>
    <x v="4"/>
    <n v="8.92"/>
    <x v="218"/>
    <x v="2"/>
    <x v="0"/>
    <x v="0"/>
    <x v="206"/>
    <x v="2"/>
    <x v="2"/>
    <x v="589"/>
  </r>
  <r>
    <x v="54"/>
    <x v="0"/>
    <x v="1"/>
    <s v="Masters"/>
    <n v="2"/>
    <n v="166.4"/>
    <x v="60"/>
    <x v="27"/>
    <x v="4"/>
    <n v="7.36"/>
    <x v="400"/>
    <x v="0"/>
    <x v="0"/>
    <x v="2"/>
    <x v="289"/>
    <x v="3"/>
    <x v="0"/>
    <x v="590"/>
  </r>
  <r>
    <x v="54"/>
    <x v="4"/>
    <x v="1"/>
    <s v="PhD"/>
    <n v="8"/>
    <n v="167.8"/>
    <x v="41"/>
    <x v="29"/>
    <x v="5"/>
    <n v="5.14"/>
    <x v="363"/>
    <x v="2"/>
    <x v="0"/>
    <x v="2"/>
    <x v="138"/>
    <x v="4"/>
    <x v="1"/>
    <x v="591"/>
  </r>
  <r>
    <x v="54"/>
    <x v="4"/>
    <x v="0"/>
    <s v="Masters"/>
    <n v="9"/>
    <n v="159.4"/>
    <x v="1"/>
    <x v="8"/>
    <x v="8"/>
    <n v="8.08"/>
    <x v="239"/>
    <x v="2"/>
    <x v="2"/>
    <x v="1"/>
    <x v="552"/>
    <x v="5"/>
    <x v="1"/>
    <x v="395"/>
  </r>
  <r>
    <x v="54"/>
    <x v="4"/>
    <x v="3"/>
    <s v="Bachelors"/>
    <n v="6"/>
    <n v="150.6"/>
    <x v="1"/>
    <x v="83"/>
    <x v="0"/>
    <n v="8.99"/>
    <x v="404"/>
    <x v="0"/>
    <x v="0"/>
    <x v="0"/>
    <x v="394"/>
    <x v="6"/>
    <x v="2"/>
    <x v="592"/>
  </r>
  <r>
    <x v="54"/>
    <x v="0"/>
    <x v="0"/>
    <s v="Masters"/>
    <n v="5"/>
    <n v="157.4"/>
    <x v="159"/>
    <x v="4"/>
    <x v="0"/>
    <n v="10"/>
    <x v="117"/>
    <x v="0"/>
    <x v="2"/>
    <x v="0"/>
    <x v="21"/>
    <x v="7"/>
    <x v="2"/>
    <x v="362"/>
  </r>
  <r>
    <x v="54"/>
    <x v="1"/>
    <x v="1"/>
    <s v="PhD"/>
    <n v="10"/>
    <n v="140.19999999999999"/>
    <x v="147"/>
    <x v="18"/>
    <x v="6"/>
    <n v="7.2"/>
    <x v="405"/>
    <x v="2"/>
    <x v="1"/>
    <x v="1"/>
    <x v="553"/>
    <x v="8"/>
    <x v="1"/>
    <x v="593"/>
  </r>
  <r>
    <x v="54"/>
    <x v="1"/>
    <x v="3"/>
    <s v="PhD"/>
    <n v="10"/>
    <n v="142.6"/>
    <x v="21"/>
    <x v="40"/>
    <x v="8"/>
    <n v="7.82"/>
    <x v="281"/>
    <x v="0"/>
    <x v="0"/>
    <x v="2"/>
    <x v="554"/>
    <x v="9"/>
    <x v="2"/>
    <x v="27"/>
  </r>
  <r>
    <x v="55"/>
    <x v="1"/>
    <x v="2"/>
    <s v="PhD"/>
    <n v="2"/>
    <n v="153"/>
    <x v="1"/>
    <x v="4"/>
    <x v="5"/>
    <n v="6.35"/>
    <x v="314"/>
    <x v="0"/>
    <x v="1"/>
    <x v="0"/>
    <x v="555"/>
    <x v="0"/>
    <x v="0"/>
    <x v="594"/>
  </r>
  <r>
    <x v="55"/>
    <x v="4"/>
    <x v="2"/>
    <s v="Bachelors"/>
    <n v="10"/>
    <n v="155.4"/>
    <x v="68"/>
    <x v="49"/>
    <x v="5"/>
    <n v="7.71"/>
    <x v="406"/>
    <x v="2"/>
    <x v="2"/>
    <x v="1"/>
    <x v="484"/>
    <x v="0"/>
    <x v="0"/>
    <x v="566"/>
  </r>
  <r>
    <x v="55"/>
    <x v="1"/>
    <x v="2"/>
    <s v="PhD"/>
    <n v="10"/>
    <n v="187.1"/>
    <x v="1"/>
    <x v="25"/>
    <x v="5"/>
    <n v="9.2799999999999994"/>
    <x v="407"/>
    <x v="2"/>
    <x v="0"/>
    <x v="2"/>
    <x v="556"/>
    <x v="1"/>
    <x v="1"/>
    <x v="546"/>
  </r>
  <r>
    <x v="55"/>
    <x v="0"/>
    <x v="1"/>
    <s v="Bachelors"/>
    <n v="6"/>
    <n v="158.6"/>
    <x v="75"/>
    <x v="64"/>
    <x v="1"/>
    <n v="6.02"/>
    <x v="180"/>
    <x v="2"/>
    <x v="0"/>
    <x v="1"/>
    <x v="557"/>
    <x v="1"/>
    <x v="0"/>
    <x v="595"/>
  </r>
  <r>
    <x v="55"/>
    <x v="0"/>
    <x v="4"/>
    <s v="Bachelors"/>
    <n v="1"/>
    <n v="151.30000000000001"/>
    <x v="36"/>
    <x v="44"/>
    <x v="8"/>
    <n v="9.25"/>
    <x v="272"/>
    <x v="0"/>
    <x v="2"/>
    <x v="0"/>
    <x v="558"/>
    <x v="2"/>
    <x v="1"/>
    <x v="596"/>
  </r>
  <r>
    <x v="55"/>
    <x v="3"/>
    <x v="3"/>
    <s v="Bachelors"/>
    <n v="1"/>
    <n v="155.6"/>
    <x v="1"/>
    <x v="13"/>
    <x v="10"/>
    <n v="8.02"/>
    <x v="88"/>
    <x v="2"/>
    <x v="0"/>
    <x v="0"/>
    <x v="497"/>
    <x v="3"/>
    <x v="2"/>
    <x v="597"/>
  </r>
  <r>
    <x v="55"/>
    <x v="3"/>
    <x v="2"/>
    <s v="PhD"/>
    <n v="7"/>
    <n v="159.69999999999999"/>
    <x v="1"/>
    <x v="17"/>
    <x v="4"/>
    <n v="6.76"/>
    <x v="91"/>
    <x v="2"/>
    <x v="2"/>
    <x v="2"/>
    <x v="559"/>
    <x v="4"/>
    <x v="2"/>
    <x v="598"/>
  </r>
  <r>
    <x v="55"/>
    <x v="2"/>
    <x v="2"/>
    <s v="PhD"/>
    <n v="10"/>
    <n v="184.6"/>
    <x v="16"/>
    <x v="53"/>
    <x v="0"/>
    <m/>
    <x v="254"/>
    <x v="2"/>
    <x v="0"/>
    <x v="1"/>
    <x v="560"/>
    <x v="5"/>
    <x v="1"/>
    <x v="599"/>
  </r>
  <r>
    <x v="55"/>
    <x v="0"/>
    <x v="3"/>
    <s v="Masters"/>
    <n v="3"/>
    <n v="167"/>
    <x v="32"/>
    <x v="0"/>
    <x v="0"/>
    <n v="7.39"/>
    <x v="322"/>
    <x v="1"/>
    <x v="0"/>
    <x v="1"/>
    <x v="262"/>
    <x v="6"/>
    <x v="2"/>
    <x v="600"/>
  </r>
  <r>
    <x v="55"/>
    <x v="1"/>
    <x v="3"/>
    <s v="PhD"/>
    <n v="1"/>
    <n v="167.2"/>
    <x v="67"/>
    <x v="41"/>
    <x v="0"/>
    <m/>
    <x v="408"/>
    <x v="0"/>
    <x v="2"/>
    <x v="0"/>
    <x v="336"/>
    <x v="7"/>
    <x v="0"/>
    <x v="601"/>
  </r>
  <r>
    <x v="55"/>
    <x v="1"/>
    <x v="3"/>
    <s v="Bachelors"/>
    <n v="3"/>
    <n v="164.5"/>
    <x v="83"/>
    <x v="27"/>
    <x v="0"/>
    <n v="8.5"/>
    <x v="115"/>
    <x v="2"/>
    <x v="1"/>
    <x v="2"/>
    <x v="561"/>
    <x v="8"/>
    <x v="2"/>
    <x v="602"/>
  </r>
  <r>
    <x v="55"/>
    <x v="0"/>
    <x v="1"/>
    <s v="Masters"/>
    <n v="4"/>
    <n v="156.4"/>
    <x v="1"/>
    <x v="29"/>
    <x v="5"/>
    <n v="7.69"/>
    <x v="185"/>
    <x v="0"/>
    <x v="2"/>
    <x v="0"/>
    <x v="562"/>
    <x v="9"/>
    <x v="1"/>
    <x v="603"/>
  </r>
  <r>
    <x v="56"/>
    <x v="2"/>
    <x v="2"/>
    <s v="Masters"/>
    <n v="8"/>
    <n v="159.30000000000001"/>
    <x v="1"/>
    <x v="44"/>
    <x v="5"/>
    <n v="8.85"/>
    <x v="409"/>
    <x v="0"/>
    <x v="2"/>
    <x v="0"/>
    <x v="563"/>
    <x v="0"/>
    <x v="1"/>
    <x v="604"/>
  </r>
  <r>
    <x v="56"/>
    <x v="2"/>
    <x v="2"/>
    <s v="Masters"/>
    <n v="9"/>
    <n v="158"/>
    <x v="70"/>
    <x v="4"/>
    <x v="8"/>
    <n v="8.93"/>
    <x v="19"/>
    <x v="0"/>
    <x v="1"/>
    <x v="2"/>
    <x v="268"/>
    <x v="0"/>
    <x v="0"/>
    <x v="605"/>
  </r>
  <r>
    <x v="56"/>
    <x v="2"/>
    <x v="1"/>
    <s v="PhD"/>
    <n v="5"/>
    <n v="148.6"/>
    <x v="26"/>
    <x v="69"/>
    <x v="10"/>
    <n v="7.32"/>
    <x v="10"/>
    <x v="0"/>
    <x v="1"/>
    <x v="2"/>
    <x v="187"/>
    <x v="1"/>
    <x v="0"/>
    <x v="606"/>
  </r>
  <r>
    <x v="56"/>
    <x v="3"/>
    <x v="1"/>
    <s v="Bachelors"/>
    <n v="6"/>
    <n v="165.1"/>
    <x v="1"/>
    <x v="40"/>
    <x v="4"/>
    <n v="8.27"/>
    <x v="21"/>
    <x v="2"/>
    <x v="0"/>
    <x v="2"/>
    <x v="564"/>
    <x v="1"/>
    <x v="1"/>
    <x v="607"/>
  </r>
  <r>
    <x v="56"/>
    <x v="2"/>
    <x v="0"/>
    <s v="Masters"/>
    <n v="5"/>
    <n v="170.9"/>
    <x v="32"/>
    <x v="53"/>
    <x v="1"/>
    <n v="8.73"/>
    <x v="269"/>
    <x v="2"/>
    <x v="1"/>
    <x v="2"/>
    <x v="565"/>
    <x v="2"/>
    <x v="2"/>
    <x v="608"/>
  </r>
  <r>
    <x v="56"/>
    <x v="1"/>
    <x v="1"/>
    <s v="Masters"/>
    <n v="5"/>
    <n v="157.69999999999999"/>
    <x v="106"/>
    <x v="46"/>
    <x v="4"/>
    <n v="7.27"/>
    <x v="410"/>
    <x v="0"/>
    <x v="2"/>
    <x v="1"/>
    <x v="566"/>
    <x v="3"/>
    <x v="2"/>
    <x v="609"/>
  </r>
  <r>
    <x v="56"/>
    <x v="4"/>
    <x v="2"/>
    <s v="PhD"/>
    <n v="4"/>
    <n v="175.6"/>
    <x v="87"/>
    <x v="35"/>
    <x v="6"/>
    <n v="6.97"/>
    <x v="411"/>
    <x v="2"/>
    <x v="0"/>
    <x v="2"/>
    <x v="567"/>
    <x v="4"/>
    <x v="0"/>
    <x v="610"/>
  </r>
  <r>
    <x v="56"/>
    <x v="4"/>
    <x v="2"/>
    <s v="Bachelors"/>
    <n v="3"/>
    <n v="158"/>
    <x v="88"/>
    <x v="29"/>
    <x v="3"/>
    <n v="8.93"/>
    <x v="222"/>
    <x v="0"/>
    <x v="1"/>
    <x v="1"/>
    <x v="563"/>
    <x v="5"/>
    <x v="1"/>
    <x v="611"/>
  </r>
  <r>
    <x v="56"/>
    <x v="0"/>
    <x v="1"/>
    <s v="Masters"/>
    <n v="3"/>
    <n v="156.6"/>
    <x v="1"/>
    <x v="25"/>
    <x v="4"/>
    <n v="7.24"/>
    <x v="412"/>
    <x v="1"/>
    <x v="1"/>
    <x v="2"/>
    <x v="568"/>
    <x v="6"/>
    <x v="1"/>
    <x v="612"/>
  </r>
  <r>
    <x v="56"/>
    <x v="1"/>
    <x v="4"/>
    <s v="Masters"/>
    <n v="10"/>
    <n v="149.69999999999999"/>
    <x v="109"/>
    <x v="10"/>
    <x v="8"/>
    <n v="8.33"/>
    <x v="174"/>
    <x v="2"/>
    <x v="1"/>
    <x v="2"/>
    <x v="569"/>
    <x v="7"/>
    <x v="1"/>
    <x v="176"/>
  </r>
  <r>
    <x v="56"/>
    <x v="2"/>
    <x v="2"/>
    <s v="PhD"/>
    <n v="10"/>
    <n v="164"/>
    <x v="156"/>
    <x v="17"/>
    <x v="3"/>
    <n v="7.46"/>
    <x v="143"/>
    <x v="0"/>
    <x v="2"/>
    <x v="0"/>
    <x v="570"/>
    <x v="8"/>
    <x v="0"/>
    <x v="613"/>
  </r>
  <r>
    <x v="56"/>
    <x v="2"/>
    <x v="0"/>
    <s v="Masters"/>
    <n v="6"/>
    <n v="144.6"/>
    <x v="154"/>
    <x v="20"/>
    <x v="5"/>
    <n v="5.13"/>
    <x v="10"/>
    <x v="0"/>
    <x v="2"/>
    <x v="2"/>
    <x v="571"/>
    <x v="9"/>
    <x v="1"/>
    <x v="614"/>
  </r>
  <r>
    <x v="57"/>
    <x v="2"/>
    <x v="0"/>
    <s v="PhD"/>
    <n v="8"/>
    <n v="175.1"/>
    <x v="160"/>
    <x v="41"/>
    <x v="0"/>
    <n v="7.86"/>
    <x v="363"/>
    <x v="0"/>
    <x v="0"/>
    <x v="1"/>
    <x v="572"/>
    <x v="0"/>
    <x v="2"/>
    <x v="615"/>
  </r>
  <r>
    <x v="57"/>
    <x v="1"/>
    <x v="2"/>
    <s v="Bachelors"/>
    <n v="5"/>
    <n v="154.9"/>
    <x v="110"/>
    <x v="19"/>
    <x v="8"/>
    <n v="7.32"/>
    <x v="60"/>
    <x v="2"/>
    <x v="2"/>
    <x v="1"/>
    <x v="573"/>
    <x v="0"/>
    <x v="0"/>
    <x v="375"/>
  </r>
  <r>
    <x v="57"/>
    <x v="1"/>
    <x v="3"/>
    <s v="Bachelors"/>
    <n v="7"/>
    <n v="173.9"/>
    <x v="49"/>
    <x v="16"/>
    <x v="5"/>
    <n v="7.87"/>
    <x v="27"/>
    <x v="2"/>
    <x v="0"/>
    <x v="2"/>
    <x v="574"/>
    <x v="1"/>
    <x v="0"/>
    <x v="616"/>
  </r>
  <r>
    <x v="57"/>
    <x v="3"/>
    <x v="0"/>
    <s v="Masters"/>
    <n v="6"/>
    <n v="138.4"/>
    <x v="42"/>
    <x v="48"/>
    <x v="5"/>
    <n v="6.92"/>
    <x v="413"/>
    <x v="2"/>
    <x v="1"/>
    <x v="0"/>
    <x v="189"/>
    <x v="1"/>
    <x v="1"/>
    <x v="617"/>
  </r>
  <r>
    <x v="57"/>
    <x v="1"/>
    <x v="4"/>
    <s v="PhD"/>
    <n v="1"/>
    <n v="139.9"/>
    <x v="46"/>
    <x v="4"/>
    <x v="6"/>
    <n v="5.27"/>
    <x v="159"/>
    <x v="2"/>
    <x v="0"/>
    <x v="1"/>
    <x v="575"/>
    <x v="2"/>
    <x v="1"/>
    <x v="618"/>
  </r>
  <r>
    <x v="57"/>
    <x v="2"/>
    <x v="2"/>
    <s v="Bachelors"/>
    <n v="3"/>
    <n v="164.5"/>
    <x v="8"/>
    <x v="32"/>
    <x v="1"/>
    <n v="8.73"/>
    <x v="414"/>
    <x v="0"/>
    <x v="2"/>
    <x v="0"/>
    <x v="576"/>
    <x v="3"/>
    <x v="1"/>
    <x v="619"/>
  </r>
  <r>
    <x v="57"/>
    <x v="1"/>
    <x v="1"/>
    <s v="Bachelors"/>
    <n v="2"/>
    <n v="176.8"/>
    <x v="75"/>
    <x v="67"/>
    <x v="8"/>
    <n v="7.31"/>
    <x v="415"/>
    <x v="2"/>
    <x v="2"/>
    <x v="2"/>
    <x v="577"/>
    <x v="4"/>
    <x v="0"/>
    <x v="620"/>
  </r>
  <r>
    <x v="57"/>
    <x v="2"/>
    <x v="3"/>
    <s v="PhD"/>
    <n v="5"/>
    <n v="166.3"/>
    <x v="76"/>
    <x v="81"/>
    <x v="8"/>
    <n v="10"/>
    <x v="388"/>
    <x v="2"/>
    <x v="2"/>
    <x v="0"/>
    <x v="578"/>
    <x v="5"/>
    <x v="1"/>
    <x v="328"/>
  </r>
  <r>
    <x v="57"/>
    <x v="3"/>
    <x v="3"/>
    <s v="Masters"/>
    <n v="3"/>
    <n v="154.6"/>
    <x v="99"/>
    <x v="23"/>
    <x v="6"/>
    <n v="7.83"/>
    <x v="285"/>
    <x v="2"/>
    <x v="2"/>
    <x v="2"/>
    <x v="579"/>
    <x v="6"/>
    <x v="1"/>
    <x v="621"/>
  </r>
  <r>
    <x v="57"/>
    <x v="2"/>
    <x v="0"/>
    <s v="Bachelors"/>
    <n v="3"/>
    <n v="171.8"/>
    <x v="47"/>
    <x v="86"/>
    <x v="0"/>
    <n v="8.5"/>
    <x v="223"/>
    <x v="1"/>
    <x v="0"/>
    <x v="0"/>
    <x v="580"/>
    <x v="7"/>
    <x v="0"/>
    <x v="294"/>
  </r>
  <r>
    <x v="57"/>
    <x v="3"/>
    <x v="1"/>
    <s v="PhD"/>
    <n v="8"/>
    <n v="174.3"/>
    <x v="107"/>
    <x v="6"/>
    <x v="6"/>
    <n v="6.87"/>
    <x v="416"/>
    <x v="0"/>
    <x v="1"/>
    <x v="0"/>
    <x v="581"/>
    <x v="8"/>
    <x v="1"/>
    <x v="622"/>
  </r>
  <r>
    <x v="57"/>
    <x v="1"/>
    <x v="3"/>
    <s v="Bachelors"/>
    <n v="1"/>
    <n v="161.9"/>
    <x v="40"/>
    <x v="4"/>
    <x v="1"/>
    <n v="8.1"/>
    <x v="249"/>
    <x v="2"/>
    <x v="2"/>
    <x v="2"/>
    <x v="582"/>
    <x v="9"/>
    <x v="1"/>
    <x v="85"/>
  </r>
  <r>
    <x v="58"/>
    <x v="4"/>
    <x v="1"/>
    <s v="PhD"/>
    <n v="9"/>
    <n v="158.69999999999999"/>
    <x v="11"/>
    <x v="0"/>
    <x v="5"/>
    <n v="5.96"/>
    <x v="358"/>
    <x v="2"/>
    <x v="2"/>
    <x v="2"/>
    <x v="567"/>
    <x v="0"/>
    <x v="0"/>
    <x v="66"/>
  </r>
  <r>
    <x v="58"/>
    <x v="4"/>
    <x v="2"/>
    <s v="Masters"/>
    <n v="4"/>
    <n v="163.80000000000001"/>
    <x v="1"/>
    <x v="48"/>
    <x v="4"/>
    <n v="7.46"/>
    <x v="61"/>
    <x v="2"/>
    <x v="1"/>
    <x v="1"/>
    <x v="583"/>
    <x v="0"/>
    <x v="1"/>
    <x v="623"/>
  </r>
  <r>
    <x v="58"/>
    <x v="0"/>
    <x v="2"/>
    <s v="PhD"/>
    <n v="5"/>
    <n v="168.9"/>
    <x v="139"/>
    <x v="44"/>
    <x v="4"/>
    <n v="5.05"/>
    <x v="133"/>
    <x v="2"/>
    <x v="2"/>
    <x v="2"/>
    <x v="584"/>
    <x v="1"/>
    <x v="0"/>
    <x v="624"/>
  </r>
  <r>
    <x v="58"/>
    <x v="3"/>
    <x v="2"/>
    <s v="Masters"/>
    <n v="1"/>
    <n v="160.30000000000001"/>
    <x v="1"/>
    <x v="60"/>
    <x v="3"/>
    <n v="7.49"/>
    <x v="417"/>
    <x v="2"/>
    <x v="0"/>
    <x v="1"/>
    <x v="585"/>
    <x v="1"/>
    <x v="2"/>
    <x v="625"/>
  </r>
  <r>
    <x v="58"/>
    <x v="0"/>
    <x v="0"/>
    <s v="PhD"/>
    <n v="5"/>
    <n v="179.2"/>
    <x v="62"/>
    <x v="11"/>
    <x v="4"/>
    <n v="6.54"/>
    <x v="418"/>
    <x v="2"/>
    <x v="0"/>
    <x v="1"/>
    <x v="93"/>
    <x v="2"/>
    <x v="1"/>
    <x v="626"/>
  </r>
  <r>
    <x v="58"/>
    <x v="3"/>
    <x v="0"/>
    <s v="PhD"/>
    <n v="10"/>
    <n v="164.6"/>
    <x v="96"/>
    <x v="16"/>
    <x v="6"/>
    <n v="8.36"/>
    <x v="419"/>
    <x v="2"/>
    <x v="0"/>
    <x v="0"/>
    <x v="586"/>
    <x v="3"/>
    <x v="2"/>
    <x v="627"/>
  </r>
  <r>
    <x v="58"/>
    <x v="4"/>
    <x v="1"/>
    <s v="Masters"/>
    <n v="4"/>
    <n v="167.1"/>
    <x v="11"/>
    <x v="7"/>
    <x v="8"/>
    <n v="5"/>
    <x v="305"/>
    <x v="2"/>
    <x v="0"/>
    <x v="2"/>
    <x v="587"/>
    <x v="4"/>
    <x v="1"/>
    <x v="628"/>
  </r>
  <r>
    <x v="58"/>
    <x v="3"/>
    <x v="3"/>
    <s v="PhD"/>
    <n v="6"/>
    <n v="152"/>
    <x v="50"/>
    <x v="64"/>
    <x v="10"/>
    <n v="8.48"/>
    <x v="125"/>
    <x v="2"/>
    <x v="2"/>
    <x v="0"/>
    <x v="588"/>
    <x v="5"/>
    <x v="1"/>
    <x v="629"/>
  </r>
  <r>
    <x v="58"/>
    <x v="2"/>
    <x v="2"/>
    <s v="Masters"/>
    <n v="3"/>
    <n v="150.1"/>
    <x v="104"/>
    <x v="60"/>
    <x v="1"/>
    <n v="8.17"/>
    <x v="10"/>
    <x v="2"/>
    <x v="2"/>
    <x v="0"/>
    <x v="589"/>
    <x v="6"/>
    <x v="1"/>
    <x v="630"/>
  </r>
  <r>
    <x v="58"/>
    <x v="0"/>
    <x v="0"/>
    <s v="PhD"/>
    <n v="8"/>
    <n v="164.9"/>
    <x v="14"/>
    <x v="35"/>
    <x v="4"/>
    <n v="6.95"/>
    <x v="361"/>
    <x v="2"/>
    <x v="0"/>
    <x v="0"/>
    <x v="114"/>
    <x v="7"/>
    <x v="0"/>
    <x v="631"/>
  </r>
  <r>
    <x v="58"/>
    <x v="0"/>
    <x v="1"/>
    <s v="Masters"/>
    <n v="1"/>
    <n v="168.8"/>
    <x v="151"/>
    <x v="20"/>
    <x v="6"/>
    <n v="9.11"/>
    <x v="71"/>
    <x v="2"/>
    <x v="0"/>
    <x v="0"/>
    <x v="74"/>
    <x v="8"/>
    <x v="2"/>
    <x v="632"/>
  </r>
  <r>
    <x v="58"/>
    <x v="4"/>
    <x v="1"/>
    <s v="PhD"/>
    <n v="6"/>
    <n v="170.3"/>
    <x v="161"/>
    <x v="45"/>
    <x v="4"/>
    <n v="7.38"/>
    <x v="253"/>
    <x v="2"/>
    <x v="1"/>
    <x v="1"/>
    <x v="590"/>
    <x v="9"/>
    <x v="1"/>
    <x v="633"/>
  </r>
  <r>
    <x v="59"/>
    <x v="3"/>
    <x v="1"/>
    <s v="Masters"/>
    <n v="3"/>
    <n v="157"/>
    <x v="78"/>
    <x v="32"/>
    <x v="4"/>
    <n v="8.36"/>
    <x v="231"/>
    <x v="2"/>
    <x v="1"/>
    <x v="1"/>
    <x v="558"/>
    <x v="0"/>
    <x v="1"/>
    <x v="634"/>
  </r>
  <r>
    <x v="59"/>
    <x v="3"/>
    <x v="3"/>
    <s v="Bachelors"/>
    <n v="4"/>
    <n v="152"/>
    <x v="59"/>
    <x v="0"/>
    <x v="0"/>
    <n v="6.29"/>
    <x v="266"/>
    <x v="2"/>
    <x v="0"/>
    <x v="1"/>
    <x v="591"/>
    <x v="0"/>
    <x v="1"/>
    <x v="635"/>
  </r>
  <r>
    <x v="59"/>
    <x v="1"/>
    <x v="0"/>
    <s v="Masters"/>
    <n v="3"/>
    <n v="168.1"/>
    <x v="47"/>
    <x v="31"/>
    <x v="0"/>
    <m/>
    <x v="420"/>
    <x v="2"/>
    <x v="2"/>
    <x v="2"/>
    <x v="592"/>
    <x v="1"/>
    <x v="0"/>
    <x v="636"/>
  </r>
  <r>
    <x v="59"/>
    <x v="1"/>
    <x v="2"/>
    <s v="PhD"/>
    <n v="10"/>
    <n v="159.1"/>
    <x v="1"/>
    <x v="83"/>
    <x v="2"/>
    <n v="4.79"/>
    <x v="421"/>
    <x v="2"/>
    <x v="1"/>
    <x v="1"/>
    <x v="593"/>
    <x v="1"/>
    <x v="1"/>
    <x v="637"/>
  </r>
  <r>
    <x v="59"/>
    <x v="0"/>
    <x v="0"/>
    <s v="Bachelors"/>
    <n v="7"/>
    <n v="180"/>
    <x v="89"/>
    <x v="81"/>
    <x v="4"/>
    <n v="6.22"/>
    <x v="422"/>
    <x v="2"/>
    <x v="0"/>
    <x v="0"/>
    <x v="114"/>
    <x v="2"/>
    <x v="0"/>
    <x v="638"/>
  </r>
  <r>
    <x v="59"/>
    <x v="1"/>
    <x v="4"/>
    <s v="Bachelors"/>
    <n v="5"/>
    <n v="170.9"/>
    <x v="127"/>
    <x v="79"/>
    <x v="0"/>
    <n v="4.82"/>
    <x v="229"/>
    <x v="0"/>
    <x v="2"/>
    <x v="1"/>
    <x v="594"/>
    <x v="3"/>
    <x v="0"/>
    <x v="423"/>
  </r>
  <r>
    <x v="59"/>
    <x v="4"/>
    <x v="0"/>
    <s v="Bachelors"/>
    <n v="5"/>
    <n v="159.5"/>
    <x v="39"/>
    <x v="29"/>
    <x v="5"/>
    <n v="7.3"/>
    <x v="423"/>
    <x v="0"/>
    <x v="2"/>
    <x v="2"/>
    <x v="595"/>
    <x v="4"/>
    <x v="0"/>
    <x v="639"/>
  </r>
  <r>
    <x v="59"/>
    <x v="0"/>
    <x v="2"/>
    <s v="PhD"/>
    <n v="5"/>
    <n v="159.9"/>
    <x v="58"/>
    <x v="40"/>
    <x v="5"/>
    <n v="6.35"/>
    <x v="376"/>
    <x v="2"/>
    <x v="1"/>
    <x v="2"/>
    <x v="596"/>
    <x v="5"/>
    <x v="1"/>
    <x v="437"/>
  </r>
  <r>
    <x v="59"/>
    <x v="0"/>
    <x v="1"/>
    <s v="Masters"/>
    <n v="1"/>
    <n v="151.1"/>
    <x v="157"/>
    <x v="86"/>
    <x v="0"/>
    <n v="7.66"/>
    <x v="411"/>
    <x v="2"/>
    <x v="1"/>
    <x v="1"/>
    <x v="597"/>
    <x v="6"/>
    <x v="1"/>
    <x v="640"/>
  </r>
  <r>
    <x v="59"/>
    <x v="0"/>
    <x v="0"/>
    <s v="Masters"/>
    <n v="2"/>
    <n v="134.1"/>
    <x v="16"/>
    <x v="10"/>
    <x v="7"/>
    <n v="7.93"/>
    <x v="10"/>
    <x v="2"/>
    <x v="0"/>
    <x v="2"/>
    <x v="503"/>
    <x v="7"/>
    <x v="0"/>
    <x v="641"/>
  </r>
  <r>
    <x v="59"/>
    <x v="1"/>
    <x v="2"/>
    <s v="Bachelors"/>
    <n v="9"/>
    <n v="173.8"/>
    <x v="24"/>
    <x v="95"/>
    <x v="8"/>
    <n v="7.64"/>
    <x v="254"/>
    <x v="2"/>
    <x v="2"/>
    <x v="1"/>
    <x v="395"/>
    <x v="8"/>
    <x v="0"/>
    <x v="642"/>
  </r>
  <r>
    <x v="59"/>
    <x v="1"/>
    <x v="0"/>
    <s v="PhD"/>
    <n v="8"/>
    <n v="157.30000000000001"/>
    <x v="145"/>
    <x v="78"/>
    <x v="6"/>
    <n v="6.69"/>
    <x v="9"/>
    <x v="0"/>
    <x v="2"/>
    <x v="0"/>
    <x v="598"/>
    <x v="9"/>
    <x v="0"/>
    <x v="643"/>
  </r>
  <r>
    <x v="60"/>
    <x v="2"/>
    <x v="1"/>
    <s v="Masters"/>
    <n v="3"/>
    <n v="158.69999999999999"/>
    <x v="131"/>
    <x v="44"/>
    <x v="0"/>
    <m/>
    <x v="14"/>
    <x v="2"/>
    <x v="0"/>
    <x v="1"/>
    <x v="219"/>
    <x v="0"/>
    <x v="0"/>
    <x v="105"/>
  </r>
  <r>
    <x v="60"/>
    <x v="1"/>
    <x v="1"/>
    <s v="Masters"/>
    <n v="2"/>
    <n v="153.4"/>
    <x v="148"/>
    <x v="54"/>
    <x v="4"/>
    <n v="9.6999999999999993"/>
    <x v="424"/>
    <x v="0"/>
    <x v="2"/>
    <x v="1"/>
    <x v="599"/>
    <x v="0"/>
    <x v="2"/>
    <x v="644"/>
  </r>
  <r>
    <x v="60"/>
    <x v="4"/>
    <x v="1"/>
    <s v="Bachelors"/>
    <n v="7"/>
    <n v="173.9"/>
    <x v="47"/>
    <x v="29"/>
    <x v="0"/>
    <n v="7.53"/>
    <x v="425"/>
    <x v="0"/>
    <x v="1"/>
    <x v="0"/>
    <x v="361"/>
    <x v="1"/>
    <x v="0"/>
    <x v="645"/>
  </r>
  <r>
    <x v="60"/>
    <x v="0"/>
    <x v="4"/>
    <s v="PhD"/>
    <n v="8"/>
    <n v="156.80000000000001"/>
    <x v="14"/>
    <x v="27"/>
    <x v="2"/>
    <n v="8.3699999999999992"/>
    <x v="11"/>
    <x v="0"/>
    <x v="0"/>
    <x v="2"/>
    <x v="600"/>
    <x v="1"/>
    <x v="1"/>
    <x v="646"/>
  </r>
  <r>
    <x v="60"/>
    <x v="4"/>
    <x v="3"/>
    <s v="Bachelors"/>
    <n v="2"/>
    <n v="170.6"/>
    <x v="74"/>
    <x v="59"/>
    <x v="1"/>
    <n v="3.58"/>
    <x v="426"/>
    <x v="2"/>
    <x v="1"/>
    <x v="2"/>
    <x v="578"/>
    <x v="2"/>
    <x v="1"/>
    <x v="647"/>
  </r>
  <r>
    <x v="60"/>
    <x v="0"/>
    <x v="1"/>
    <s v="PhD"/>
    <n v="4"/>
    <n v="144.9"/>
    <x v="76"/>
    <x v="2"/>
    <x v="8"/>
    <n v="8"/>
    <x v="427"/>
    <x v="2"/>
    <x v="2"/>
    <x v="1"/>
    <x v="528"/>
    <x v="3"/>
    <x v="2"/>
    <x v="648"/>
  </r>
  <r>
    <x v="60"/>
    <x v="2"/>
    <x v="3"/>
    <s v="PhD"/>
    <n v="3"/>
    <n v="187.3"/>
    <x v="53"/>
    <x v="58"/>
    <x v="5"/>
    <n v="8.9"/>
    <x v="43"/>
    <x v="0"/>
    <x v="1"/>
    <x v="1"/>
    <x v="509"/>
    <x v="4"/>
    <x v="2"/>
    <x v="649"/>
  </r>
  <r>
    <x v="60"/>
    <x v="3"/>
    <x v="1"/>
    <s v="PhD"/>
    <n v="5"/>
    <n v="163.4"/>
    <x v="6"/>
    <x v="40"/>
    <x v="1"/>
    <n v="7.19"/>
    <x v="345"/>
    <x v="2"/>
    <x v="2"/>
    <x v="1"/>
    <x v="601"/>
    <x v="5"/>
    <x v="0"/>
    <x v="650"/>
  </r>
  <r>
    <x v="60"/>
    <x v="1"/>
    <x v="2"/>
    <s v="Masters"/>
    <n v="3"/>
    <n v="167.5"/>
    <x v="82"/>
    <x v="2"/>
    <x v="6"/>
    <n v="10"/>
    <x v="130"/>
    <x v="2"/>
    <x v="2"/>
    <x v="0"/>
    <x v="602"/>
    <x v="6"/>
    <x v="1"/>
    <x v="436"/>
  </r>
  <r>
    <x v="60"/>
    <x v="1"/>
    <x v="2"/>
    <s v="Masters"/>
    <n v="8"/>
    <n v="168.8"/>
    <x v="0"/>
    <x v="0"/>
    <x v="7"/>
    <n v="8.83"/>
    <x v="428"/>
    <x v="2"/>
    <x v="1"/>
    <x v="0"/>
    <x v="463"/>
    <x v="7"/>
    <x v="0"/>
    <x v="651"/>
  </r>
  <r>
    <x v="60"/>
    <x v="4"/>
    <x v="4"/>
    <s v="Bachelors"/>
    <n v="2"/>
    <n v="156.9"/>
    <x v="17"/>
    <x v="51"/>
    <x v="8"/>
    <n v="9.27"/>
    <x v="57"/>
    <x v="2"/>
    <x v="2"/>
    <x v="0"/>
    <x v="603"/>
    <x v="8"/>
    <x v="2"/>
    <x v="652"/>
  </r>
  <r>
    <x v="60"/>
    <x v="3"/>
    <x v="3"/>
    <s v="Bachelors"/>
    <n v="7"/>
    <n v="152"/>
    <x v="138"/>
    <x v="43"/>
    <x v="4"/>
    <n v="8.61"/>
    <x v="222"/>
    <x v="0"/>
    <x v="0"/>
    <x v="1"/>
    <x v="604"/>
    <x v="9"/>
    <x v="1"/>
    <x v="653"/>
  </r>
  <r>
    <x v="61"/>
    <x v="4"/>
    <x v="3"/>
    <s v="PhD"/>
    <n v="5"/>
    <n v="157"/>
    <x v="26"/>
    <x v="0"/>
    <x v="5"/>
    <n v="7.02"/>
    <x v="429"/>
    <x v="2"/>
    <x v="2"/>
    <x v="0"/>
    <x v="429"/>
    <x v="0"/>
    <x v="1"/>
    <x v="654"/>
  </r>
  <r>
    <x v="61"/>
    <x v="4"/>
    <x v="0"/>
    <s v="Bachelors"/>
    <n v="2"/>
    <n v="143.30000000000001"/>
    <x v="1"/>
    <x v="64"/>
    <x v="6"/>
    <n v="4.5599999999999996"/>
    <x v="430"/>
    <x v="0"/>
    <x v="2"/>
    <x v="0"/>
    <x v="605"/>
    <x v="0"/>
    <x v="1"/>
    <x v="655"/>
  </r>
  <r>
    <x v="61"/>
    <x v="0"/>
    <x v="3"/>
    <s v="Bachelors"/>
    <n v="3"/>
    <n v="174.8"/>
    <x v="98"/>
    <x v="43"/>
    <x v="6"/>
    <n v="7.11"/>
    <x v="431"/>
    <x v="2"/>
    <x v="1"/>
    <x v="0"/>
    <x v="606"/>
    <x v="1"/>
    <x v="1"/>
    <x v="656"/>
  </r>
  <r>
    <x v="61"/>
    <x v="4"/>
    <x v="4"/>
    <s v="Masters"/>
    <n v="3"/>
    <n v="165.8"/>
    <x v="18"/>
    <x v="80"/>
    <x v="3"/>
    <n v="6.32"/>
    <x v="432"/>
    <x v="0"/>
    <x v="2"/>
    <x v="1"/>
    <x v="607"/>
    <x v="1"/>
    <x v="0"/>
    <x v="657"/>
  </r>
  <r>
    <x v="61"/>
    <x v="2"/>
    <x v="2"/>
    <s v="Masters"/>
    <n v="10"/>
    <n v="173.4"/>
    <x v="1"/>
    <x v="67"/>
    <x v="1"/>
    <n v="6.63"/>
    <x v="70"/>
    <x v="2"/>
    <x v="2"/>
    <x v="2"/>
    <x v="608"/>
    <x v="2"/>
    <x v="2"/>
    <x v="658"/>
  </r>
  <r>
    <x v="61"/>
    <x v="0"/>
    <x v="4"/>
    <s v="PhD"/>
    <n v="3"/>
    <n v="148.1"/>
    <x v="38"/>
    <x v="20"/>
    <x v="3"/>
    <n v="7.27"/>
    <x v="150"/>
    <x v="2"/>
    <x v="2"/>
    <x v="0"/>
    <x v="24"/>
    <x v="3"/>
    <x v="0"/>
    <x v="659"/>
  </r>
  <r>
    <x v="61"/>
    <x v="3"/>
    <x v="0"/>
    <s v="Masters"/>
    <n v="4"/>
    <n v="167.8"/>
    <x v="138"/>
    <x v="4"/>
    <x v="9"/>
    <n v="7.31"/>
    <x v="324"/>
    <x v="2"/>
    <x v="1"/>
    <x v="1"/>
    <x v="609"/>
    <x v="4"/>
    <x v="1"/>
    <x v="660"/>
  </r>
  <r>
    <x v="61"/>
    <x v="1"/>
    <x v="1"/>
    <s v="PhD"/>
    <n v="8"/>
    <n v="164.6"/>
    <x v="1"/>
    <x v="20"/>
    <x v="6"/>
    <n v="6.18"/>
    <x v="21"/>
    <x v="2"/>
    <x v="0"/>
    <x v="2"/>
    <x v="128"/>
    <x v="5"/>
    <x v="0"/>
    <x v="627"/>
  </r>
  <r>
    <x v="61"/>
    <x v="2"/>
    <x v="0"/>
    <s v="Masters"/>
    <n v="6"/>
    <n v="143.9"/>
    <x v="111"/>
    <x v="4"/>
    <x v="6"/>
    <n v="6.99"/>
    <x v="433"/>
    <x v="0"/>
    <x v="2"/>
    <x v="2"/>
    <x v="610"/>
    <x v="6"/>
    <x v="2"/>
    <x v="661"/>
  </r>
  <r>
    <x v="61"/>
    <x v="1"/>
    <x v="0"/>
    <s v="Bachelors"/>
    <n v="8"/>
    <n v="158.4"/>
    <x v="88"/>
    <x v="44"/>
    <x v="8"/>
    <n v="10"/>
    <x v="434"/>
    <x v="2"/>
    <x v="1"/>
    <x v="2"/>
    <x v="611"/>
    <x v="7"/>
    <x v="1"/>
    <x v="662"/>
  </r>
  <r>
    <x v="61"/>
    <x v="0"/>
    <x v="2"/>
    <s v="PhD"/>
    <n v="4"/>
    <n v="154"/>
    <x v="84"/>
    <x v="46"/>
    <x v="13"/>
    <n v="9.3000000000000007"/>
    <x v="179"/>
    <x v="2"/>
    <x v="2"/>
    <x v="0"/>
    <x v="612"/>
    <x v="8"/>
    <x v="1"/>
    <x v="663"/>
  </r>
  <r>
    <x v="61"/>
    <x v="3"/>
    <x v="1"/>
    <s v="Bachelors"/>
    <n v="10"/>
    <n v="153.4"/>
    <x v="89"/>
    <x v="26"/>
    <x v="8"/>
    <n v="7.17"/>
    <x v="253"/>
    <x v="2"/>
    <x v="1"/>
    <x v="1"/>
    <x v="231"/>
    <x v="9"/>
    <x v="2"/>
    <x v="664"/>
  </r>
  <r>
    <x v="62"/>
    <x v="1"/>
    <x v="0"/>
    <s v="Bachelors"/>
    <n v="9"/>
    <n v="154.69999999999999"/>
    <x v="66"/>
    <x v="85"/>
    <x v="0"/>
    <n v="9.6300000000000008"/>
    <x v="435"/>
    <x v="0"/>
    <x v="0"/>
    <x v="2"/>
    <x v="70"/>
    <x v="0"/>
    <x v="1"/>
    <x v="665"/>
  </r>
  <r>
    <x v="62"/>
    <x v="2"/>
    <x v="4"/>
    <s v="PhD"/>
    <n v="8"/>
    <n v="171.2"/>
    <x v="143"/>
    <x v="20"/>
    <x v="3"/>
    <n v="9.7799999999999994"/>
    <x v="196"/>
    <x v="2"/>
    <x v="0"/>
    <x v="0"/>
    <x v="613"/>
    <x v="0"/>
    <x v="1"/>
    <x v="666"/>
  </r>
  <r>
    <x v="62"/>
    <x v="3"/>
    <x v="1"/>
    <s v="PhD"/>
    <n v="2"/>
    <n v="165.9"/>
    <x v="1"/>
    <x v="57"/>
    <x v="0"/>
    <n v="7.88"/>
    <x v="436"/>
    <x v="0"/>
    <x v="0"/>
    <x v="1"/>
    <x v="614"/>
    <x v="1"/>
    <x v="1"/>
    <x v="667"/>
  </r>
  <r>
    <x v="62"/>
    <x v="0"/>
    <x v="0"/>
    <s v="Masters"/>
    <n v="3"/>
    <n v="167"/>
    <x v="53"/>
    <x v="0"/>
    <x v="7"/>
    <n v="5.49"/>
    <x v="381"/>
    <x v="2"/>
    <x v="0"/>
    <x v="2"/>
    <x v="615"/>
    <x v="1"/>
    <x v="0"/>
    <x v="668"/>
  </r>
  <r>
    <x v="62"/>
    <x v="2"/>
    <x v="0"/>
    <s v="Masters"/>
    <n v="6"/>
    <n v="157.5"/>
    <x v="38"/>
    <x v="10"/>
    <x v="5"/>
    <n v="7.51"/>
    <x v="106"/>
    <x v="2"/>
    <x v="2"/>
    <x v="1"/>
    <x v="287"/>
    <x v="2"/>
    <x v="0"/>
    <x v="669"/>
  </r>
  <r>
    <x v="62"/>
    <x v="0"/>
    <x v="2"/>
    <s v="Masters"/>
    <n v="2"/>
    <n v="164.5"/>
    <x v="147"/>
    <x v="35"/>
    <x v="4"/>
    <n v="5.9"/>
    <x v="359"/>
    <x v="2"/>
    <x v="2"/>
    <x v="2"/>
    <x v="616"/>
    <x v="3"/>
    <x v="0"/>
    <x v="670"/>
  </r>
  <r>
    <x v="62"/>
    <x v="0"/>
    <x v="2"/>
    <s v="PhD"/>
    <n v="8"/>
    <n v="174.6"/>
    <x v="68"/>
    <x v="0"/>
    <x v="5"/>
    <n v="6.1"/>
    <x v="437"/>
    <x v="0"/>
    <x v="1"/>
    <x v="2"/>
    <x v="617"/>
    <x v="4"/>
    <x v="2"/>
    <x v="474"/>
  </r>
  <r>
    <x v="62"/>
    <x v="1"/>
    <x v="3"/>
    <s v="Bachelors"/>
    <n v="6"/>
    <n v="165.9"/>
    <x v="88"/>
    <x v="92"/>
    <x v="5"/>
    <n v="7.38"/>
    <x v="438"/>
    <x v="0"/>
    <x v="2"/>
    <x v="1"/>
    <x v="618"/>
    <x v="5"/>
    <x v="0"/>
    <x v="308"/>
  </r>
  <r>
    <x v="62"/>
    <x v="0"/>
    <x v="1"/>
    <s v="PhD"/>
    <n v="9"/>
    <n v="167.7"/>
    <x v="52"/>
    <x v="22"/>
    <x v="4"/>
    <m/>
    <x v="439"/>
    <x v="2"/>
    <x v="2"/>
    <x v="0"/>
    <x v="563"/>
    <x v="6"/>
    <x v="1"/>
    <x v="174"/>
  </r>
  <r>
    <x v="62"/>
    <x v="0"/>
    <x v="0"/>
    <s v="Bachelors"/>
    <n v="6"/>
    <n v="140.9"/>
    <x v="1"/>
    <x v="41"/>
    <x v="8"/>
    <n v="8.6300000000000008"/>
    <x v="10"/>
    <x v="2"/>
    <x v="1"/>
    <x v="2"/>
    <x v="619"/>
    <x v="7"/>
    <x v="1"/>
    <x v="671"/>
  </r>
  <r>
    <x v="62"/>
    <x v="3"/>
    <x v="2"/>
    <s v="Bachelors"/>
    <n v="2"/>
    <n v="179.8"/>
    <x v="1"/>
    <x v="37"/>
    <x v="8"/>
    <n v="8.98"/>
    <x v="12"/>
    <x v="2"/>
    <x v="1"/>
    <x v="0"/>
    <x v="620"/>
    <x v="8"/>
    <x v="2"/>
    <x v="672"/>
  </r>
  <r>
    <x v="62"/>
    <x v="2"/>
    <x v="2"/>
    <s v="Bachelors"/>
    <n v="2"/>
    <n v="164.5"/>
    <x v="99"/>
    <x v="0"/>
    <x v="7"/>
    <m/>
    <x v="359"/>
    <x v="2"/>
    <x v="0"/>
    <x v="0"/>
    <x v="247"/>
    <x v="9"/>
    <x v="0"/>
    <x v="673"/>
  </r>
  <r>
    <x v="63"/>
    <x v="4"/>
    <x v="3"/>
    <s v="Masters"/>
    <n v="4"/>
    <n v="159.80000000000001"/>
    <x v="4"/>
    <x v="4"/>
    <x v="4"/>
    <n v="6.7"/>
    <x v="168"/>
    <x v="0"/>
    <x v="1"/>
    <x v="1"/>
    <x v="621"/>
    <x v="0"/>
    <x v="0"/>
    <x v="674"/>
  </r>
  <r>
    <x v="63"/>
    <x v="3"/>
    <x v="0"/>
    <s v="PhD"/>
    <n v="2"/>
    <n v="174.5"/>
    <x v="27"/>
    <x v="84"/>
    <x v="9"/>
    <n v="5.73"/>
    <x v="440"/>
    <x v="2"/>
    <x v="2"/>
    <x v="0"/>
    <x v="611"/>
    <x v="0"/>
    <x v="1"/>
    <x v="675"/>
  </r>
  <r>
    <x v="63"/>
    <x v="1"/>
    <x v="1"/>
    <s v="PhD"/>
    <n v="4"/>
    <n v="145.5"/>
    <x v="105"/>
    <x v="54"/>
    <x v="8"/>
    <n v="7"/>
    <x v="197"/>
    <x v="2"/>
    <x v="1"/>
    <x v="2"/>
    <x v="622"/>
    <x v="1"/>
    <x v="1"/>
    <x v="676"/>
  </r>
  <r>
    <x v="63"/>
    <x v="0"/>
    <x v="2"/>
    <s v="Masters"/>
    <n v="2"/>
    <n v="160.80000000000001"/>
    <x v="72"/>
    <x v="8"/>
    <x v="0"/>
    <n v="5.54"/>
    <x v="293"/>
    <x v="2"/>
    <x v="0"/>
    <x v="2"/>
    <x v="623"/>
    <x v="1"/>
    <x v="0"/>
    <x v="677"/>
  </r>
  <r>
    <x v="63"/>
    <x v="0"/>
    <x v="4"/>
    <s v="Masters"/>
    <n v="2"/>
    <n v="169.2"/>
    <x v="37"/>
    <x v="29"/>
    <x v="6"/>
    <n v="9.49"/>
    <x v="63"/>
    <x v="2"/>
    <x v="1"/>
    <x v="2"/>
    <x v="624"/>
    <x v="2"/>
    <x v="2"/>
    <x v="678"/>
  </r>
  <r>
    <x v="63"/>
    <x v="1"/>
    <x v="3"/>
    <s v="PhD"/>
    <n v="5"/>
    <n v="160.6"/>
    <x v="55"/>
    <x v="40"/>
    <x v="5"/>
    <n v="9.59"/>
    <x v="441"/>
    <x v="2"/>
    <x v="0"/>
    <x v="1"/>
    <x v="625"/>
    <x v="3"/>
    <x v="0"/>
    <x v="679"/>
  </r>
  <r>
    <x v="63"/>
    <x v="2"/>
    <x v="1"/>
    <s v="Masters"/>
    <n v="5"/>
    <n v="148"/>
    <x v="38"/>
    <x v="58"/>
    <x v="1"/>
    <n v="5.86"/>
    <x v="277"/>
    <x v="2"/>
    <x v="0"/>
    <x v="1"/>
    <x v="626"/>
    <x v="4"/>
    <x v="1"/>
    <x v="680"/>
  </r>
  <r>
    <x v="63"/>
    <x v="4"/>
    <x v="1"/>
    <s v="PhD"/>
    <n v="4"/>
    <n v="163.19999999999999"/>
    <x v="111"/>
    <x v="4"/>
    <x v="8"/>
    <n v="9.61"/>
    <x v="442"/>
    <x v="2"/>
    <x v="2"/>
    <x v="0"/>
    <x v="627"/>
    <x v="5"/>
    <x v="1"/>
    <x v="681"/>
  </r>
  <r>
    <x v="63"/>
    <x v="1"/>
    <x v="0"/>
    <s v="Masters"/>
    <n v="4"/>
    <n v="166.4"/>
    <x v="1"/>
    <x v="73"/>
    <x v="3"/>
    <n v="9.6199999999999992"/>
    <x v="176"/>
    <x v="1"/>
    <x v="1"/>
    <x v="0"/>
    <x v="628"/>
    <x v="6"/>
    <x v="1"/>
    <x v="682"/>
  </r>
  <r>
    <x v="63"/>
    <x v="2"/>
    <x v="3"/>
    <s v="PhD"/>
    <n v="1"/>
    <n v="140.30000000000001"/>
    <x v="147"/>
    <x v="11"/>
    <x v="1"/>
    <n v="7.52"/>
    <x v="443"/>
    <x v="0"/>
    <x v="2"/>
    <x v="0"/>
    <x v="317"/>
    <x v="7"/>
    <x v="0"/>
    <x v="683"/>
  </r>
  <r>
    <x v="63"/>
    <x v="3"/>
    <x v="0"/>
    <s v="PhD"/>
    <n v="3"/>
    <n v="151.69999999999999"/>
    <x v="23"/>
    <x v="68"/>
    <x v="0"/>
    <n v="8.0399999999999991"/>
    <x v="302"/>
    <x v="2"/>
    <x v="0"/>
    <x v="1"/>
    <x v="629"/>
    <x v="8"/>
    <x v="1"/>
    <x v="462"/>
  </r>
  <r>
    <x v="63"/>
    <x v="3"/>
    <x v="0"/>
    <s v="Bachelors"/>
    <n v="1"/>
    <n v="158.1"/>
    <x v="162"/>
    <x v="63"/>
    <x v="5"/>
    <n v="6.58"/>
    <x v="444"/>
    <x v="0"/>
    <x v="2"/>
    <x v="0"/>
    <x v="630"/>
    <x v="9"/>
    <x v="2"/>
    <x v="684"/>
  </r>
  <r>
    <x v="64"/>
    <x v="4"/>
    <x v="2"/>
    <s v="Bachelors"/>
    <n v="8"/>
    <n v="163.9"/>
    <x v="154"/>
    <x v="68"/>
    <x v="5"/>
    <n v="8.14"/>
    <x v="0"/>
    <x v="2"/>
    <x v="1"/>
    <x v="1"/>
    <x v="409"/>
    <x v="0"/>
    <x v="0"/>
    <x v="44"/>
  </r>
  <r>
    <x v="64"/>
    <x v="3"/>
    <x v="0"/>
    <s v="Bachelors"/>
    <n v="4"/>
    <n v="163.4"/>
    <x v="70"/>
    <x v="48"/>
    <x v="0"/>
    <n v="6"/>
    <x v="423"/>
    <x v="2"/>
    <x v="1"/>
    <x v="1"/>
    <x v="631"/>
    <x v="0"/>
    <x v="2"/>
    <x v="153"/>
  </r>
  <r>
    <x v="64"/>
    <x v="4"/>
    <x v="3"/>
    <s v="Masters"/>
    <n v="8"/>
    <n v="152.9"/>
    <x v="48"/>
    <x v="76"/>
    <x v="6"/>
    <n v="7.55"/>
    <x v="367"/>
    <x v="2"/>
    <x v="2"/>
    <x v="0"/>
    <x v="598"/>
    <x v="1"/>
    <x v="0"/>
    <x v="521"/>
  </r>
  <r>
    <x v="64"/>
    <x v="2"/>
    <x v="0"/>
    <s v="PhD"/>
    <n v="6"/>
    <n v="169.8"/>
    <x v="70"/>
    <x v="69"/>
    <x v="0"/>
    <n v="8.8699999999999992"/>
    <x v="445"/>
    <x v="2"/>
    <x v="1"/>
    <x v="1"/>
    <x v="632"/>
    <x v="1"/>
    <x v="0"/>
    <x v="685"/>
  </r>
  <r>
    <x v="64"/>
    <x v="4"/>
    <x v="0"/>
    <s v="PhD"/>
    <n v="1"/>
    <n v="162.19999999999999"/>
    <x v="39"/>
    <x v="23"/>
    <x v="7"/>
    <n v="6.09"/>
    <x v="446"/>
    <x v="0"/>
    <x v="2"/>
    <x v="0"/>
    <x v="633"/>
    <x v="2"/>
    <x v="0"/>
    <x v="686"/>
  </r>
  <r>
    <x v="64"/>
    <x v="4"/>
    <x v="1"/>
    <s v="Bachelors"/>
    <n v="10"/>
    <n v="166"/>
    <x v="77"/>
    <x v="22"/>
    <x v="8"/>
    <n v="10"/>
    <x v="404"/>
    <x v="0"/>
    <x v="0"/>
    <x v="2"/>
    <x v="261"/>
    <x v="3"/>
    <x v="0"/>
    <x v="572"/>
  </r>
  <r>
    <x v="64"/>
    <x v="3"/>
    <x v="2"/>
    <s v="PhD"/>
    <n v="9"/>
    <n v="160.1"/>
    <x v="2"/>
    <x v="2"/>
    <x v="8"/>
    <n v="8.0299999999999994"/>
    <x v="10"/>
    <x v="0"/>
    <x v="2"/>
    <x v="2"/>
    <x v="634"/>
    <x v="4"/>
    <x v="1"/>
    <x v="687"/>
  </r>
  <r>
    <x v="64"/>
    <x v="3"/>
    <x v="2"/>
    <s v="Masters"/>
    <n v="5"/>
    <n v="168"/>
    <x v="1"/>
    <x v="43"/>
    <x v="8"/>
    <n v="10"/>
    <x v="231"/>
    <x v="2"/>
    <x v="1"/>
    <x v="0"/>
    <x v="484"/>
    <x v="5"/>
    <x v="0"/>
    <x v="688"/>
  </r>
  <r>
    <x v="64"/>
    <x v="1"/>
    <x v="1"/>
    <s v="PhD"/>
    <n v="4"/>
    <n v="166.4"/>
    <x v="110"/>
    <x v="68"/>
    <x v="6"/>
    <m/>
    <x v="42"/>
    <x v="0"/>
    <x v="1"/>
    <x v="0"/>
    <x v="26"/>
    <x v="6"/>
    <x v="0"/>
    <x v="303"/>
  </r>
  <r>
    <x v="64"/>
    <x v="0"/>
    <x v="1"/>
    <s v="Masters"/>
    <n v="1"/>
    <n v="148.30000000000001"/>
    <x v="75"/>
    <x v="2"/>
    <x v="5"/>
    <n v="4.1100000000000003"/>
    <x v="334"/>
    <x v="0"/>
    <x v="0"/>
    <x v="2"/>
    <x v="635"/>
    <x v="7"/>
    <x v="2"/>
    <x v="689"/>
  </r>
  <r>
    <x v="64"/>
    <x v="4"/>
    <x v="0"/>
    <s v="PhD"/>
    <n v="3"/>
    <n v="153.69999999999999"/>
    <x v="1"/>
    <x v="20"/>
    <x v="4"/>
    <m/>
    <x v="447"/>
    <x v="2"/>
    <x v="0"/>
    <x v="0"/>
    <x v="636"/>
    <x v="8"/>
    <x v="2"/>
    <x v="690"/>
  </r>
  <r>
    <x v="64"/>
    <x v="4"/>
    <x v="3"/>
    <s v="Masters"/>
    <n v="1"/>
    <n v="161.5"/>
    <x v="104"/>
    <x v="26"/>
    <x v="4"/>
    <n v="8.49"/>
    <x v="287"/>
    <x v="2"/>
    <x v="0"/>
    <x v="0"/>
    <x v="285"/>
    <x v="9"/>
    <x v="2"/>
    <x v="691"/>
  </r>
  <r>
    <x v="65"/>
    <x v="0"/>
    <x v="1"/>
    <s v="PhD"/>
    <n v="7"/>
    <n v="153.1"/>
    <x v="95"/>
    <x v="17"/>
    <x v="8"/>
    <n v="6.83"/>
    <x v="10"/>
    <x v="2"/>
    <x v="0"/>
    <x v="1"/>
    <x v="637"/>
    <x v="0"/>
    <x v="2"/>
    <x v="265"/>
  </r>
  <r>
    <x v="65"/>
    <x v="2"/>
    <x v="0"/>
    <s v="Bachelors"/>
    <n v="2"/>
    <n v="159.5"/>
    <x v="46"/>
    <x v="71"/>
    <x v="9"/>
    <n v="7.71"/>
    <x v="448"/>
    <x v="2"/>
    <x v="0"/>
    <x v="0"/>
    <x v="501"/>
    <x v="0"/>
    <x v="2"/>
    <x v="692"/>
  </r>
  <r>
    <x v="65"/>
    <x v="0"/>
    <x v="1"/>
    <s v="Masters"/>
    <n v="7"/>
    <n v="154.19999999999999"/>
    <x v="1"/>
    <x v="9"/>
    <x v="6"/>
    <n v="5.82"/>
    <x v="449"/>
    <x v="2"/>
    <x v="0"/>
    <x v="1"/>
    <x v="638"/>
    <x v="1"/>
    <x v="1"/>
    <x v="693"/>
  </r>
  <r>
    <x v="65"/>
    <x v="0"/>
    <x v="3"/>
    <s v="Masters"/>
    <n v="10"/>
    <n v="160.30000000000001"/>
    <x v="0"/>
    <x v="15"/>
    <x v="5"/>
    <n v="7.67"/>
    <x v="192"/>
    <x v="0"/>
    <x v="1"/>
    <x v="0"/>
    <x v="639"/>
    <x v="1"/>
    <x v="0"/>
    <x v="144"/>
  </r>
  <r>
    <x v="65"/>
    <x v="4"/>
    <x v="2"/>
    <s v="PhD"/>
    <n v="3"/>
    <n v="161.4"/>
    <x v="62"/>
    <x v="85"/>
    <x v="5"/>
    <n v="6.5"/>
    <x v="386"/>
    <x v="0"/>
    <x v="2"/>
    <x v="1"/>
    <x v="640"/>
    <x v="2"/>
    <x v="1"/>
    <x v="416"/>
  </r>
  <r>
    <x v="65"/>
    <x v="1"/>
    <x v="0"/>
    <s v="Masters"/>
    <n v="10"/>
    <n v="165.5"/>
    <x v="115"/>
    <x v="42"/>
    <x v="5"/>
    <n v="8.9499999999999993"/>
    <x v="450"/>
    <x v="2"/>
    <x v="1"/>
    <x v="0"/>
    <x v="641"/>
    <x v="3"/>
    <x v="1"/>
    <x v="155"/>
  </r>
  <r>
    <x v="65"/>
    <x v="0"/>
    <x v="0"/>
    <s v="Bachelors"/>
    <n v="5"/>
    <n v="158.9"/>
    <x v="143"/>
    <x v="17"/>
    <x v="7"/>
    <n v="4.49"/>
    <x v="111"/>
    <x v="2"/>
    <x v="1"/>
    <x v="0"/>
    <x v="642"/>
    <x v="4"/>
    <x v="2"/>
    <x v="694"/>
  </r>
  <r>
    <x v="65"/>
    <x v="1"/>
    <x v="2"/>
    <s v="Masters"/>
    <n v="9"/>
    <n v="149.6"/>
    <x v="33"/>
    <x v="68"/>
    <x v="1"/>
    <n v="10"/>
    <x v="442"/>
    <x v="2"/>
    <x v="2"/>
    <x v="1"/>
    <x v="643"/>
    <x v="5"/>
    <x v="2"/>
    <x v="695"/>
  </r>
  <r>
    <x v="65"/>
    <x v="0"/>
    <x v="4"/>
    <s v="PhD"/>
    <n v="8"/>
    <n v="165.1"/>
    <x v="1"/>
    <x v="52"/>
    <x v="0"/>
    <n v="10"/>
    <x v="451"/>
    <x v="1"/>
    <x v="0"/>
    <x v="0"/>
    <x v="644"/>
    <x v="6"/>
    <x v="1"/>
    <x v="696"/>
  </r>
  <r>
    <x v="65"/>
    <x v="0"/>
    <x v="0"/>
    <s v="Bachelors"/>
    <n v="7"/>
    <n v="160.19999999999999"/>
    <x v="163"/>
    <x v="40"/>
    <x v="1"/>
    <n v="7.73"/>
    <x v="452"/>
    <x v="0"/>
    <x v="2"/>
    <x v="2"/>
    <x v="645"/>
    <x v="7"/>
    <x v="0"/>
    <x v="697"/>
  </r>
  <r>
    <x v="65"/>
    <x v="1"/>
    <x v="0"/>
    <s v="Masters"/>
    <n v="9"/>
    <n v="157.80000000000001"/>
    <x v="91"/>
    <x v="73"/>
    <x v="4"/>
    <n v="6.44"/>
    <x v="82"/>
    <x v="2"/>
    <x v="1"/>
    <x v="0"/>
    <x v="289"/>
    <x v="8"/>
    <x v="0"/>
    <x v="698"/>
  </r>
  <r>
    <x v="65"/>
    <x v="4"/>
    <x v="0"/>
    <s v="Bachelors"/>
    <n v="2"/>
    <n v="165.9"/>
    <x v="80"/>
    <x v="2"/>
    <x v="6"/>
    <n v="6.45"/>
    <x v="354"/>
    <x v="1"/>
    <x v="2"/>
    <x v="2"/>
    <x v="623"/>
    <x v="9"/>
    <x v="0"/>
    <x v="699"/>
  </r>
  <r>
    <x v="66"/>
    <x v="4"/>
    <x v="2"/>
    <s v="Bachelors"/>
    <n v="6"/>
    <n v="163.5"/>
    <x v="147"/>
    <x v="73"/>
    <x v="1"/>
    <n v="7.85"/>
    <x v="400"/>
    <x v="2"/>
    <x v="0"/>
    <x v="1"/>
    <x v="280"/>
    <x v="0"/>
    <x v="2"/>
    <x v="700"/>
  </r>
  <r>
    <x v="66"/>
    <x v="4"/>
    <x v="1"/>
    <s v="Masters"/>
    <n v="1"/>
    <n v="141.1"/>
    <x v="105"/>
    <x v="74"/>
    <x v="6"/>
    <n v="6.22"/>
    <x v="386"/>
    <x v="0"/>
    <x v="1"/>
    <x v="0"/>
    <x v="646"/>
    <x v="0"/>
    <x v="0"/>
    <x v="701"/>
  </r>
  <r>
    <x v="66"/>
    <x v="3"/>
    <x v="3"/>
    <s v="Masters"/>
    <n v="5"/>
    <n v="158.5"/>
    <x v="106"/>
    <x v="45"/>
    <x v="1"/>
    <n v="6.72"/>
    <x v="453"/>
    <x v="2"/>
    <x v="1"/>
    <x v="0"/>
    <x v="647"/>
    <x v="1"/>
    <x v="1"/>
    <x v="702"/>
  </r>
  <r>
    <x v="66"/>
    <x v="2"/>
    <x v="4"/>
    <s v="PhD"/>
    <n v="9"/>
    <n v="172.2"/>
    <x v="164"/>
    <x v="25"/>
    <x v="2"/>
    <n v="10"/>
    <x v="454"/>
    <x v="0"/>
    <x v="1"/>
    <x v="1"/>
    <x v="648"/>
    <x v="1"/>
    <x v="2"/>
    <x v="703"/>
  </r>
  <r>
    <x v="66"/>
    <x v="3"/>
    <x v="2"/>
    <s v="Masters"/>
    <n v="3"/>
    <n v="162.4"/>
    <x v="96"/>
    <x v="49"/>
    <x v="6"/>
    <n v="8.49"/>
    <x v="350"/>
    <x v="0"/>
    <x v="2"/>
    <x v="2"/>
    <x v="649"/>
    <x v="2"/>
    <x v="2"/>
    <x v="704"/>
  </r>
  <r>
    <x v="66"/>
    <x v="0"/>
    <x v="0"/>
    <s v="Masters"/>
    <n v="5"/>
    <n v="167.4"/>
    <x v="7"/>
    <x v="78"/>
    <x v="8"/>
    <n v="9.85"/>
    <x v="10"/>
    <x v="2"/>
    <x v="0"/>
    <x v="0"/>
    <x v="650"/>
    <x v="3"/>
    <x v="2"/>
    <x v="438"/>
  </r>
  <r>
    <x v="66"/>
    <x v="4"/>
    <x v="1"/>
    <s v="PhD"/>
    <n v="9"/>
    <n v="165.6"/>
    <x v="58"/>
    <x v="0"/>
    <x v="5"/>
    <n v="7.79"/>
    <x v="9"/>
    <x v="2"/>
    <x v="2"/>
    <x v="0"/>
    <x v="506"/>
    <x v="4"/>
    <x v="2"/>
    <x v="519"/>
  </r>
  <r>
    <x v="66"/>
    <x v="2"/>
    <x v="0"/>
    <s v="Masters"/>
    <n v="5"/>
    <n v="152.30000000000001"/>
    <x v="47"/>
    <x v="41"/>
    <x v="4"/>
    <n v="6.65"/>
    <x v="207"/>
    <x v="2"/>
    <x v="2"/>
    <x v="2"/>
    <x v="651"/>
    <x v="5"/>
    <x v="2"/>
    <x v="705"/>
  </r>
  <r>
    <x v="66"/>
    <x v="4"/>
    <x v="4"/>
    <s v="Masters"/>
    <n v="10"/>
    <n v="142.9"/>
    <x v="26"/>
    <x v="12"/>
    <x v="5"/>
    <n v="8.94"/>
    <x v="455"/>
    <x v="0"/>
    <x v="0"/>
    <x v="1"/>
    <x v="652"/>
    <x v="6"/>
    <x v="1"/>
    <x v="706"/>
  </r>
  <r>
    <x v="66"/>
    <x v="2"/>
    <x v="3"/>
    <s v="Masters"/>
    <n v="3"/>
    <n v="168.7"/>
    <x v="143"/>
    <x v="30"/>
    <x v="3"/>
    <n v="5.23"/>
    <x v="456"/>
    <x v="1"/>
    <x v="0"/>
    <x v="0"/>
    <x v="653"/>
    <x v="7"/>
    <x v="2"/>
    <x v="707"/>
  </r>
  <r>
    <x v="66"/>
    <x v="0"/>
    <x v="3"/>
    <s v="PhD"/>
    <n v="9"/>
    <n v="147.4"/>
    <x v="164"/>
    <x v="0"/>
    <x v="8"/>
    <n v="6.5"/>
    <x v="430"/>
    <x v="0"/>
    <x v="1"/>
    <x v="0"/>
    <x v="615"/>
    <x v="8"/>
    <x v="0"/>
    <x v="708"/>
  </r>
  <r>
    <x v="66"/>
    <x v="3"/>
    <x v="0"/>
    <s v="Masters"/>
    <n v="4"/>
    <n v="150.5"/>
    <x v="102"/>
    <x v="46"/>
    <x v="3"/>
    <n v="6.75"/>
    <x v="10"/>
    <x v="2"/>
    <x v="2"/>
    <x v="2"/>
    <x v="387"/>
    <x v="9"/>
    <x v="0"/>
    <x v="709"/>
  </r>
  <r>
    <x v="67"/>
    <x v="2"/>
    <x v="1"/>
    <s v="Bachelors"/>
    <n v="7"/>
    <n v="163.19999999999999"/>
    <x v="1"/>
    <x v="0"/>
    <x v="5"/>
    <n v="6.45"/>
    <x v="457"/>
    <x v="2"/>
    <x v="1"/>
    <x v="0"/>
    <x v="654"/>
    <x v="0"/>
    <x v="2"/>
    <x v="710"/>
  </r>
  <r>
    <x v="67"/>
    <x v="1"/>
    <x v="3"/>
    <s v="PhD"/>
    <n v="1"/>
    <n v="160.6"/>
    <x v="162"/>
    <x v="73"/>
    <x v="8"/>
    <n v="7.21"/>
    <x v="448"/>
    <x v="2"/>
    <x v="2"/>
    <x v="0"/>
    <x v="655"/>
    <x v="0"/>
    <x v="0"/>
    <x v="711"/>
  </r>
  <r>
    <x v="67"/>
    <x v="1"/>
    <x v="4"/>
    <s v="Masters"/>
    <n v="4"/>
    <n v="165.2"/>
    <x v="90"/>
    <x v="8"/>
    <x v="6"/>
    <n v="6.07"/>
    <x v="458"/>
    <x v="2"/>
    <x v="0"/>
    <x v="0"/>
    <x v="3"/>
    <x v="1"/>
    <x v="0"/>
    <x v="712"/>
  </r>
  <r>
    <x v="67"/>
    <x v="1"/>
    <x v="1"/>
    <s v="PhD"/>
    <n v="8"/>
    <n v="157.6"/>
    <x v="7"/>
    <x v="81"/>
    <x v="1"/>
    <n v="6.34"/>
    <x v="348"/>
    <x v="1"/>
    <x v="0"/>
    <x v="1"/>
    <x v="286"/>
    <x v="1"/>
    <x v="2"/>
    <x v="713"/>
  </r>
  <r>
    <x v="67"/>
    <x v="3"/>
    <x v="4"/>
    <s v="Bachelors"/>
    <n v="7"/>
    <n v="155.1"/>
    <x v="59"/>
    <x v="88"/>
    <x v="4"/>
    <n v="8.85"/>
    <x v="459"/>
    <x v="2"/>
    <x v="2"/>
    <x v="1"/>
    <x v="656"/>
    <x v="2"/>
    <x v="1"/>
    <x v="714"/>
  </r>
  <r>
    <x v="67"/>
    <x v="3"/>
    <x v="4"/>
    <s v="PhD"/>
    <n v="1"/>
    <n v="150.4"/>
    <x v="68"/>
    <x v="66"/>
    <x v="5"/>
    <n v="5.38"/>
    <x v="460"/>
    <x v="2"/>
    <x v="1"/>
    <x v="1"/>
    <x v="39"/>
    <x v="3"/>
    <x v="0"/>
    <x v="715"/>
  </r>
  <r>
    <x v="67"/>
    <x v="1"/>
    <x v="2"/>
    <s v="PhD"/>
    <n v="6"/>
    <n v="179.5"/>
    <x v="9"/>
    <x v="40"/>
    <x v="6"/>
    <n v="7.66"/>
    <x v="213"/>
    <x v="2"/>
    <x v="0"/>
    <x v="0"/>
    <x v="657"/>
    <x v="4"/>
    <x v="1"/>
    <x v="716"/>
  </r>
  <r>
    <x v="67"/>
    <x v="4"/>
    <x v="0"/>
    <s v="Bachelors"/>
    <n v="1"/>
    <n v="160.69999999999999"/>
    <x v="165"/>
    <x v="51"/>
    <x v="0"/>
    <n v="8.17"/>
    <x v="461"/>
    <x v="2"/>
    <x v="1"/>
    <x v="0"/>
    <x v="658"/>
    <x v="5"/>
    <x v="2"/>
    <x v="717"/>
  </r>
  <r>
    <x v="67"/>
    <x v="2"/>
    <x v="1"/>
    <s v="Bachelors"/>
    <n v="2"/>
    <n v="145.30000000000001"/>
    <x v="154"/>
    <x v="67"/>
    <x v="8"/>
    <n v="8.09"/>
    <x v="244"/>
    <x v="2"/>
    <x v="2"/>
    <x v="2"/>
    <x v="659"/>
    <x v="6"/>
    <x v="1"/>
    <x v="718"/>
  </r>
  <r>
    <x v="67"/>
    <x v="0"/>
    <x v="3"/>
    <s v="PhD"/>
    <n v="1"/>
    <n v="164.6"/>
    <x v="30"/>
    <x v="22"/>
    <x v="6"/>
    <n v="8.1999999999999993"/>
    <x v="244"/>
    <x v="2"/>
    <x v="1"/>
    <x v="0"/>
    <x v="660"/>
    <x v="7"/>
    <x v="1"/>
    <x v="627"/>
  </r>
  <r>
    <x v="67"/>
    <x v="3"/>
    <x v="1"/>
    <s v="Masters"/>
    <n v="1"/>
    <n v="161.19999999999999"/>
    <x v="26"/>
    <x v="6"/>
    <x v="6"/>
    <n v="7.93"/>
    <x v="114"/>
    <x v="2"/>
    <x v="1"/>
    <x v="0"/>
    <x v="661"/>
    <x v="8"/>
    <x v="1"/>
    <x v="719"/>
  </r>
  <r>
    <x v="67"/>
    <x v="1"/>
    <x v="4"/>
    <s v="PhD"/>
    <n v="5"/>
    <n v="172.1"/>
    <x v="82"/>
    <x v="83"/>
    <x v="4"/>
    <n v="8.48"/>
    <x v="315"/>
    <x v="0"/>
    <x v="1"/>
    <x v="0"/>
    <x v="662"/>
    <x v="9"/>
    <x v="1"/>
    <x v="301"/>
  </r>
  <r>
    <x v="68"/>
    <x v="2"/>
    <x v="3"/>
    <s v="Bachelors"/>
    <n v="2"/>
    <n v="154.19999999999999"/>
    <x v="1"/>
    <x v="31"/>
    <x v="8"/>
    <n v="8.7799999999999994"/>
    <x v="102"/>
    <x v="0"/>
    <x v="0"/>
    <x v="1"/>
    <x v="569"/>
    <x v="0"/>
    <x v="1"/>
    <x v="720"/>
  </r>
  <r>
    <x v="68"/>
    <x v="4"/>
    <x v="4"/>
    <s v="Bachelors"/>
    <n v="9"/>
    <n v="175"/>
    <x v="56"/>
    <x v="8"/>
    <x v="0"/>
    <n v="5.64"/>
    <x v="462"/>
    <x v="2"/>
    <x v="0"/>
    <x v="2"/>
    <x v="663"/>
    <x v="0"/>
    <x v="1"/>
    <x v="721"/>
  </r>
  <r>
    <x v="68"/>
    <x v="3"/>
    <x v="1"/>
    <s v="Bachelors"/>
    <n v="7"/>
    <n v="183.9"/>
    <x v="149"/>
    <x v="42"/>
    <x v="0"/>
    <n v="6.96"/>
    <x v="160"/>
    <x v="2"/>
    <x v="2"/>
    <x v="2"/>
    <x v="664"/>
    <x v="1"/>
    <x v="0"/>
    <x v="345"/>
  </r>
  <r>
    <x v="68"/>
    <x v="4"/>
    <x v="3"/>
    <s v="Bachelors"/>
    <n v="8"/>
    <n v="169.2"/>
    <x v="1"/>
    <x v="21"/>
    <x v="8"/>
    <n v="8.39"/>
    <x v="463"/>
    <x v="0"/>
    <x v="2"/>
    <x v="1"/>
    <x v="665"/>
    <x v="1"/>
    <x v="1"/>
    <x v="722"/>
  </r>
  <r>
    <x v="68"/>
    <x v="2"/>
    <x v="3"/>
    <s v="Bachelors"/>
    <n v="8"/>
    <n v="162.30000000000001"/>
    <x v="1"/>
    <x v="51"/>
    <x v="6"/>
    <n v="7.03"/>
    <x v="53"/>
    <x v="0"/>
    <x v="2"/>
    <x v="1"/>
    <x v="666"/>
    <x v="2"/>
    <x v="0"/>
    <x v="723"/>
  </r>
  <r>
    <x v="68"/>
    <x v="1"/>
    <x v="2"/>
    <s v="Masters"/>
    <n v="3"/>
    <n v="166.7"/>
    <x v="71"/>
    <x v="87"/>
    <x v="4"/>
    <n v="7.87"/>
    <x v="464"/>
    <x v="0"/>
    <x v="2"/>
    <x v="1"/>
    <x v="667"/>
    <x v="3"/>
    <x v="1"/>
    <x v="724"/>
  </r>
  <r>
    <x v="68"/>
    <x v="3"/>
    <x v="1"/>
    <s v="Bachelors"/>
    <n v="10"/>
    <n v="161.69999999999999"/>
    <x v="92"/>
    <x v="7"/>
    <x v="8"/>
    <n v="8.06"/>
    <x v="412"/>
    <x v="2"/>
    <x v="2"/>
    <x v="0"/>
    <x v="668"/>
    <x v="4"/>
    <x v="0"/>
    <x v="725"/>
  </r>
  <r>
    <x v="68"/>
    <x v="2"/>
    <x v="2"/>
    <s v="PhD"/>
    <n v="5"/>
    <n v="154.9"/>
    <x v="59"/>
    <x v="73"/>
    <x v="8"/>
    <n v="7.37"/>
    <x v="370"/>
    <x v="0"/>
    <x v="1"/>
    <x v="0"/>
    <x v="669"/>
    <x v="5"/>
    <x v="2"/>
    <x v="375"/>
  </r>
  <r>
    <x v="68"/>
    <x v="2"/>
    <x v="3"/>
    <s v="PhD"/>
    <n v="6"/>
    <n v="155.80000000000001"/>
    <x v="1"/>
    <x v="10"/>
    <x v="1"/>
    <n v="6.44"/>
    <x v="465"/>
    <x v="2"/>
    <x v="1"/>
    <x v="1"/>
    <x v="670"/>
    <x v="6"/>
    <x v="1"/>
    <x v="189"/>
  </r>
  <r>
    <x v="68"/>
    <x v="2"/>
    <x v="0"/>
    <s v="Masters"/>
    <n v="7"/>
    <n v="175.4"/>
    <x v="123"/>
    <x v="59"/>
    <x v="6"/>
    <n v="8.69"/>
    <x v="466"/>
    <x v="0"/>
    <x v="1"/>
    <x v="2"/>
    <x v="671"/>
    <x v="7"/>
    <x v="2"/>
    <x v="726"/>
  </r>
  <r>
    <x v="68"/>
    <x v="0"/>
    <x v="1"/>
    <s v="Masters"/>
    <n v="7"/>
    <n v="169.3"/>
    <x v="1"/>
    <x v="8"/>
    <x v="6"/>
    <n v="7.25"/>
    <x v="467"/>
    <x v="2"/>
    <x v="0"/>
    <x v="0"/>
    <x v="672"/>
    <x v="8"/>
    <x v="0"/>
    <x v="727"/>
  </r>
  <r>
    <x v="68"/>
    <x v="0"/>
    <x v="3"/>
    <s v="Masters"/>
    <n v="3"/>
    <n v="151.69999999999999"/>
    <x v="54"/>
    <x v="72"/>
    <x v="10"/>
    <n v="7.39"/>
    <x v="468"/>
    <x v="2"/>
    <x v="1"/>
    <x v="2"/>
    <x v="673"/>
    <x v="9"/>
    <x v="0"/>
    <x v="728"/>
  </r>
  <r>
    <x v="69"/>
    <x v="1"/>
    <x v="1"/>
    <s v="PhD"/>
    <n v="4"/>
    <n v="149.9"/>
    <x v="1"/>
    <x v="66"/>
    <x v="0"/>
    <n v="3.6"/>
    <x v="262"/>
    <x v="0"/>
    <x v="1"/>
    <x v="2"/>
    <x v="620"/>
    <x v="0"/>
    <x v="2"/>
    <x v="729"/>
  </r>
  <r>
    <x v="69"/>
    <x v="3"/>
    <x v="0"/>
    <s v="PhD"/>
    <n v="4"/>
    <n v="177"/>
    <x v="33"/>
    <x v="17"/>
    <x v="8"/>
    <n v="6.41"/>
    <x v="469"/>
    <x v="2"/>
    <x v="1"/>
    <x v="0"/>
    <x v="674"/>
    <x v="0"/>
    <x v="2"/>
    <x v="730"/>
  </r>
  <r>
    <x v="69"/>
    <x v="4"/>
    <x v="2"/>
    <s v="PhD"/>
    <n v="1"/>
    <n v="154.69999999999999"/>
    <x v="1"/>
    <x v="91"/>
    <x v="0"/>
    <n v="9.5399999999999991"/>
    <x v="470"/>
    <x v="2"/>
    <x v="0"/>
    <x v="0"/>
    <x v="675"/>
    <x v="1"/>
    <x v="1"/>
    <x v="665"/>
  </r>
  <r>
    <x v="69"/>
    <x v="4"/>
    <x v="2"/>
    <s v="Masters"/>
    <n v="10"/>
    <n v="170.6"/>
    <x v="19"/>
    <x v="28"/>
    <x v="0"/>
    <n v="6.82"/>
    <x v="471"/>
    <x v="0"/>
    <x v="0"/>
    <x v="1"/>
    <x v="532"/>
    <x v="1"/>
    <x v="1"/>
    <x v="364"/>
  </r>
  <r>
    <x v="69"/>
    <x v="4"/>
    <x v="0"/>
    <s v="Masters"/>
    <n v="9"/>
    <n v="159.5"/>
    <x v="1"/>
    <x v="51"/>
    <x v="0"/>
    <n v="7.68"/>
    <x v="76"/>
    <x v="0"/>
    <x v="2"/>
    <x v="1"/>
    <x v="285"/>
    <x v="2"/>
    <x v="2"/>
    <x v="731"/>
  </r>
  <r>
    <x v="69"/>
    <x v="1"/>
    <x v="1"/>
    <s v="Masters"/>
    <n v="1"/>
    <n v="164.3"/>
    <x v="127"/>
    <x v="83"/>
    <x v="4"/>
    <n v="6.39"/>
    <x v="472"/>
    <x v="1"/>
    <x v="1"/>
    <x v="0"/>
    <x v="449"/>
    <x v="3"/>
    <x v="0"/>
    <x v="732"/>
  </r>
  <r>
    <x v="69"/>
    <x v="3"/>
    <x v="0"/>
    <s v="Masters"/>
    <n v="8"/>
    <n v="156.80000000000001"/>
    <x v="39"/>
    <x v="13"/>
    <x v="8"/>
    <n v="6.4"/>
    <x v="254"/>
    <x v="2"/>
    <x v="0"/>
    <x v="0"/>
    <x v="676"/>
    <x v="4"/>
    <x v="1"/>
    <x v="733"/>
  </r>
  <r>
    <x v="69"/>
    <x v="0"/>
    <x v="3"/>
    <s v="Bachelors"/>
    <n v="5"/>
    <n v="154.80000000000001"/>
    <x v="0"/>
    <x v="9"/>
    <x v="3"/>
    <n v="5.81"/>
    <x v="51"/>
    <x v="0"/>
    <x v="0"/>
    <x v="0"/>
    <x v="677"/>
    <x v="5"/>
    <x v="0"/>
    <x v="734"/>
  </r>
  <r>
    <x v="69"/>
    <x v="0"/>
    <x v="4"/>
    <s v="Bachelors"/>
    <n v="7"/>
    <n v="171.6"/>
    <x v="25"/>
    <x v="83"/>
    <x v="8"/>
    <m/>
    <x v="343"/>
    <x v="2"/>
    <x v="0"/>
    <x v="1"/>
    <x v="678"/>
    <x v="6"/>
    <x v="0"/>
    <x v="290"/>
  </r>
  <r>
    <x v="69"/>
    <x v="2"/>
    <x v="2"/>
    <s v="PhD"/>
    <n v="9"/>
    <n v="156.6"/>
    <x v="85"/>
    <x v="19"/>
    <x v="0"/>
    <n v="6.86"/>
    <x v="231"/>
    <x v="2"/>
    <x v="1"/>
    <x v="2"/>
    <x v="6"/>
    <x v="7"/>
    <x v="1"/>
    <x v="735"/>
  </r>
  <r>
    <x v="69"/>
    <x v="1"/>
    <x v="4"/>
    <s v="Masters"/>
    <n v="2"/>
    <n v="152.5"/>
    <x v="50"/>
    <x v="81"/>
    <x v="3"/>
    <n v="8.49"/>
    <x v="93"/>
    <x v="2"/>
    <x v="1"/>
    <x v="0"/>
    <x v="679"/>
    <x v="8"/>
    <x v="2"/>
    <x v="736"/>
  </r>
  <r>
    <x v="69"/>
    <x v="0"/>
    <x v="3"/>
    <s v="Bachelors"/>
    <n v="4"/>
    <n v="170.9"/>
    <x v="89"/>
    <x v="76"/>
    <x v="3"/>
    <m/>
    <x v="63"/>
    <x v="2"/>
    <x v="1"/>
    <x v="2"/>
    <x v="680"/>
    <x v="9"/>
    <x v="1"/>
    <x v="737"/>
  </r>
  <r>
    <x v="70"/>
    <x v="2"/>
    <x v="4"/>
    <s v="Masters"/>
    <n v="2"/>
    <n v="159.30000000000001"/>
    <x v="19"/>
    <x v="86"/>
    <x v="1"/>
    <n v="5.08"/>
    <x v="473"/>
    <x v="2"/>
    <x v="2"/>
    <x v="2"/>
    <x v="681"/>
    <x v="0"/>
    <x v="2"/>
    <x v="738"/>
  </r>
  <r>
    <x v="70"/>
    <x v="3"/>
    <x v="1"/>
    <s v="Bachelors"/>
    <n v="9"/>
    <n v="164"/>
    <x v="90"/>
    <x v="22"/>
    <x v="0"/>
    <n v="9.4"/>
    <x v="403"/>
    <x v="0"/>
    <x v="1"/>
    <x v="2"/>
    <x v="205"/>
    <x v="0"/>
    <x v="0"/>
    <x v="739"/>
  </r>
  <r>
    <x v="70"/>
    <x v="2"/>
    <x v="4"/>
    <s v="Masters"/>
    <n v="5"/>
    <n v="162.19999999999999"/>
    <x v="105"/>
    <x v="43"/>
    <x v="8"/>
    <n v="5.52"/>
    <x v="38"/>
    <x v="0"/>
    <x v="1"/>
    <x v="0"/>
    <x v="526"/>
    <x v="1"/>
    <x v="1"/>
    <x v="740"/>
  </r>
  <r>
    <x v="70"/>
    <x v="3"/>
    <x v="0"/>
    <s v="Masters"/>
    <n v="10"/>
    <n v="163.4"/>
    <x v="82"/>
    <x v="73"/>
    <x v="6"/>
    <n v="8.41"/>
    <x v="144"/>
    <x v="0"/>
    <x v="1"/>
    <x v="2"/>
    <x v="682"/>
    <x v="1"/>
    <x v="1"/>
    <x v="21"/>
  </r>
  <r>
    <x v="70"/>
    <x v="2"/>
    <x v="2"/>
    <s v="Bachelors"/>
    <n v="6"/>
    <n v="149.4"/>
    <x v="67"/>
    <x v="4"/>
    <x v="0"/>
    <n v="7.64"/>
    <x v="257"/>
    <x v="2"/>
    <x v="1"/>
    <x v="0"/>
    <x v="683"/>
    <x v="2"/>
    <x v="0"/>
    <x v="741"/>
  </r>
  <r>
    <x v="70"/>
    <x v="1"/>
    <x v="1"/>
    <s v="PhD"/>
    <n v="9"/>
    <n v="160.9"/>
    <x v="99"/>
    <x v="5"/>
    <x v="8"/>
    <n v="9.9499999999999993"/>
    <x v="212"/>
    <x v="2"/>
    <x v="0"/>
    <x v="0"/>
    <x v="684"/>
    <x v="3"/>
    <x v="1"/>
    <x v="533"/>
  </r>
  <r>
    <x v="70"/>
    <x v="4"/>
    <x v="0"/>
    <s v="Masters"/>
    <n v="2"/>
    <n v="179.5"/>
    <x v="129"/>
    <x v="29"/>
    <x v="1"/>
    <n v="7.35"/>
    <x v="10"/>
    <x v="2"/>
    <x v="0"/>
    <x v="2"/>
    <x v="592"/>
    <x v="4"/>
    <x v="0"/>
    <x v="742"/>
  </r>
  <r>
    <x v="70"/>
    <x v="4"/>
    <x v="3"/>
    <s v="Bachelors"/>
    <n v="5"/>
    <n v="159"/>
    <x v="10"/>
    <x v="2"/>
    <x v="1"/>
    <n v="6.87"/>
    <x v="22"/>
    <x v="2"/>
    <x v="2"/>
    <x v="1"/>
    <x v="685"/>
    <x v="5"/>
    <x v="1"/>
    <x v="743"/>
  </r>
  <r>
    <x v="70"/>
    <x v="4"/>
    <x v="1"/>
    <s v="Masters"/>
    <n v="9"/>
    <n v="148.19999999999999"/>
    <x v="38"/>
    <x v="36"/>
    <x v="0"/>
    <n v="8.6300000000000008"/>
    <x v="474"/>
    <x v="0"/>
    <x v="0"/>
    <x v="2"/>
    <x v="686"/>
    <x v="6"/>
    <x v="0"/>
    <x v="744"/>
  </r>
  <r>
    <x v="70"/>
    <x v="1"/>
    <x v="2"/>
    <s v="Bachelors"/>
    <n v="7"/>
    <n v="171.1"/>
    <x v="166"/>
    <x v="21"/>
    <x v="4"/>
    <n v="7.84"/>
    <x v="21"/>
    <x v="1"/>
    <x v="0"/>
    <x v="2"/>
    <x v="687"/>
    <x v="7"/>
    <x v="1"/>
    <x v="479"/>
  </r>
  <r>
    <x v="70"/>
    <x v="4"/>
    <x v="3"/>
    <s v="Bachelors"/>
    <n v="3"/>
    <n v="171.4"/>
    <x v="1"/>
    <x v="55"/>
    <x v="4"/>
    <n v="6.29"/>
    <x v="364"/>
    <x v="0"/>
    <x v="0"/>
    <x v="1"/>
    <x v="688"/>
    <x v="8"/>
    <x v="0"/>
    <x v="745"/>
  </r>
  <r>
    <x v="70"/>
    <x v="0"/>
    <x v="1"/>
    <s v="PhD"/>
    <n v="2"/>
    <n v="171"/>
    <x v="1"/>
    <x v="75"/>
    <x v="10"/>
    <n v="10"/>
    <x v="475"/>
    <x v="2"/>
    <x v="2"/>
    <x v="0"/>
    <x v="393"/>
    <x v="9"/>
    <x v="0"/>
    <x v="746"/>
  </r>
  <r>
    <x v="71"/>
    <x v="0"/>
    <x v="3"/>
    <s v="PhD"/>
    <n v="2"/>
    <n v="134.69999999999999"/>
    <x v="147"/>
    <x v="4"/>
    <x v="5"/>
    <n v="7.65"/>
    <x v="383"/>
    <x v="0"/>
    <x v="0"/>
    <x v="1"/>
    <x v="119"/>
    <x v="0"/>
    <x v="1"/>
    <x v="747"/>
  </r>
  <r>
    <x v="71"/>
    <x v="1"/>
    <x v="4"/>
    <s v="Bachelors"/>
    <n v="10"/>
    <n v="161.69999999999999"/>
    <x v="158"/>
    <x v="10"/>
    <x v="6"/>
    <n v="7.65"/>
    <x v="10"/>
    <x v="2"/>
    <x v="0"/>
    <x v="1"/>
    <x v="689"/>
    <x v="0"/>
    <x v="0"/>
    <x v="588"/>
  </r>
  <r>
    <x v="71"/>
    <x v="4"/>
    <x v="4"/>
    <s v="PhD"/>
    <n v="5"/>
    <n v="160.30000000000001"/>
    <x v="20"/>
    <x v="0"/>
    <x v="8"/>
    <n v="5.21"/>
    <x v="476"/>
    <x v="2"/>
    <x v="0"/>
    <x v="1"/>
    <x v="690"/>
    <x v="1"/>
    <x v="2"/>
    <x v="420"/>
  </r>
  <r>
    <x v="71"/>
    <x v="1"/>
    <x v="2"/>
    <s v="Masters"/>
    <n v="3"/>
    <n v="154.1"/>
    <x v="47"/>
    <x v="86"/>
    <x v="9"/>
    <n v="5.94"/>
    <x v="241"/>
    <x v="2"/>
    <x v="1"/>
    <x v="2"/>
    <x v="242"/>
    <x v="1"/>
    <x v="0"/>
    <x v="748"/>
  </r>
  <r>
    <x v="71"/>
    <x v="0"/>
    <x v="4"/>
    <s v="PhD"/>
    <n v="8"/>
    <n v="166.7"/>
    <x v="34"/>
    <x v="2"/>
    <x v="5"/>
    <n v="9.07"/>
    <x v="70"/>
    <x v="2"/>
    <x v="2"/>
    <x v="1"/>
    <x v="691"/>
    <x v="2"/>
    <x v="2"/>
    <x v="749"/>
  </r>
  <r>
    <x v="71"/>
    <x v="2"/>
    <x v="1"/>
    <s v="Bachelors"/>
    <n v="1"/>
    <n v="162.30000000000001"/>
    <x v="1"/>
    <x v="31"/>
    <x v="6"/>
    <n v="6.93"/>
    <x v="477"/>
    <x v="2"/>
    <x v="0"/>
    <x v="0"/>
    <x v="692"/>
    <x v="3"/>
    <x v="0"/>
    <x v="723"/>
  </r>
  <r>
    <x v="71"/>
    <x v="1"/>
    <x v="1"/>
    <s v="Bachelors"/>
    <n v="2"/>
    <n v="167.2"/>
    <x v="60"/>
    <x v="11"/>
    <x v="0"/>
    <n v="8.1"/>
    <x v="366"/>
    <x v="0"/>
    <x v="1"/>
    <x v="0"/>
    <x v="693"/>
    <x v="4"/>
    <x v="1"/>
    <x v="601"/>
  </r>
  <r>
    <x v="71"/>
    <x v="4"/>
    <x v="0"/>
    <s v="PhD"/>
    <n v="4"/>
    <n v="171.9"/>
    <x v="25"/>
    <x v="7"/>
    <x v="1"/>
    <n v="8.01"/>
    <x v="336"/>
    <x v="0"/>
    <x v="0"/>
    <x v="0"/>
    <x v="694"/>
    <x v="5"/>
    <x v="2"/>
    <x v="750"/>
  </r>
  <r>
    <x v="71"/>
    <x v="1"/>
    <x v="4"/>
    <s v="Masters"/>
    <n v="6"/>
    <n v="156"/>
    <x v="40"/>
    <x v="68"/>
    <x v="6"/>
    <n v="10"/>
    <x v="262"/>
    <x v="0"/>
    <x v="0"/>
    <x v="1"/>
    <x v="135"/>
    <x v="6"/>
    <x v="2"/>
    <x v="67"/>
  </r>
  <r>
    <x v="71"/>
    <x v="0"/>
    <x v="0"/>
    <s v="Masters"/>
    <n v="8"/>
    <n v="162.30000000000001"/>
    <x v="104"/>
    <x v="15"/>
    <x v="7"/>
    <m/>
    <x v="116"/>
    <x v="2"/>
    <x v="2"/>
    <x v="2"/>
    <x v="428"/>
    <x v="7"/>
    <x v="0"/>
    <x v="751"/>
  </r>
  <r>
    <x v="71"/>
    <x v="2"/>
    <x v="3"/>
    <s v="Masters"/>
    <n v="4"/>
    <n v="160.69999999999999"/>
    <x v="167"/>
    <x v="46"/>
    <x v="4"/>
    <m/>
    <x v="82"/>
    <x v="2"/>
    <x v="2"/>
    <x v="2"/>
    <x v="695"/>
    <x v="8"/>
    <x v="2"/>
    <x v="752"/>
  </r>
  <r>
    <x v="71"/>
    <x v="0"/>
    <x v="4"/>
    <s v="PhD"/>
    <n v="3"/>
    <n v="162.5"/>
    <x v="56"/>
    <x v="14"/>
    <x v="8"/>
    <n v="8.3800000000000008"/>
    <x v="318"/>
    <x v="2"/>
    <x v="2"/>
    <x v="2"/>
    <x v="696"/>
    <x v="9"/>
    <x v="2"/>
    <x v="753"/>
  </r>
  <r>
    <x v="72"/>
    <x v="0"/>
    <x v="2"/>
    <s v="Bachelors"/>
    <n v="3"/>
    <n v="166.4"/>
    <x v="42"/>
    <x v="16"/>
    <x v="1"/>
    <n v="7.1"/>
    <x v="478"/>
    <x v="2"/>
    <x v="1"/>
    <x v="1"/>
    <x v="285"/>
    <x v="0"/>
    <x v="2"/>
    <x v="754"/>
  </r>
  <r>
    <x v="72"/>
    <x v="2"/>
    <x v="4"/>
    <s v="Bachelors"/>
    <n v="9"/>
    <n v="176.3"/>
    <x v="73"/>
    <x v="25"/>
    <x v="5"/>
    <n v="9.0500000000000007"/>
    <x v="479"/>
    <x v="0"/>
    <x v="1"/>
    <x v="1"/>
    <x v="697"/>
    <x v="0"/>
    <x v="0"/>
    <x v="755"/>
  </r>
  <r>
    <x v="72"/>
    <x v="0"/>
    <x v="3"/>
    <s v="PhD"/>
    <n v="6"/>
    <n v="175.3"/>
    <x v="54"/>
    <x v="21"/>
    <x v="3"/>
    <n v="9.8000000000000007"/>
    <x v="164"/>
    <x v="0"/>
    <x v="0"/>
    <x v="2"/>
    <x v="260"/>
    <x v="1"/>
    <x v="0"/>
    <x v="756"/>
  </r>
  <r>
    <x v="72"/>
    <x v="3"/>
    <x v="2"/>
    <s v="PhD"/>
    <n v="10"/>
    <n v="165.4"/>
    <x v="111"/>
    <x v="64"/>
    <x v="0"/>
    <n v="4.59"/>
    <x v="124"/>
    <x v="0"/>
    <x v="0"/>
    <x v="1"/>
    <x v="698"/>
    <x v="1"/>
    <x v="2"/>
    <x v="58"/>
  </r>
  <r>
    <x v="72"/>
    <x v="2"/>
    <x v="2"/>
    <s v="Bachelors"/>
    <n v="9"/>
    <n v="176.1"/>
    <x v="107"/>
    <x v="98"/>
    <x v="8"/>
    <n v="8.33"/>
    <x v="268"/>
    <x v="0"/>
    <x v="1"/>
    <x v="2"/>
    <x v="15"/>
    <x v="2"/>
    <x v="2"/>
    <x v="757"/>
  </r>
  <r>
    <x v="72"/>
    <x v="4"/>
    <x v="1"/>
    <s v="PhD"/>
    <n v="2"/>
    <n v="151.9"/>
    <x v="107"/>
    <x v="9"/>
    <x v="0"/>
    <n v="7.86"/>
    <x v="34"/>
    <x v="2"/>
    <x v="2"/>
    <x v="1"/>
    <x v="699"/>
    <x v="3"/>
    <x v="2"/>
    <x v="758"/>
  </r>
  <r>
    <x v="72"/>
    <x v="4"/>
    <x v="0"/>
    <s v="Masters"/>
    <n v="5"/>
    <n v="170.4"/>
    <x v="1"/>
    <x v="54"/>
    <x v="4"/>
    <n v="7.78"/>
    <x v="480"/>
    <x v="2"/>
    <x v="0"/>
    <x v="1"/>
    <x v="221"/>
    <x v="4"/>
    <x v="1"/>
    <x v="759"/>
  </r>
  <r>
    <x v="72"/>
    <x v="1"/>
    <x v="0"/>
    <s v="PhD"/>
    <n v="10"/>
    <n v="157"/>
    <x v="9"/>
    <x v="20"/>
    <x v="0"/>
    <n v="7.55"/>
    <x v="106"/>
    <x v="2"/>
    <x v="0"/>
    <x v="2"/>
    <x v="700"/>
    <x v="5"/>
    <x v="0"/>
    <x v="760"/>
  </r>
  <r>
    <x v="72"/>
    <x v="3"/>
    <x v="0"/>
    <s v="Masters"/>
    <n v="2"/>
    <n v="142.80000000000001"/>
    <x v="70"/>
    <x v="7"/>
    <x v="7"/>
    <n v="7.11"/>
    <x v="193"/>
    <x v="0"/>
    <x v="0"/>
    <x v="2"/>
    <x v="568"/>
    <x v="6"/>
    <x v="1"/>
    <x v="761"/>
  </r>
  <r>
    <x v="72"/>
    <x v="3"/>
    <x v="2"/>
    <s v="PhD"/>
    <n v="7"/>
    <n v="154.80000000000001"/>
    <x v="1"/>
    <x v="45"/>
    <x v="4"/>
    <n v="7.25"/>
    <x v="282"/>
    <x v="0"/>
    <x v="2"/>
    <x v="0"/>
    <x v="6"/>
    <x v="7"/>
    <x v="1"/>
    <x v="584"/>
  </r>
  <r>
    <x v="72"/>
    <x v="1"/>
    <x v="1"/>
    <s v="Masters"/>
    <n v="9"/>
    <n v="168.6"/>
    <x v="99"/>
    <x v="32"/>
    <x v="10"/>
    <n v="9.48"/>
    <x v="49"/>
    <x v="1"/>
    <x v="2"/>
    <x v="2"/>
    <x v="498"/>
    <x v="8"/>
    <x v="2"/>
    <x v="762"/>
  </r>
  <r>
    <x v="72"/>
    <x v="3"/>
    <x v="3"/>
    <s v="PhD"/>
    <n v="7"/>
    <n v="153.1"/>
    <x v="149"/>
    <x v="42"/>
    <x v="12"/>
    <n v="9.6999999999999993"/>
    <x v="289"/>
    <x v="2"/>
    <x v="0"/>
    <x v="1"/>
    <x v="11"/>
    <x v="9"/>
    <x v="1"/>
    <x v="763"/>
  </r>
  <r>
    <x v="73"/>
    <x v="0"/>
    <x v="1"/>
    <s v="Masters"/>
    <n v="9"/>
    <n v="146.6"/>
    <x v="80"/>
    <x v="86"/>
    <x v="6"/>
    <n v="9.5500000000000007"/>
    <x v="300"/>
    <x v="2"/>
    <x v="1"/>
    <x v="2"/>
    <x v="701"/>
    <x v="0"/>
    <x v="1"/>
    <x v="764"/>
  </r>
  <r>
    <x v="73"/>
    <x v="4"/>
    <x v="4"/>
    <s v="Masters"/>
    <n v="8"/>
    <n v="173.3"/>
    <x v="53"/>
    <x v="95"/>
    <x v="8"/>
    <n v="6.4"/>
    <x v="285"/>
    <x v="2"/>
    <x v="1"/>
    <x v="1"/>
    <x v="702"/>
    <x v="0"/>
    <x v="0"/>
    <x v="765"/>
  </r>
  <r>
    <x v="73"/>
    <x v="1"/>
    <x v="0"/>
    <s v="Masters"/>
    <n v="7"/>
    <n v="157.6"/>
    <x v="47"/>
    <x v="99"/>
    <x v="4"/>
    <n v="7.58"/>
    <x v="481"/>
    <x v="0"/>
    <x v="2"/>
    <x v="1"/>
    <x v="703"/>
    <x v="1"/>
    <x v="1"/>
    <x v="766"/>
  </r>
  <r>
    <x v="73"/>
    <x v="4"/>
    <x v="1"/>
    <s v="PhD"/>
    <n v="6"/>
    <n v="167.3"/>
    <x v="1"/>
    <x v="29"/>
    <x v="8"/>
    <n v="6.56"/>
    <x v="209"/>
    <x v="2"/>
    <x v="2"/>
    <x v="0"/>
    <x v="4"/>
    <x v="1"/>
    <x v="1"/>
    <x v="767"/>
  </r>
  <r>
    <x v="73"/>
    <x v="1"/>
    <x v="1"/>
    <s v="Bachelors"/>
    <n v="4"/>
    <n v="162.5"/>
    <x v="107"/>
    <x v="51"/>
    <x v="0"/>
    <n v="6.91"/>
    <x v="482"/>
    <x v="0"/>
    <x v="1"/>
    <x v="0"/>
    <x v="704"/>
    <x v="2"/>
    <x v="2"/>
    <x v="768"/>
  </r>
  <r>
    <x v="73"/>
    <x v="0"/>
    <x v="2"/>
    <s v="Bachelors"/>
    <n v="4"/>
    <n v="153.6"/>
    <x v="156"/>
    <x v="54"/>
    <x v="10"/>
    <n v="7.87"/>
    <x v="483"/>
    <x v="2"/>
    <x v="0"/>
    <x v="1"/>
    <x v="705"/>
    <x v="3"/>
    <x v="0"/>
    <x v="405"/>
  </r>
  <r>
    <x v="73"/>
    <x v="1"/>
    <x v="3"/>
    <s v="Masters"/>
    <n v="3"/>
    <n v="156.5"/>
    <x v="157"/>
    <x v="22"/>
    <x v="8"/>
    <n v="6.6"/>
    <x v="202"/>
    <x v="2"/>
    <x v="0"/>
    <x v="1"/>
    <x v="706"/>
    <x v="4"/>
    <x v="1"/>
    <x v="111"/>
  </r>
  <r>
    <x v="73"/>
    <x v="4"/>
    <x v="0"/>
    <s v="PhD"/>
    <n v="9"/>
    <n v="138.19999999999999"/>
    <x v="147"/>
    <x v="70"/>
    <x v="5"/>
    <n v="5.69"/>
    <x v="484"/>
    <x v="0"/>
    <x v="1"/>
    <x v="0"/>
    <x v="707"/>
    <x v="5"/>
    <x v="1"/>
    <x v="769"/>
  </r>
  <r>
    <x v="73"/>
    <x v="3"/>
    <x v="2"/>
    <s v="PhD"/>
    <n v="9"/>
    <n v="162.30000000000001"/>
    <x v="4"/>
    <x v="27"/>
    <x v="9"/>
    <n v="4.83"/>
    <x v="10"/>
    <x v="2"/>
    <x v="0"/>
    <x v="0"/>
    <x v="708"/>
    <x v="6"/>
    <x v="2"/>
    <x v="770"/>
  </r>
  <r>
    <x v="73"/>
    <x v="4"/>
    <x v="4"/>
    <s v="PhD"/>
    <n v="8"/>
    <n v="159.5"/>
    <x v="97"/>
    <x v="27"/>
    <x v="3"/>
    <n v="9.4"/>
    <x v="296"/>
    <x v="2"/>
    <x v="0"/>
    <x v="2"/>
    <x v="709"/>
    <x v="7"/>
    <x v="0"/>
    <x v="771"/>
  </r>
  <r>
    <x v="73"/>
    <x v="1"/>
    <x v="3"/>
    <s v="PhD"/>
    <n v="6"/>
    <n v="159.5"/>
    <x v="60"/>
    <x v="87"/>
    <x v="8"/>
    <n v="6.88"/>
    <x v="322"/>
    <x v="0"/>
    <x v="2"/>
    <x v="0"/>
    <x v="710"/>
    <x v="8"/>
    <x v="1"/>
    <x v="772"/>
  </r>
  <r>
    <x v="73"/>
    <x v="3"/>
    <x v="0"/>
    <s v="Masters"/>
    <n v="2"/>
    <n v="157.9"/>
    <x v="66"/>
    <x v="5"/>
    <x v="10"/>
    <n v="6.86"/>
    <x v="158"/>
    <x v="1"/>
    <x v="1"/>
    <x v="0"/>
    <x v="522"/>
    <x v="9"/>
    <x v="0"/>
    <x v="773"/>
  </r>
  <r>
    <x v="74"/>
    <x v="2"/>
    <x v="1"/>
    <s v="Bachelors"/>
    <n v="7"/>
    <n v="152"/>
    <x v="1"/>
    <x v="0"/>
    <x v="3"/>
    <n v="8.86"/>
    <x v="485"/>
    <x v="2"/>
    <x v="2"/>
    <x v="0"/>
    <x v="146"/>
    <x v="0"/>
    <x v="1"/>
    <x v="774"/>
  </r>
  <r>
    <x v="74"/>
    <x v="1"/>
    <x v="3"/>
    <s v="PhD"/>
    <n v="9"/>
    <n v="168.9"/>
    <x v="103"/>
    <x v="9"/>
    <x v="5"/>
    <n v="8.36"/>
    <x v="486"/>
    <x v="2"/>
    <x v="0"/>
    <x v="1"/>
    <x v="9"/>
    <x v="0"/>
    <x v="1"/>
    <x v="775"/>
  </r>
  <r>
    <x v="74"/>
    <x v="0"/>
    <x v="0"/>
    <s v="Masters"/>
    <n v="10"/>
    <n v="160.19999999999999"/>
    <x v="24"/>
    <x v="99"/>
    <x v="5"/>
    <n v="7.32"/>
    <x v="11"/>
    <x v="2"/>
    <x v="1"/>
    <x v="1"/>
    <x v="296"/>
    <x v="1"/>
    <x v="0"/>
    <x v="776"/>
  </r>
  <r>
    <x v="74"/>
    <x v="1"/>
    <x v="4"/>
    <s v="Bachelors"/>
    <n v="10"/>
    <n v="159.19999999999999"/>
    <x v="168"/>
    <x v="57"/>
    <x v="5"/>
    <n v="6.99"/>
    <x v="260"/>
    <x v="2"/>
    <x v="1"/>
    <x v="2"/>
    <x v="235"/>
    <x v="1"/>
    <x v="0"/>
    <x v="777"/>
  </r>
  <r>
    <x v="74"/>
    <x v="2"/>
    <x v="3"/>
    <s v="PhD"/>
    <n v="7"/>
    <n v="155.80000000000001"/>
    <x v="20"/>
    <x v="2"/>
    <x v="5"/>
    <n v="7.99"/>
    <x v="437"/>
    <x v="2"/>
    <x v="2"/>
    <x v="1"/>
    <x v="711"/>
    <x v="2"/>
    <x v="1"/>
    <x v="778"/>
  </r>
  <r>
    <x v="74"/>
    <x v="3"/>
    <x v="2"/>
    <s v="Masters"/>
    <n v="8"/>
    <n v="150.69999999999999"/>
    <x v="45"/>
    <x v="32"/>
    <x v="4"/>
    <n v="5.65"/>
    <x v="166"/>
    <x v="2"/>
    <x v="0"/>
    <x v="2"/>
    <x v="184"/>
    <x v="3"/>
    <x v="1"/>
    <x v="779"/>
  </r>
  <r>
    <x v="74"/>
    <x v="3"/>
    <x v="1"/>
    <s v="Masters"/>
    <n v="10"/>
    <n v="148.9"/>
    <x v="90"/>
    <x v="26"/>
    <x v="4"/>
    <n v="5.88"/>
    <x v="61"/>
    <x v="0"/>
    <x v="0"/>
    <x v="1"/>
    <x v="514"/>
    <x v="4"/>
    <x v="0"/>
    <x v="780"/>
  </r>
  <r>
    <x v="74"/>
    <x v="2"/>
    <x v="4"/>
    <s v="Masters"/>
    <n v="5"/>
    <n v="148.6"/>
    <x v="121"/>
    <x v="48"/>
    <x v="0"/>
    <n v="6.56"/>
    <x v="487"/>
    <x v="2"/>
    <x v="2"/>
    <x v="0"/>
    <x v="0"/>
    <x v="5"/>
    <x v="0"/>
    <x v="138"/>
  </r>
  <r>
    <x v="74"/>
    <x v="0"/>
    <x v="4"/>
    <s v="PhD"/>
    <n v="8"/>
    <n v="143.9"/>
    <x v="1"/>
    <x v="36"/>
    <x v="8"/>
    <n v="7.46"/>
    <x v="488"/>
    <x v="2"/>
    <x v="0"/>
    <x v="1"/>
    <x v="712"/>
    <x v="6"/>
    <x v="2"/>
    <x v="781"/>
  </r>
  <r>
    <x v="74"/>
    <x v="2"/>
    <x v="4"/>
    <s v="Masters"/>
    <n v="4"/>
    <n v="163"/>
    <x v="147"/>
    <x v="100"/>
    <x v="13"/>
    <n v="8.14"/>
    <x v="194"/>
    <x v="2"/>
    <x v="0"/>
    <x v="1"/>
    <x v="577"/>
    <x v="7"/>
    <x v="0"/>
    <x v="782"/>
  </r>
  <r>
    <x v="74"/>
    <x v="0"/>
    <x v="2"/>
    <s v="Bachelors"/>
    <n v="6"/>
    <n v="160.6"/>
    <x v="1"/>
    <x v="24"/>
    <x v="5"/>
    <n v="8.0500000000000007"/>
    <x v="164"/>
    <x v="2"/>
    <x v="0"/>
    <x v="2"/>
    <x v="713"/>
    <x v="8"/>
    <x v="1"/>
    <x v="679"/>
  </r>
  <r>
    <x v="74"/>
    <x v="3"/>
    <x v="3"/>
    <s v="Masters"/>
    <n v="3"/>
    <n v="161"/>
    <x v="84"/>
    <x v="75"/>
    <x v="6"/>
    <n v="6.69"/>
    <x v="35"/>
    <x v="2"/>
    <x v="2"/>
    <x v="1"/>
    <x v="159"/>
    <x v="9"/>
    <x v="0"/>
    <x v="783"/>
  </r>
  <r>
    <x v="75"/>
    <x v="3"/>
    <x v="1"/>
    <s v="Bachelors"/>
    <n v="5"/>
    <n v="152.69999999999999"/>
    <x v="86"/>
    <x v="64"/>
    <x v="9"/>
    <n v="5.84"/>
    <x v="489"/>
    <x v="2"/>
    <x v="2"/>
    <x v="0"/>
    <x v="549"/>
    <x v="0"/>
    <x v="2"/>
    <x v="784"/>
  </r>
  <r>
    <x v="75"/>
    <x v="0"/>
    <x v="4"/>
    <s v="Masters"/>
    <n v="4"/>
    <n v="154.1"/>
    <x v="57"/>
    <x v="19"/>
    <x v="0"/>
    <n v="7.98"/>
    <x v="126"/>
    <x v="0"/>
    <x v="2"/>
    <x v="2"/>
    <x v="480"/>
    <x v="0"/>
    <x v="1"/>
    <x v="785"/>
  </r>
  <r>
    <x v="75"/>
    <x v="1"/>
    <x v="0"/>
    <s v="PhD"/>
    <n v="3"/>
    <n v="160.1"/>
    <x v="1"/>
    <x v="5"/>
    <x v="4"/>
    <n v="10"/>
    <x v="3"/>
    <x v="2"/>
    <x v="0"/>
    <x v="2"/>
    <x v="714"/>
    <x v="1"/>
    <x v="1"/>
    <x v="786"/>
  </r>
  <r>
    <x v="75"/>
    <x v="3"/>
    <x v="2"/>
    <s v="Masters"/>
    <n v="7"/>
    <n v="156.4"/>
    <x v="113"/>
    <x v="65"/>
    <x v="8"/>
    <n v="6.46"/>
    <x v="490"/>
    <x v="2"/>
    <x v="0"/>
    <x v="1"/>
    <x v="467"/>
    <x v="1"/>
    <x v="1"/>
    <x v="110"/>
  </r>
  <r>
    <x v="75"/>
    <x v="0"/>
    <x v="4"/>
    <s v="PhD"/>
    <n v="9"/>
    <n v="159.9"/>
    <x v="98"/>
    <x v="16"/>
    <x v="8"/>
    <n v="6.51"/>
    <x v="372"/>
    <x v="2"/>
    <x v="2"/>
    <x v="0"/>
    <x v="635"/>
    <x v="2"/>
    <x v="2"/>
    <x v="787"/>
  </r>
  <r>
    <x v="75"/>
    <x v="3"/>
    <x v="1"/>
    <s v="PhD"/>
    <n v="8"/>
    <n v="149.30000000000001"/>
    <x v="47"/>
    <x v="68"/>
    <x v="0"/>
    <n v="6.14"/>
    <x v="412"/>
    <x v="0"/>
    <x v="2"/>
    <x v="1"/>
    <x v="303"/>
    <x v="3"/>
    <x v="2"/>
    <x v="788"/>
  </r>
  <r>
    <x v="75"/>
    <x v="4"/>
    <x v="3"/>
    <s v="PhD"/>
    <n v="7"/>
    <n v="150.69999999999999"/>
    <x v="67"/>
    <x v="2"/>
    <x v="7"/>
    <n v="9.35"/>
    <x v="86"/>
    <x v="2"/>
    <x v="0"/>
    <x v="0"/>
    <x v="715"/>
    <x v="4"/>
    <x v="0"/>
    <x v="789"/>
  </r>
  <r>
    <x v="75"/>
    <x v="2"/>
    <x v="1"/>
    <s v="Masters"/>
    <n v="2"/>
    <n v="162.1"/>
    <x v="115"/>
    <x v="13"/>
    <x v="7"/>
    <n v="9.56"/>
    <x v="27"/>
    <x v="0"/>
    <x v="1"/>
    <x v="2"/>
    <x v="83"/>
    <x v="5"/>
    <x v="0"/>
    <x v="790"/>
  </r>
  <r>
    <x v="75"/>
    <x v="1"/>
    <x v="3"/>
    <s v="PhD"/>
    <n v="5"/>
    <n v="156.30000000000001"/>
    <x v="36"/>
    <x v="35"/>
    <x v="5"/>
    <n v="7.06"/>
    <x v="33"/>
    <x v="0"/>
    <x v="2"/>
    <x v="0"/>
    <x v="716"/>
    <x v="6"/>
    <x v="1"/>
    <x v="791"/>
  </r>
  <r>
    <x v="75"/>
    <x v="3"/>
    <x v="0"/>
    <s v="Bachelors"/>
    <n v="4"/>
    <n v="160"/>
    <x v="24"/>
    <x v="8"/>
    <x v="0"/>
    <n v="6.83"/>
    <x v="42"/>
    <x v="2"/>
    <x v="0"/>
    <x v="0"/>
    <x v="717"/>
    <x v="7"/>
    <x v="1"/>
    <x v="792"/>
  </r>
  <r>
    <x v="75"/>
    <x v="3"/>
    <x v="2"/>
    <s v="Masters"/>
    <n v="4"/>
    <n v="157.19999999999999"/>
    <x v="1"/>
    <x v="68"/>
    <x v="3"/>
    <n v="8.56"/>
    <x v="491"/>
    <x v="2"/>
    <x v="0"/>
    <x v="2"/>
    <x v="542"/>
    <x v="8"/>
    <x v="1"/>
    <x v="793"/>
  </r>
  <r>
    <x v="75"/>
    <x v="2"/>
    <x v="3"/>
    <s v="Masters"/>
    <n v="4"/>
    <n v="152.9"/>
    <x v="8"/>
    <x v="42"/>
    <x v="10"/>
    <n v="10"/>
    <x v="468"/>
    <x v="0"/>
    <x v="1"/>
    <x v="2"/>
    <x v="718"/>
    <x v="9"/>
    <x v="0"/>
    <x v="794"/>
  </r>
  <r>
    <x v="76"/>
    <x v="0"/>
    <x v="4"/>
    <s v="PhD"/>
    <n v="1"/>
    <n v="168.3"/>
    <x v="80"/>
    <x v="60"/>
    <x v="8"/>
    <n v="7.88"/>
    <x v="492"/>
    <x v="0"/>
    <x v="2"/>
    <x v="0"/>
    <x v="252"/>
    <x v="0"/>
    <x v="2"/>
    <x v="795"/>
  </r>
  <r>
    <x v="76"/>
    <x v="4"/>
    <x v="1"/>
    <s v="PhD"/>
    <n v="10"/>
    <n v="174.2"/>
    <x v="113"/>
    <x v="20"/>
    <x v="4"/>
    <n v="8.6"/>
    <x v="417"/>
    <x v="0"/>
    <x v="1"/>
    <x v="1"/>
    <x v="719"/>
    <x v="0"/>
    <x v="2"/>
    <x v="165"/>
  </r>
  <r>
    <x v="76"/>
    <x v="4"/>
    <x v="4"/>
    <s v="Masters"/>
    <n v="5"/>
    <n v="159.5"/>
    <x v="123"/>
    <x v="25"/>
    <x v="8"/>
    <n v="8.58"/>
    <x v="124"/>
    <x v="0"/>
    <x v="0"/>
    <x v="0"/>
    <x v="720"/>
    <x v="1"/>
    <x v="0"/>
    <x v="772"/>
  </r>
  <r>
    <x v="76"/>
    <x v="1"/>
    <x v="1"/>
    <s v="Bachelors"/>
    <n v="2"/>
    <n v="156.80000000000001"/>
    <x v="76"/>
    <x v="44"/>
    <x v="1"/>
    <n v="7.15"/>
    <x v="437"/>
    <x v="2"/>
    <x v="0"/>
    <x v="2"/>
    <x v="61"/>
    <x v="1"/>
    <x v="2"/>
    <x v="796"/>
  </r>
  <r>
    <x v="76"/>
    <x v="2"/>
    <x v="2"/>
    <s v="Bachelors"/>
    <n v="7"/>
    <n v="152.6"/>
    <x v="158"/>
    <x v="73"/>
    <x v="4"/>
    <m/>
    <x v="493"/>
    <x v="2"/>
    <x v="0"/>
    <x v="1"/>
    <x v="721"/>
    <x v="2"/>
    <x v="1"/>
    <x v="797"/>
  </r>
  <r>
    <x v="76"/>
    <x v="1"/>
    <x v="0"/>
    <s v="Masters"/>
    <n v="10"/>
    <n v="175.5"/>
    <x v="164"/>
    <x v="77"/>
    <x v="0"/>
    <n v="7.37"/>
    <x v="49"/>
    <x v="0"/>
    <x v="0"/>
    <x v="1"/>
    <x v="722"/>
    <x v="3"/>
    <x v="2"/>
    <x v="798"/>
  </r>
  <r>
    <x v="76"/>
    <x v="1"/>
    <x v="3"/>
    <s v="PhD"/>
    <n v="3"/>
    <n v="149.19999999999999"/>
    <x v="14"/>
    <x v="94"/>
    <x v="0"/>
    <n v="5.78"/>
    <x v="494"/>
    <x v="0"/>
    <x v="1"/>
    <x v="0"/>
    <x v="723"/>
    <x v="4"/>
    <x v="1"/>
    <x v="412"/>
  </r>
  <r>
    <x v="76"/>
    <x v="4"/>
    <x v="3"/>
    <s v="Bachelors"/>
    <n v="10"/>
    <n v="161.30000000000001"/>
    <x v="43"/>
    <x v="8"/>
    <x v="5"/>
    <n v="7.61"/>
    <x v="186"/>
    <x v="2"/>
    <x v="1"/>
    <x v="1"/>
    <x v="533"/>
    <x v="5"/>
    <x v="0"/>
    <x v="799"/>
  </r>
  <r>
    <x v="76"/>
    <x v="1"/>
    <x v="2"/>
    <s v="Bachelors"/>
    <n v="10"/>
    <n v="149.5"/>
    <x v="106"/>
    <x v="7"/>
    <x v="7"/>
    <n v="7.19"/>
    <x v="249"/>
    <x v="2"/>
    <x v="1"/>
    <x v="1"/>
    <x v="724"/>
    <x v="6"/>
    <x v="1"/>
    <x v="422"/>
  </r>
  <r>
    <x v="76"/>
    <x v="4"/>
    <x v="2"/>
    <s v="Masters"/>
    <n v="3"/>
    <n v="163.5"/>
    <x v="93"/>
    <x v="4"/>
    <x v="4"/>
    <n v="8.2200000000000006"/>
    <x v="435"/>
    <x v="2"/>
    <x v="0"/>
    <x v="2"/>
    <x v="464"/>
    <x v="7"/>
    <x v="0"/>
    <x v="426"/>
  </r>
  <r>
    <x v="76"/>
    <x v="4"/>
    <x v="0"/>
    <s v="Bachelors"/>
    <n v="3"/>
    <n v="142.19999999999999"/>
    <x v="65"/>
    <x v="0"/>
    <x v="0"/>
    <n v="6.63"/>
    <x v="87"/>
    <x v="0"/>
    <x v="2"/>
    <x v="0"/>
    <x v="638"/>
    <x v="8"/>
    <x v="1"/>
    <x v="800"/>
  </r>
  <r>
    <x v="76"/>
    <x v="3"/>
    <x v="0"/>
    <s v="Masters"/>
    <n v="8"/>
    <n v="181.3"/>
    <x v="39"/>
    <x v="92"/>
    <x v="4"/>
    <n v="8.82"/>
    <x v="353"/>
    <x v="0"/>
    <x v="2"/>
    <x v="0"/>
    <x v="725"/>
    <x v="9"/>
    <x v="1"/>
    <x v="801"/>
  </r>
  <r>
    <x v="77"/>
    <x v="0"/>
    <x v="0"/>
    <s v="PhD"/>
    <n v="10"/>
    <n v="185.5"/>
    <x v="1"/>
    <x v="8"/>
    <x v="8"/>
    <n v="5.32"/>
    <x v="331"/>
    <x v="0"/>
    <x v="2"/>
    <x v="0"/>
    <x v="450"/>
    <x v="0"/>
    <x v="2"/>
    <x v="802"/>
  </r>
  <r>
    <x v="77"/>
    <x v="1"/>
    <x v="3"/>
    <s v="Masters"/>
    <n v="3"/>
    <n v="168.4"/>
    <x v="169"/>
    <x v="97"/>
    <x v="14"/>
    <n v="9.0399999999999991"/>
    <x v="495"/>
    <x v="2"/>
    <x v="1"/>
    <x v="0"/>
    <x v="209"/>
    <x v="0"/>
    <x v="2"/>
    <x v="803"/>
  </r>
  <r>
    <x v="77"/>
    <x v="4"/>
    <x v="4"/>
    <s v="PhD"/>
    <n v="1"/>
    <n v="164"/>
    <x v="90"/>
    <x v="74"/>
    <x v="6"/>
    <n v="9.6199999999999992"/>
    <x v="88"/>
    <x v="0"/>
    <x v="0"/>
    <x v="0"/>
    <x v="726"/>
    <x v="1"/>
    <x v="0"/>
    <x v="804"/>
  </r>
  <r>
    <x v="77"/>
    <x v="0"/>
    <x v="0"/>
    <s v="Masters"/>
    <n v="6"/>
    <n v="173.1"/>
    <x v="97"/>
    <x v="51"/>
    <x v="13"/>
    <n v="4"/>
    <x v="496"/>
    <x v="0"/>
    <x v="0"/>
    <x v="2"/>
    <x v="727"/>
    <x v="1"/>
    <x v="1"/>
    <x v="805"/>
  </r>
  <r>
    <x v="77"/>
    <x v="2"/>
    <x v="4"/>
    <s v="PhD"/>
    <n v="4"/>
    <n v="155.9"/>
    <x v="65"/>
    <x v="4"/>
    <x v="6"/>
    <n v="7.96"/>
    <x v="71"/>
    <x v="2"/>
    <x v="0"/>
    <x v="2"/>
    <x v="728"/>
    <x v="2"/>
    <x v="2"/>
    <x v="806"/>
  </r>
  <r>
    <x v="77"/>
    <x v="1"/>
    <x v="3"/>
    <s v="Masters"/>
    <n v="3"/>
    <n v="163.5"/>
    <x v="104"/>
    <x v="23"/>
    <x v="4"/>
    <n v="9.7200000000000006"/>
    <x v="377"/>
    <x v="0"/>
    <x v="0"/>
    <x v="0"/>
    <x v="409"/>
    <x v="3"/>
    <x v="0"/>
    <x v="426"/>
  </r>
  <r>
    <x v="77"/>
    <x v="1"/>
    <x v="2"/>
    <s v="Bachelors"/>
    <n v="1"/>
    <n v="159.30000000000001"/>
    <x v="73"/>
    <x v="25"/>
    <x v="1"/>
    <n v="6.39"/>
    <x v="497"/>
    <x v="2"/>
    <x v="1"/>
    <x v="0"/>
    <x v="672"/>
    <x v="4"/>
    <x v="0"/>
    <x v="738"/>
  </r>
  <r>
    <x v="77"/>
    <x v="1"/>
    <x v="1"/>
    <s v="PhD"/>
    <n v="10"/>
    <n v="167.9"/>
    <x v="0"/>
    <x v="69"/>
    <x v="10"/>
    <n v="4.47"/>
    <x v="10"/>
    <x v="0"/>
    <x v="1"/>
    <x v="1"/>
    <x v="688"/>
    <x v="5"/>
    <x v="0"/>
    <x v="807"/>
  </r>
  <r>
    <x v="77"/>
    <x v="2"/>
    <x v="1"/>
    <s v="Bachelors"/>
    <n v="6"/>
    <n v="145.19999999999999"/>
    <x v="129"/>
    <x v="35"/>
    <x v="7"/>
    <n v="10"/>
    <x v="498"/>
    <x v="2"/>
    <x v="0"/>
    <x v="1"/>
    <x v="729"/>
    <x v="6"/>
    <x v="0"/>
    <x v="808"/>
  </r>
  <r>
    <x v="77"/>
    <x v="0"/>
    <x v="2"/>
    <s v="PhD"/>
    <n v="5"/>
    <n v="161.1"/>
    <x v="70"/>
    <x v="23"/>
    <x v="0"/>
    <n v="8.65"/>
    <x v="499"/>
    <x v="2"/>
    <x v="0"/>
    <x v="1"/>
    <x v="193"/>
    <x v="7"/>
    <x v="1"/>
    <x v="809"/>
  </r>
  <r>
    <x v="77"/>
    <x v="2"/>
    <x v="0"/>
    <s v="PhD"/>
    <n v="8"/>
    <n v="174.5"/>
    <x v="137"/>
    <x v="18"/>
    <x v="0"/>
    <n v="7.87"/>
    <x v="73"/>
    <x v="2"/>
    <x v="1"/>
    <x v="1"/>
    <x v="730"/>
    <x v="8"/>
    <x v="1"/>
    <x v="810"/>
  </r>
  <r>
    <x v="77"/>
    <x v="0"/>
    <x v="0"/>
    <s v="Bachelors"/>
    <n v="3"/>
    <n v="162.1"/>
    <x v="27"/>
    <x v="75"/>
    <x v="5"/>
    <n v="6.15"/>
    <x v="500"/>
    <x v="2"/>
    <x v="2"/>
    <x v="0"/>
    <x v="731"/>
    <x v="9"/>
    <x v="1"/>
    <x v="523"/>
  </r>
  <r>
    <x v="78"/>
    <x v="4"/>
    <x v="2"/>
    <s v="Masters"/>
    <n v="9"/>
    <n v="156.4"/>
    <x v="53"/>
    <x v="58"/>
    <x v="0"/>
    <n v="9.36"/>
    <x v="278"/>
    <x v="2"/>
    <x v="1"/>
    <x v="1"/>
    <x v="732"/>
    <x v="0"/>
    <x v="0"/>
    <x v="531"/>
  </r>
  <r>
    <x v="78"/>
    <x v="3"/>
    <x v="2"/>
    <s v="PhD"/>
    <n v="1"/>
    <n v="160.6"/>
    <x v="89"/>
    <x v="43"/>
    <x v="10"/>
    <n v="10"/>
    <x v="27"/>
    <x v="2"/>
    <x v="1"/>
    <x v="0"/>
    <x v="733"/>
    <x v="0"/>
    <x v="0"/>
    <x v="811"/>
  </r>
  <r>
    <x v="78"/>
    <x v="0"/>
    <x v="3"/>
    <s v="Masters"/>
    <n v="4"/>
    <n v="162.5"/>
    <x v="16"/>
    <x v="101"/>
    <x v="0"/>
    <n v="7.09"/>
    <x v="352"/>
    <x v="0"/>
    <x v="2"/>
    <x v="0"/>
    <x v="101"/>
    <x v="1"/>
    <x v="1"/>
    <x v="768"/>
  </r>
  <r>
    <x v="78"/>
    <x v="2"/>
    <x v="3"/>
    <s v="PhD"/>
    <n v="8"/>
    <n v="145.69999999999999"/>
    <x v="62"/>
    <x v="0"/>
    <x v="5"/>
    <n v="9.11"/>
    <x v="404"/>
    <x v="0"/>
    <x v="2"/>
    <x v="1"/>
    <x v="52"/>
    <x v="1"/>
    <x v="0"/>
    <x v="812"/>
  </r>
  <r>
    <x v="78"/>
    <x v="1"/>
    <x v="2"/>
    <s v="Bachelors"/>
    <n v="9"/>
    <n v="151.1"/>
    <x v="11"/>
    <x v="30"/>
    <x v="12"/>
    <n v="7.17"/>
    <x v="111"/>
    <x v="2"/>
    <x v="2"/>
    <x v="1"/>
    <x v="2"/>
    <x v="2"/>
    <x v="2"/>
    <x v="813"/>
  </r>
  <r>
    <x v="78"/>
    <x v="2"/>
    <x v="0"/>
    <s v="Masters"/>
    <n v="8"/>
    <n v="159.9"/>
    <x v="1"/>
    <x v="35"/>
    <x v="0"/>
    <n v="5.48"/>
    <x v="198"/>
    <x v="2"/>
    <x v="1"/>
    <x v="0"/>
    <x v="709"/>
    <x v="3"/>
    <x v="0"/>
    <x v="814"/>
  </r>
  <r>
    <x v="78"/>
    <x v="4"/>
    <x v="1"/>
    <s v="PhD"/>
    <n v="10"/>
    <n v="174.1"/>
    <x v="113"/>
    <x v="41"/>
    <x v="8"/>
    <n v="5.23"/>
    <x v="93"/>
    <x v="2"/>
    <x v="1"/>
    <x v="2"/>
    <x v="201"/>
    <x v="4"/>
    <x v="1"/>
    <x v="815"/>
  </r>
  <r>
    <x v="78"/>
    <x v="2"/>
    <x v="1"/>
    <s v="Masters"/>
    <n v="4"/>
    <n v="165.8"/>
    <x v="59"/>
    <x v="9"/>
    <x v="6"/>
    <n v="8.5500000000000007"/>
    <x v="209"/>
    <x v="0"/>
    <x v="2"/>
    <x v="2"/>
    <x v="696"/>
    <x v="5"/>
    <x v="2"/>
    <x v="175"/>
  </r>
  <r>
    <x v="78"/>
    <x v="3"/>
    <x v="1"/>
    <s v="Bachelors"/>
    <n v="8"/>
    <n v="144.6"/>
    <x v="1"/>
    <x v="27"/>
    <x v="8"/>
    <n v="7.36"/>
    <x v="257"/>
    <x v="2"/>
    <x v="2"/>
    <x v="2"/>
    <x v="734"/>
    <x v="6"/>
    <x v="1"/>
    <x v="816"/>
  </r>
  <r>
    <x v="78"/>
    <x v="1"/>
    <x v="2"/>
    <s v="Masters"/>
    <n v="3"/>
    <n v="158.9"/>
    <x v="143"/>
    <x v="22"/>
    <x v="4"/>
    <n v="9.8000000000000007"/>
    <x v="88"/>
    <x v="2"/>
    <x v="1"/>
    <x v="0"/>
    <x v="356"/>
    <x v="7"/>
    <x v="1"/>
    <x v="15"/>
  </r>
  <r>
    <x v="78"/>
    <x v="0"/>
    <x v="0"/>
    <s v="Bachelors"/>
    <n v="3"/>
    <n v="151.1"/>
    <x v="78"/>
    <x v="73"/>
    <x v="5"/>
    <n v="7.3"/>
    <x v="501"/>
    <x v="2"/>
    <x v="2"/>
    <x v="1"/>
    <x v="735"/>
    <x v="8"/>
    <x v="0"/>
    <x v="817"/>
  </r>
  <r>
    <x v="78"/>
    <x v="4"/>
    <x v="1"/>
    <s v="Bachelors"/>
    <n v="6"/>
    <n v="160"/>
    <x v="6"/>
    <x v="30"/>
    <x v="10"/>
    <n v="7.38"/>
    <x v="71"/>
    <x v="2"/>
    <x v="2"/>
    <x v="0"/>
    <x v="92"/>
    <x v="9"/>
    <x v="1"/>
    <x v="818"/>
  </r>
  <r>
    <x v="79"/>
    <x v="0"/>
    <x v="3"/>
    <s v="PhD"/>
    <n v="9"/>
    <n v="164.8"/>
    <x v="39"/>
    <x v="2"/>
    <x v="7"/>
    <n v="5.84"/>
    <x v="502"/>
    <x v="0"/>
    <x v="1"/>
    <x v="2"/>
    <x v="736"/>
    <x v="0"/>
    <x v="2"/>
    <x v="819"/>
  </r>
  <r>
    <x v="79"/>
    <x v="3"/>
    <x v="3"/>
    <s v="Masters"/>
    <n v="1"/>
    <n v="137.69999999999999"/>
    <x v="1"/>
    <x v="52"/>
    <x v="3"/>
    <n v="5.61"/>
    <x v="409"/>
    <x v="2"/>
    <x v="1"/>
    <x v="0"/>
    <x v="702"/>
    <x v="0"/>
    <x v="0"/>
    <x v="820"/>
  </r>
  <r>
    <x v="79"/>
    <x v="1"/>
    <x v="0"/>
    <s v="Masters"/>
    <n v="3"/>
    <n v="151.19999999999999"/>
    <x v="1"/>
    <x v="29"/>
    <x v="5"/>
    <n v="6.88"/>
    <x v="197"/>
    <x v="2"/>
    <x v="0"/>
    <x v="1"/>
    <x v="737"/>
    <x v="1"/>
    <x v="1"/>
    <x v="821"/>
  </r>
  <r>
    <x v="79"/>
    <x v="3"/>
    <x v="2"/>
    <s v="PhD"/>
    <n v="3"/>
    <n v="155.80000000000001"/>
    <x v="107"/>
    <x v="40"/>
    <x v="5"/>
    <n v="4.1500000000000004"/>
    <x v="379"/>
    <x v="2"/>
    <x v="1"/>
    <x v="0"/>
    <x v="738"/>
    <x v="1"/>
    <x v="0"/>
    <x v="778"/>
  </r>
  <r>
    <x v="79"/>
    <x v="0"/>
    <x v="0"/>
    <s v="Bachelors"/>
    <n v="9"/>
    <n v="165.2"/>
    <x v="52"/>
    <x v="60"/>
    <x v="1"/>
    <n v="4.97"/>
    <x v="330"/>
    <x v="0"/>
    <x v="2"/>
    <x v="1"/>
    <x v="18"/>
    <x v="2"/>
    <x v="1"/>
    <x v="822"/>
  </r>
  <r>
    <x v="79"/>
    <x v="1"/>
    <x v="3"/>
    <s v="Masters"/>
    <n v="8"/>
    <n v="168.2"/>
    <x v="170"/>
    <x v="65"/>
    <x v="8"/>
    <n v="7.88"/>
    <x v="503"/>
    <x v="2"/>
    <x v="0"/>
    <x v="1"/>
    <x v="155"/>
    <x v="3"/>
    <x v="0"/>
    <x v="823"/>
  </r>
  <r>
    <x v="79"/>
    <x v="3"/>
    <x v="0"/>
    <s v="Masters"/>
    <n v="3"/>
    <n v="157.69999999999999"/>
    <x v="66"/>
    <x v="24"/>
    <x v="1"/>
    <n v="5.1100000000000003"/>
    <x v="291"/>
    <x v="0"/>
    <x v="0"/>
    <x v="0"/>
    <x v="739"/>
    <x v="4"/>
    <x v="1"/>
    <x v="824"/>
  </r>
  <r>
    <x v="79"/>
    <x v="0"/>
    <x v="2"/>
    <s v="Masters"/>
    <n v="10"/>
    <n v="150.1"/>
    <x v="111"/>
    <x v="45"/>
    <x v="8"/>
    <n v="9.0399999999999991"/>
    <x v="504"/>
    <x v="2"/>
    <x v="0"/>
    <x v="2"/>
    <x v="740"/>
    <x v="5"/>
    <x v="2"/>
    <x v="89"/>
  </r>
  <r>
    <x v="79"/>
    <x v="4"/>
    <x v="2"/>
    <s v="Masters"/>
    <n v="10"/>
    <n v="137.30000000000001"/>
    <x v="90"/>
    <x v="75"/>
    <x v="3"/>
    <n v="6.25"/>
    <x v="505"/>
    <x v="2"/>
    <x v="2"/>
    <x v="0"/>
    <x v="128"/>
    <x v="6"/>
    <x v="0"/>
    <x v="825"/>
  </r>
  <r>
    <x v="79"/>
    <x v="0"/>
    <x v="1"/>
    <s v="PhD"/>
    <n v="3"/>
    <n v="169.9"/>
    <x v="149"/>
    <x v="13"/>
    <x v="3"/>
    <n v="9.49"/>
    <x v="375"/>
    <x v="2"/>
    <x v="2"/>
    <x v="0"/>
    <x v="568"/>
    <x v="7"/>
    <x v="1"/>
    <x v="826"/>
  </r>
  <r>
    <x v="79"/>
    <x v="1"/>
    <x v="0"/>
    <s v="Masters"/>
    <n v="4"/>
    <n v="157"/>
    <x v="90"/>
    <x v="67"/>
    <x v="5"/>
    <n v="8.74"/>
    <x v="506"/>
    <x v="0"/>
    <x v="2"/>
    <x v="2"/>
    <x v="741"/>
    <x v="8"/>
    <x v="0"/>
    <x v="654"/>
  </r>
  <r>
    <x v="79"/>
    <x v="2"/>
    <x v="2"/>
    <s v="Bachelors"/>
    <n v="3"/>
    <n v="169.6"/>
    <x v="89"/>
    <x v="13"/>
    <x v="8"/>
    <n v="8.7100000000000009"/>
    <x v="111"/>
    <x v="2"/>
    <x v="2"/>
    <x v="2"/>
    <x v="742"/>
    <x v="9"/>
    <x v="2"/>
    <x v="827"/>
  </r>
  <r>
    <x v="80"/>
    <x v="3"/>
    <x v="4"/>
    <s v="Bachelors"/>
    <n v="5"/>
    <n v="161.4"/>
    <x v="138"/>
    <x v="17"/>
    <x v="8"/>
    <n v="9.65"/>
    <x v="261"/>
    <x v="2"/>
    <x v="2"/>
    <x v="1"/>
    <x v="119"/>
    <x v="0"/>
    <x v="1"/>
    <x v="136"/>
  </r>
  <r>
    <x v="80"/>
    <x v="1"/>
    <x v="2"/>
    <s v="Masters"/>
    <n v="5"/>
    <n v="164.9"/>
    <x v="102"/>
    <x v="65"/>
    <x v="8"/>
    <n v="8.23"/>
    <x v="334"/>
    <x v="2"/>
    <x v="1"/>
    <x v="2"/>
    <x v="725"/>
    <x v="0"/>
    <x v="1"/>
    <x v="828"/>
  </r>
  <r>
    <x v="80"/>
    <x v="4"/>
    <x v="0"/>
    <s v="Bachelors"/>
    <n v="7"/>
    <n v="167"/>
    <x v="134"/>
    <x v="67"/>
    <x v="0"/>
    <n v="5.35"/>
    <x v="323"/>
    <x v="0"/>
    <x v="0"/>
    <x v="1"/>
    <x v="134"/>
    <x v="1"/>
    <x v="0"/>
    <x v="600"/>
  </r>
  <r>
    <x v="80"/>
    <x v="3"/>
    <x v="0"/>
    <s v="PhD"/>
    <n v="7"/>
    <n v="154.1"/>
    <x v="141"/>
    <x v="0"/>
    <x v="0"/>
    <n v="7.22"/>
    <x v="341"/>
    <x v="2"/>
    <x v="2"/>
    <x v="1"/>
    <x v="289"/>
    <x v="1"/>
    <x v="0"/>
    <x v="785"/>
  </r>
  <r>
    <x v="80"/>
    <x v="2"/>
    <x v="4"/>
    <s v="Bachelors"/>
    <n v="6"/>
    <n v="147.6"/>
    <x v="40"/>
    <x v="8"/>
    <x v="6"/>
    <n v="8.93"/>
    <x v="181"/>
    <x v="2"/>
    <x v="2"/>
    <x v="2"/>
    <x v="743"/>
    <x v="2"/>
    <x v="2"/>
    <x v="829"/>
  </r>
  <r>
    <x v="80"/>
    <x v="2"/>
    <x v="4"/>
    <s v="PhD"/>
    <n v="1"/>
    <n v="171.7"/>
    <x v="68"/>
    <x v="71"/>
    <x v="0"/>
    <n v="8.44"/>
    <x v="491"/>
    <x v="2"/>
    <x v="2"/>
    <x v="1"/>
    <x v="210"/>
    <x v="3"/>
    <x v="2"/>
    <x v="830"/>
  </r>
  <r>
    <x v="80"/>
    <x v="0"/>
    <x v="2"/>
    <s v="PhD"/>
    <n v="2"/>
    <n v="148.4"/>
    <x v="76"/>
    <x v="42"/>
    <x v="0"/>
    <n v="6.69"/>
    <x v="256"/>
    <x v="2"/>
    <x v="2"/>
    <x v="0"/>
    <x v="744"/>
    <x v="4"/>
    <x v="2"/>
    <x v="230"/>
  </r>
  <r>
    <x v="80"/>
    <x v="4"/>
    <x v="3"/>
    <s v="PhD"/>
    <n v="6"/>
    <n v="165.1"/>
    <x v="163"/>
    <x v="23"/>
    <x v="0"/>
    <n v="8.41"/>
    <x v="331"/>
    <x v="2"/>
    <x v="2"/>
    <x v="1"/>
    <x v="745"/>
    <x v="5"/>
    <x v="1"/>
    <x v="696"/>
  </r>
  <r>
    <x v="80"/>
    <x v="4"/>
    <x v="1"/>
    <s v="PhD"/>
    <n v="4"/>
    <n v="155.80000000000001"/>
    <x v="19"/>
    <x v="67"/>
    <x v="8"/>
    <n v="6.85"/>
    <x v="214"/>
    <x v="2"/>
    <x v="2"/>
    <x v="0"/>
    <x v="746"/>
    <x v="6"/>
    <x v="2"/>
    <x v="74"/>
  </r>
  <r>
    <x v="80"/>
    <x v="0"/>
    <x v="1"/>
    <s v="PhD"/>
    <n v="6"/>
    <n v="155.69999999999999"/>
    <x v="56"/>
    <x v="20"/>
    <x v="8"/>
    <n v="8.15"/>
    <x v="478"/>
    <x v="2"/>
    <x v="0"/>
    <x v="2"/>
    <x v="747"/>
    <x v="7"/>
    <x v="2"/>
    <x v="62"/>
  </r>
  <r>
    <x v="80"/>
    <x v="1"/>
    <x v="0"/>
    <s v="Masters"/>
    <n v="4"/>
    <n v="156"/>
    <x v="16"/>
    <x v="60"/>
    <x v="8"/>
    <n v="7.24"/>
    <x v="363"/>
    <x v="2"/>
    <x v="0"/>
    <x v="0"/>
    <x v="748"/>
    <x v="8"/>
    <x v="1"/>
    <x v="831"/>
  </r>
  <r>
    <x v="80"/>
    <x v="3"/>
    <x v="3"/>
    <s v="Bachelors"/>
    <n v="7"/>
    <n v="171.4"/>
    <x v="79"/>
    <x v="102"/>
    <x v="0"/>
    <n v="8.5299999999999994"/>
    <x v="10"/>
    <x v="0"/>
    <x v="2"/>
    <x v="0"/>
    <x v="749"/>
    <x v="9"/>
    <x v="1"/>
    <x v="832"/>
  </r>
  <r>
    <x v="81"/>
    <x v="2"/>
    <x v="2"/>
    <s v="Masters"/>
    <n v="3"/>
    <n v="167.4"/>
    <x v="62"/>
    <x v="59"/>
    <x v="8"/>
    <n v="7.74"/>
    <x v="507"/>
    <x v="2"/>
    <x v="1"/>
    <x v="0"/>
    <x v="750"/>
    <x v="0"/>
    <x v="1"/>
    <x v="438"/>
  </r>
  <r>
    <x v="81"/>
    <x v="4"/>
    <x v="2"/>
    <s v="PhD"/>
    <n v="1"/>
    <n v="162.9"/>
    <x v="20"/>
    <x v="64"/>
    <x v="5"/>
    <n v="8.27"/>
    <x v="16"/>
    <x v="2"/>
    <x v="0"/>
    <x v="0"/>
    <x v="751"/>
    <x v="0"/>
    <x v="1"/>
    <x v="833"/>
  </r>
  <r>
    <x v="81"/>
    <x v="4"/>
    <x v="2"/>
    <s v="Masters"/>
    <n v="7"/>
    <n v="170.4"/>
    <x v="27"/>
    <x v="68"/>
    <x v="0"/>
    <n v="8.3000000000000007"/>
    <x v="438"/>
    <x v="0"/>
    <x v="1"/>
    <x v="2"/>
    <x v="348"/>
    <x v="1"/>
    <x v="0"/>
    <x v="834"/>
  </r>
  <r>
    <x v="81"/>
    <x v="0"/>
    <x v="0"/>
    <s v="Masters"/>
    <n v="7"/>
    <n v="166.5"/>
    <x v="26"/>
    <x v="20"/>
    <x v="7"/>
    <m/>
    <x v="314"/>
    <x v="2"/>
    <x v="0"/>
    <x v="0"/>
    <x v="171"/>
    <x v="1"/>
    <x v="0"/>
    <x v="835"/>
  </r>
  <r>
    <x v="81"/>
    <x v="2"/>
    <x v="4"/>
    <s v="Bachelors"/>
    <n v="10"/>
    <n v="177.9"/>
    <x v="132"/>
    <x v="10"/>
    <x v="0"/>
    <n v="7.77"/>
    <x v="508"/>
    <x v="2"/>
    <x v="1"/>
    <x v="1"/>
    <x v="77"/>
    <x v="2"/>
    <x v="0"/>
    <x v="836"/>
  </r>
  <r>
    <x v="81"/>
    <x v="2"/>
    <x v="3"/>
    <s v="PhD"/>
    <n v="8"/>
    <n v="161"/>
    <x v="123"/>
    <x v="30"/>
    <x v="13"/>
    <n v="6.29"/>
    <x v="171"/>
    <x v="0"/>
    <x v="2"/>
    <x v="0"/>
    <x v="557"/>
    <x v="3"/>
    <x v="0"/>
    <x v="837"/>
  </r>
  <r>
    <x v="81"/>
    <x v="4"/>
    <x v="3"/>
    <s v="Masters"/>
    <n v="8"/>
    <n v="147.80000000000001"/>
    <x v="61"/>
    <x v="30"/>
    <x v="6"/>
    <m/>
    <x v="509"/>
    <x v="2"/>
    <x v="1"/>
    <x v="0"/>
    <x v="405"/>
    <x v="4"/>
    <x v="0"/>
    <x v="838"/>
  </r>
  <r>
    <x v="81"/>
    <x v="4"/>
    <x v="3"/>
    <s v="PhD"/>
    <n v="9"/>
    <n v="166.3"/>
    <x v="52"/>
    <x v="67"/>
    <x v="7"/>
    <m/>
    <x v="16"/>
    <x v="2"/>
    <x v="2"/>
    <x v="1"/>
    <x v="243"/>
    <x v="5"/>
    <x v="2"/>
    <x v="839"/>
  </r>
  <r>
    <x v="81"/>
    <x v="4"/>
    <x v="3"/>
    <s v="PhD"/>
    <n v="7"/>
    <n v="157.5"/>
    <x v="41"/>
    <x v="66"/>
    <x v="10"/>
    <n v="8.1999999999999993"/>
    <x v="496"/>
    <x v="2"/>
    <x v="0"/>
    <x v="0"/>
    <x v="371"/>
    <x v="6"/>
    <x v="0"/>
    <x v="840"/>
  </r>
  <r>
    <x v="81"/>
    <x v="0"/>
    <x v="1"/>
    <s v="Bachelors"/>
    <n v="6"/>
    <n v="142.4"/>
    <x v="82"/>
    <x v="79"/>
    <x v="1"/>
    <n v="10"/>
    <x v="10"/>
    <x v="2"/>
    <x v="0"/>
    <x v="2"/>
    <x v="706"/>
    <x v="7"/>
    <x v="1"/>
    <x v="841"/>
  </r>
  <r>
    <x v="81"/>
    <x v="3"/>
    <x v="4"/>
    <s v="PhD"/>
    <n v="10"/>
    <n v="171.9"/>
    <x v="49"/>
    <x v="32"/>
    <x v="5"/>
    <n v="7.48"/>
    <x v="510"/>
    <x v="2"/>
    <x v="0"/>
    <x v="1"/>
    <x v="752"/>
    <x v="8"/>
    <x v="1"/>
    <x v="842"/>
  </r>
  <r>
    <x v="81"/>
    <x v="0"/>
    <x v="0"/>
    <s v="Bachelors"/>
    <n v="9"/>
    <n v="158.4"/>
    <x v="93"/>
    <x v="4"/>
    <x v="8"/>
    <n v="8.58"/>
    <x v="511"/>
    <x v="0"/>
    <x v="0"/>
    <x v="0"/>
    <x v="753"/>
    <x v="9"/>
    <x v="0"/>
    <x v="662"/>
  </r>
  <r>
    <x v="82"/>
    <x v="4"/>
    <x v="0"/>
    <s v="Masters"/>
    <n v="1"/>
    <n v="161.6"/>
    <x v="114"/>
    <x v="4"/>
    <x v="5"/>
    <m/>
    <x v="512"/>
    <x v="2"/>
    <x v="2"/>
    <x v="0"/>
    <x v="355"/>
    <x v="0"/>
    <x v="0"/>
    <x v="843"/>
  </r>
  <r>
    <x v="82"/>
    <x v="1"/>
    <x v="0"/>
    <s v="Masters"/>
    <n v="8"/>
    <n v="161"/>
    <x v="78"/>
    <x v="64"/>
    <x v="6"/>
    <n v="5.9"/>
    <x v="513"/>
    <x v="0"/>
    <x v="1"/>
    <x v="2"/>
    <x v="52"/>
    <x v="0"/>
    <x v="0"/>
    <x v="783"/>
  </r>
  <r>
    <x v="82"/>
    <x v="1"/>
    <x v="3"/>
    <s v="Bachelors"/>
    <n v="6"/>
    <n v="169.8"/>
    <x v="85"/>
    <x v="83"/>
    <x v="6"/>
    <n v="7.7"/>
    <x v="10"/>
    <x v="0"/>
    <x v="0"/>
    <x v="0"/>
    <x v="754"/>
    <x v="1"/>
    <x v="2"/>
    <x v="844"/>
  </r>
  <r>
    <x v="82"/>
    <x v="2"/>
    <x v="0"/>
    <s v="Masters"/>
    <n v="10"/>
    <n v="150.4"/>
    <x v="168"/>
    <x v="27"/>
    <x v="0"/>
    <n v="7.02"/>
    <x v="240"/>
    <x v="0"/>
    <x v="0"/>
    <x v="1"/>
    <x v="755"/>
    <x v="1"/>
    <x v="1"/>
    <x v="845"/>
  </r>
  <r>
    <x v="82"/>
    <x v="2"/>
    <x v="4"/>
    <s v="Bachelors"/>
    <n v="4"/>
    <n v="170.8"/>
    <x v="1"/>
    <x v="90"/>
    <x v="5"/>
    <n v="5.66"/>
    <x v="259"/>
    <x v="2"/>
    <x v="0"/>
    <x v="0"/>
    <x v="386"/>
    <x v="2"/>
    <x v="0"/>
    <x v="846"/>
  </r>
  <r>
    <x v="82"/>
    <x v="2"/>
    <x v="0"/>
    <s v="PhD"/>
    <n v="8"/>
    <n v="181.4"/>
    <x v="7"/>
    <x v="35"/>
    <x v="9"/>
    <n v="8.26"/>
    <x v="175"/>
    <x v="0"/>
    <x v="0"/>
    <x v="1"/>
    <x v="756"/>
    <x v="3"/>
    <x v="2"/>
    <x v="847"/>
  </r>
  <r>
    <x v="82"/>
    <x v="4"/>
    <x v="4"/>
    <s v="Bachelors"/>
    <n v="7"/>
    <n v="178.1"/>
    <x v="71"/>
    <x v="49"/>
    <x v="4"/>
    <n v="5.82"/>
    <x v="514"/>
    <x v="2"/>
    <x v="2"/>
    <x v="1"/>
    <x v="757"/>
    <x v="4"/>
    <x v="2"/>
    <x v="848"/>
  </r>
  <r>
    <x v="82"/>
    <x v="1"/>
    <x v="1"/>
    <s v="Bachelors"/>
    <n v="5"/>
    <n v="159.9"/>
    <x v="60"/>
    <x v="26"/>
    <x v="5"/>
    <n v="8.32"/>
    <x v="338"/>
    <x v="0"/>
    <x v="0"/>
    <x v="1"/>
    <x v="746"/>
    <x v="5"/>
    <x v="2"/>
    <x v="437"/>
  </r>
  <r>
    <x v="82"/>
    <x v="2"/>
    <x v="4"/>
    <s v="Masters"/>
    <n v="5"/>
    <n v="162.30000000000001"/>
    <x v="14"/>
    <x v="11"/>
    <x v="10"/>
    <n v="5.52"/>
    <x v="515"/>
    <x v="0"/>
    <x v="2"/>
    <x v="2"/>
    <x v="758"/>
    <x v="6"/>
    <x v="1"/>
    <x v="849"/>
  </r>
  <r>
    <x v="82"/>
    <x v="4"/>
    <x v="4"/>
    <s v="PhD"/>
    <n v="2"/>
    <n v="137.80000000000001"/>
    <x v="6"/>
    <x v="29"/>
    <x v="1"/>
    <n v="7.04"/>
    <x v="39"/>
    <x v="1"/>
    <x v="1"/>
    <x v="2"/>
    <x v="759"/>
    <x v="7"/>
    <x v="1"/>
    <x v="850"/>
  </r>
  <r>
    <x v="82"/>
    <x v="4"/>
    <x v="3"/>
    <s v="Masters"/>
    <n v="4"/>
    <n v="144.5"/>
    <x v="43"/>
    <x v="45"/>
    <x v="4"/>
    <n v="7.34"/>
    <x v="516"/>
    <x v="2"/>
    <x v="0"/>
    <x v="0"/>
    <x v="472"/>
    <x v="8"/>
    <x v="0"/>
    <x v="851"/>
  </r>
  <r>
    <x v="82"/>
    <x v="1"/>
    <x v="2"/>
    <s v="PhD"/>
    <n v="4"/>
    <n v="155"/>
    <x v="1"/>
    <x v="30"/>
    <x v="8"/>
    <n v="7.26"/>
    <x v="278"/>
    <x v="2"/>
    <x v="2"/>
    <x v="1"/>
    <x v="381"/>
    <x v="9"/>
    <x v="1"/>
    <x v="852"/>
  </r>
  <r>
    <x v="83"/>
    <x v="2"/>
    <x v="3"/>
    <s v="PhD"/>
    <n v="10"/>
    <n v="163.80000000000001"/>
    <x v="1"/>
    <x v="31"/>
    <x v="4"/>
    <m/>
    <x v="183"/>
    <x v="2"/>
    <x v="2"/>
    <x v="2"/>
    <x v="760"/>
    <x v="0"/>
    <x v="1"/>
    <x v="623"/>
  </r>
  <r>
    <x v="83"/>
    <x v="2"/>
    <x v="1"/>
    <s v="Bachelors"/>
    <n v="4"/>
    <n v="167.5"/>
    <x v="54"/>
    <x v="3"/>
    <x v="0"/>
    <n v="8.2100000000000009"/>
    <x v="517"/>
    <x v="2"/>
    <x v="1"/>
    <x v="1"/>
    <x v="761"/>
    <x v="0"/>
    <x v="1"/>
    <x v="853"/>
  </r>
  <r>
    <x v="83"/>
    <x v="3"/>
    <x v="3"/>
    <s v="PhD"/>
    <n v="6"/>
    <n v="160.9"/>
    <x v="75"/>
    <x v="17"/>
    <x v="5"/>
    <n v="9.41"/>
    <x v="10"/>
    <x v="2"/>
    <x v="1"/>
    <x v="1"/>
    <x v="762"/>
    <x v="1"/>
    <x v="2"/>
    <x v="854"/>
  </r>
  <r>
    <x v="83"/>
    <x v="1"/>
    <x v="4"/>
    <s v="PhD"/>
    <n v="2"/>
    <n v="153.80000000000001"/>
    <x v="10"/>
    <x v="73"/>
    <x v="4"/>
    <n v="5.59"/>
    <x v="400"/>
    <x v="0"/>
    <x v="2"/>
    <x v="1"/>
    <x v="680"/>
    <x v="1"/>
    <x v="1"/>
    <x v="855"/>
  </r>
  <r>
    <x v="83"/>
    <x v="3"/>
    <x v="0"/>
    <s v="Masters"/>
    <n v="6"/>
    <n v="155.4"/>
    <x v="85"/>
    <x v="43"/>
    <x v="5"/>
    <n v="9.25"/>
    <x v="18"/>
    <x v="2"/>
    <x v="2"/>
    <x v="2"/>
    <x v="65"/>
    <x v="2"/>
    <x v="0"/>
    <x v="566"/>
  </r>
  <r>
    <x v="83"/>
    <x v="2"/>
    <x v="4"/>
    <s v="PhD"/>
    <n v="7"/>
    <n v="159.69999999999999"/>
    <x v="84"/>
    <x v="58"/>
    <x v="4"/>
    <n v="6.35"/>
    <x v="518"/>
    <x v="2"/>
    <x v="2"/>
    <x v="2"/>
    <x v="32"/>
    <x v="3"/>
    <x v="0"/>
    <x v="598"/>
  </r>
  <r>
    <x v="83"/>
    <x v="2"/>
    <x v="3"/>
    <s v="Masters"/>
    <n v="10"/>
    <n v="157.9"/>
    <x v="115"/>
    <x v="83"/>
    <x v="11"/>
    <n v="9.1"/>
    <x v="519"/>
    <x v="2"/>
    <x v="1"/>
    <x v="1"/>
    <x v="763"/>
    <x v="4"/>
    <x v="2"/>
    <x v="63"/>
  </r>
  <r>
    <x v="83"/>
    <x v="0"/>
    <x v="0"/>
    <s v="Masters"/>
    <n v="4"/>
    <n v="156.4"/>
    <x v="167"/>
    <x v="9"/>
    <x v="8"/>
    <m/>
    <x v="215"/>
    <x v="2"/>
    <x v="1"/>
    <x v="0"/>
    <x v="764"/>
    <x v="5"/>
    <x v="1"/>
    <x v="110"/>
  </r>
  <r>
    <x v="83"/>
    <x v="0"/>
    <x v="1"/>
    <s v="Masters"/>
    <n v="4"/>
    <n v="172.3"/>
    <x v="13"/>
    <x v="57"/>
    <x v="3"/>
    <n v="6.58"/>
    <x v="520"/>
    <x v="2"/>
    <x v="1"/>
    <x v="2"/>
    <x v="79"/>
    <x v="6"/>
    <x v="1"/>
    <x v="856"/>
  </r>
  <r>
    <x v="83"/>
    <x v="3"/>
    <x v="1"/>
    <s v="Bachelors"/>
    <n v="6"/>
    <n v="178.6"/>
    <x v="43"/>
    <x v="19"/>
    <x v="4"/>
    <n v="9.51"/>
    <x v="10"/>
    <x v="2"/>
    <x v="2"/>
    <x v="2"/>
    <x v="154"/>
    <x v="7"/>
    <x v="0"/>
    <x v="857"/>
  </r>
  <r>
    <x v="83"/>
    <x v="1"/>
    <x v="4"/>
    <s v="Bachelors"/>
    <n v="4"/>
    <n v="162.5"/>
    <x v="68"/>
    <x v="64"/>
    <x v="1"/>
    <n v="6.48"/>
    <x v="521"/>
    <x v="2"/>
    <x v="0"/>
    <x v="2"/>
    <x v="765"/>
    <x v="8"/>
    <x v="2"/>
    <x v="858"/>
  </r>
  <r>
    <x v="83"/>
    <x v="0"/>
    <x v="4"/>
    <s v="PhD"/>
    <n v="6"/>
    <n v="163.19999999999999"/>
    <x v="67"/>
    <x v="57"/>
    <x v="5"/>
    <m/>
    <x v="373"/>
    <x v="2"/>
    <x v="2"/>
    <x v="1"/>
    <x v="190"/>
    <x v="9"/>
    <x v="0"/>
    <x v="710"/>
  </r>
  <r>
    <x v="84"/>
    <x v="1"/>
    <x v="4"/>
    <s v="Masters"/>
    <n v="5"/>
    <n v="179.2"/>
    <x v="24"/>
    <x v="39"/>
    <x v="8"/>
    <n v="8.27"/>
    <x v="414"/>
    <x v="0"/>
    <x v="1"/>
    <x v="1"/>
    <x v="766"/>
    <x v="0"/>
    <x v="2"/>
    <x v="859"/>
  </r>
  <r>
    <x v="84"/>
    <x v="3"/>
    <x v="0"/>
    <s v="Masters"/>
    <n v="5"/>
    <n v="163.1"/>
    <x v="1"/>
    <x v="49"/>
    <x v="0"/>
    <n v="9.67"/>
    <x v="276"/>
    <x v="2"/>
    <x v="0"/>
    <x v="2"/>
    <x v="767"/>
    <x v="0"/>
    <x v="0"/>
    <x v="860"/>
  </r>
  <r>
    <x v="84"/>
    <x v="3"/>
    <x v="4"/>
    <s v="Bachelors"/>
    <n v="10"/>
    <n v="181.7"/>
    <x v="1"/>
    <x v="97"/>
    <x v="0"/>
    <n v="7.98"/>
    <x v="19"/>
    <x v="2"/>
    <x v="1"/>
    <x v="1"/>
    <x v="459"/>
    <x v="1"/>
    <x v="2"/>
    <x v="861"/>
  </r>
  <r>
    <x v="84"/>
    <x v="3"/>
    <x v="1"/>
    <s v="PhD"/>
    <n v="4"/>
    <n v="168.2"/>
    <x v="97"/>
    <x v="9"/>
    <x v="4"/>
    <n v="6.82"/>
    <x v="276"/>
    <x v="2"/>
    <x v="0"/>
    <x v="0"/>
    <x v="768"/>
    <x v="1"/>
    <x v="2"/>
    <x v="442"/>
  </r>
  <r>
    <x v="84"/>
    <x v="3"/>
    <x v="4"/>
    <s v="PhD"/>
    <n v="4"/>
    <n v="173"/>
    <x v="88"/>
    <x v="27"/>
    <x v="3"/>
    <n v="6.58"/>
    <x v="454"/>
    <x v="0"/>
    <x v="2"/>
    <x v="1"/>
    <x v="769"/>
    <x v="2"/>
    <x v="0"/>
    <x v="862"/>
  </r>
  <r>
    <x v="84"/>
    <x v="1"/>
    <x v="1"/>
    <s v="Masters"/>
    <n v="2"/>
    <n v="148.69999999999999"/>
    <x v="75"/>
    <x v="8"/>
    <x v="4"/>
    <n v="10"/>
    <x v="522"/>
    <x v="0"/>
    <x v="0"/>
    <x v="0"/>
    <x v="423"/>
    <x v="3"/>
    <x v="1"/>
    <x v="863"/>
  </r>
  <r>
    <x v="84"/>
    <x v="0"/>
    <x v="1"/>
    <s v="Bachelors"/>
    <n v="6"/>
    <n v="170.2"/>
    <x v="1"/>
    <x v="48"/>
    <x v="7"/>
    <n v="8.5399999999999991"/>
    <x v="18"/>
    <x v="0"/>
    <x v="2"/>
    <x v="1"/>
    <x v="743"/>
    <x v="4"/>
    <x v="2"/>
    <x v="864"/>
  </r>
  <r>
    <x v="84"/>
    <x v="0"/>
    <x v="2"/>
    <s v="Bachelors"/>
    <n v="1"/>
    <n v="150.30000000000001"/>
    <x v="1"/>
    <x v="2"/>
    <x v="5"/>
    <n v="8.26"/>
    <x v="411"/>
    <x v="0"/>
    <x v="0"/>
    <x v="2"/>
    <x v="770"/>
    <x v="5"/>
    <x v="2"/>
    <x v="865"/>
  </r>
  <r>
    <x v="84"/>
    <x v="2"/>
    <x v="3"/>
    <s v="Bachelors"/>
    <n v="1"/>
    <n v="151.9"/>
    <x v="1"/>
    <x v="29"/>
    <x v="6"/>
    <n v="10"/>
    <x v="70"/>
    <x v="2"/>
    <x v="1"/>
    <x v="1"/>
    <x v="771"/>
    <x v="6"/>
    <x v="1"/>
    <x v="866"/>
  </r>
  <r>
    <x v="84"/>
    <x v="3"/>
    <x v="0"/>
    <s v="Masters"/>
    <n v="7"/>
    <n v="173.5"/>
    <x v="4"/>
    <x v="5"/>
    <x v="12"/>
    <n v="8.3800000000000008"/>
    <x v="57"/>
    <x v="2"/>
    <x v="0"/>
    <x v="1"/>
    <x v="772"/>
    <x v="7"/>
    <x v="1"/>
    <x v="867"/>
  </r>
  <r>
    <x v="84"/>
    <x v="1"/>
    <x v="0"/>
    <s v="Bachelors"/>
    <n v="6"/>
    <n v="191"/>
    <x v="20"/>
    <x v="42"/>
    <x v="3"/>
    <n v="9.39"/>
    <x v="234"/>
    <x v="2"/>
    <x v="0"/>
    <x v="1"/>
    <x v="773"/>
    <x v="8"/>
    <x v="1"/>
    <x v="868"/>
  </r>
  <r>
    <x v="84"/>
    <x v="0"/>
    <x v="4"/>
    <s v="PhD"/>
    <n v="10"/>
    <n v="147.9"/>
    <x v="76"/>
    <x v="0"/>
    <x v="7"/>
    <m/>
    <x v="138"/>
    <x v="2"/>
    <x v="0"/>
    <x v="2"/>
    <x v="774"/>
    <x v="9"/>
    <x v="0"/>
    <x v="869"/>
  </r>
  <r>
    <x v="85"/>
    <x v="2"/>
    <x v="4"/>
    <s v="Masters"/>
    <n v="2"/>
    <n v="158"/>
    <x v="62"/>
    <x v="66"/>
    <x v="4"/>
    <n v="8.17"/>
    <x v="288"/>
    <x v="2"/>
    <x v="1"/>
    <x v="1"/>
    <x v="775"/>
    <x v="0"/>
    <x v="0"/>
    <x v="870"/>
  </r>
  <r>
    <x v="85"/>
    <x v="3"/>
    <x v="4"/>
    <s v="Bachelors"/>
    <n v="4"/>
    <n v="150"/>
    <x v="1"/>
    <x v="45"/>
    <x v="2"/>
    <m/>
    <x v="125"/>
    <x v="2"/>
    <x v="1"/>
    <x v="1"/>
    <x v="661"/>
    <x v="0"/>
    <x v="1"/>
    <x v="871"/>
  </r>
  <r>
    <x v="85"/>
    <x v="0"/>
    <x v="4"/>
    <s v="Bachelors"/>
    <n v="3"/>
    <n v="154.80000000000001"/>
    <x v="46"/>
    <x v="79"/>
    <x v="0"/>
    <n v="7.7"/>
    <x v="269"/>
    <x v="2"/>
    <x v="0"/>
    <x v="1"/>
    <x v="199"/>
    <x v="1"/>
    <x v="2"/>
    <x v="872"/>
  </r>
  <r>
    <x v="85"/>
    <x v="2"/>
    <x v="2"/>
    <s v="Bachelors"/>
    <n v="4"/>
    <n v="162.1"/>
    <x v="89"/>
    <x v="40"/>
    <x v="8"/>
    <n v="8.11"/>
    <x v="523"/>
    <x v="0"/>
    <x v="0"/>
    <x v="0"/>
    <x v="776"/>
    <x v="1"/>
    <x v="0"/>
    <x v="873"/>
  </r>
  <r>
    <x v="85"/>
    <x v="1"/>
    <x v="3"/>
    <s v="Masters"/>
    <n v="8"/>
    <n v="160.80000000000001"/>
    <x v="1"/>
    <x v="66"/>
    <x v="6"/>
    <n v="7.77"/>
    <x v="65"/>
    <x v="1"/>
    <x v="0"/>
    <x v="2"/>
    <x v="621"/>
    <x v="2"/>
    <x v="0"/>
    <x v="874"/>
  </r>
  <r>
    <x v="85"/>
    <x v="1"/>
    <x v="4"/>
    <s v="PhD"/>
    <n v="2"/>
    <n v="174.9"/>
    <x v="101"/>
    <x v="2"/>
    <x v="0"/>
    <n v="8.86"/>
    <x v="25"/>
    <x v="2"/>
    <x v="0"/>
    <x v="1"/>
    <x v="429"/>
    <x v="3"/>
    <x v="1"/>
    <x v="875"/>
  </r>
  <r>
    <x v="85"/>
    <x v="0"/>
    <x v="0"/>
    <s v="PhD"/>
    <n v="9"/>
    <n v="145.30000000000001"/>
    <x v="96"/>
    <x v="29"/>
    <x v="3"/>
    <n v="4.97"/>
    <x v="518"/>
    <x v="0"/>
    <x v="0"/>
    <x v="2"/>
    <x v="777"/>
    <x v="4"/>
    <x v="0"/>
    <x v="876"/>
  </r>
  <r>
    <x v="85"/>
    <x v="1"/>
    <x v="4"/>
    <s v="PhD"/>
    <n v="4"/>
    <n v="172.8"/>
    <x v="1"/>
    <x v="85"/>
    <x v="4"/>
    <n v="9.6300000000000008"/>
    <x v="117"/>
    <x v="2"/>
    <x v="1"/>
    <x v="0"/>
    <x v="778"/>
    <x v="5"/>
    <x v="0"/>
    <x v="877"/>
  </r>
  <r>
    <x v="85"/>
    <x v="3"/>
    <x v="2"/>
    <s v="Bachelors"/>
    <n v="8"/>
    <n v="164.6"/>
    <x v="129"/>
    <x v="92"/>
    <x v="3"/>
    <n v="6.45"/>
    <x v="183"/>
    <x v="0"/>
    <x v="0"/>
    <x v="2"/>
    <x v="779"/>
    <x v="6"/>
    <x v="0"/>
    <x v="878"/>
  </r>
  <r>
    <x v="85"/>
    <x v="2"/>
    <x v="3"/>
    <s v="Bachelors"/>
    <n v="2"/>
    <n v="154.9"/>
    <x v="119"/>
    <x v="22"/>
    <x v="8"/>
    <n v="10"/>
    <x v="189"/>
    <x v="0"/>
    <x v="2"/>
    <x v="2"/>
    <x v="516"/>
    <x v="7"/>
    <x v="1"/>
    <x v="375"/>
  </r>
  <r>
    <x v="85"/>
    <x v="2"/>
    <x v="4"/>
    <s v="Masters"/>
    <n v="10"/>
    <n v="158.1"/>
    <x v="40"/>
    <x v="27"/>
    <x v="5"/>
    <n v="6.56"/>
    <x v="524"/>
    <x v="0"/>
    <x v="0"/>
    <x v="0"/>
    <x v="130"/>
    <x v="8"/>
    <x v="1"/>
    <x v="684"/>
  </r>
  <r>
    <x v="85"/>
    <x v="3"/>
    <x v="1"/>
    <s v="Masters"/>
    <n v="10"/>
    <n v="165.3"/>
    <x v="17"/>
    <x v="71"/>
    <x v="6"/>
    <n v="7.81"/>
    <x v="525"/>
    <x v="2"/>
    <x v="2"/>
    <x v="0"/>
    <x v="270"/>
    <x v="9"/>
    <x v="1"/>
    <x v="879"/>
  </r>
  <r>
    <x v="86"/>
    <x v="0"/>
    <x v="1"/>
    <s v="PhD"/>
    <n v="10"/>
    <n v="165.5"/>
    <x v="44"/>
    <x v="26"/>
    <x v="8"/>
    <n v="9.0500000000000007"/>
    <x v="137"/>
    <x v="0"/>
    <x v="2"/>
    <x v="0"/>
    <x v="97"/>
    <x v="0"/>
    <x v="1"/>
    <x v="880"/>
  </r>
  <r>
    <x v="86"/>
    <x v="0"/>
    <x v="1"/>
    <s v="PhD"/>
    <n v="4"/>
    <n v="163.1"/>
    <x v="171"/>
    <x v="102"/>
    <x v="12"/>
    <n v="8.9700000000000006"/>
    <x v="245"/>
    <x v="2"/>
    <x v="2"/>
    <x v="0"/>
    <x v="387"/>
    <x v="0"/>
    <x v="0"/>
    <x v="881"/>
  </r>
  <r>
    <x v="86"/>
    <x v="4"/>
    <x v="0"/>
    <s v="Bachelors"/>
    <n v="2"/>
    <n v="161.6"/>
    <x v="145"/>
    <x v="16"/>
    <x v="4"/>
    <n v="7.89"/>
    <x v="254"/>
    <x v="2"/>
    <x v="2"/>
    <x v="1"/>
    <x v="780"/>
    <x v="1"/>
    <x v="2"/>
    <x v="882"/>
  </r>
  <r>
    <x v="86"/>
    <x v="4"/>
    <x v="0"/>
    <s v="PhD"/>
    <n v="6"/>
    <n v="162.30000000000001"/>
    <x v="62"/>
    <x v="0"/>
    <x v="4"/>
    <n v="9.3800000000000008"/>
    <x v="526"/>
    <x v="0"/>
    <x v="2"/>
    <x v="0"/>
    <x v="253"/>
    <x v="1"/>
    <x v="2"/>
    <x v="883"/>
  </r>
  <r>
    <x v="86"/>
    <x v="0"/>
    <x v="2"/>
    <s v="PhD"/>
    <n v="10"/>
    <n v="147.1"/>
    <x v="1"/>
    <x v="58"/>
    <x v="1"/>
    <n v="6.46"/>
    <x v="3"/>
    <x v="0"/>
    <x v="0"/>
    <x v="0"/>
    <x v="781"/>
    <x v="2"/>
    <x v="2"/>
    <x v="884"/>
  </r>
  <r>
    <x v="86"/>
    <x v="0"/>
    <x v="0"/>
    <s v="Bachelors"/>
    <n v="8"/>
    <n v="160.1"/>
    <x v="52"/>
    <x v="46"/>
    <x v="4"/>
    <n v="6.22"/>
    <x v="526"/>
    <x v="2"/>
    <x v="1"/>
    <x v="2"/>
    <x v="782"/>
    <x v="3"/>
    <x v="1"/>
    <x v="786"/>
  </r>
  <r>
    <x v="86"/>
    <x v="2"/>
    <x v="0"/>
    <s v="PhD"/>
    <n v="6"/>
    <n v="156"/>
    <x v="74"/>
    <x v="89"/>
    <x v="0"/>
    <n v="8.99"/>
    <x v="205"/>
    <x v="2"/>
    <x v="1"/>
    <x v="2"/>
    <x v="467"/>
    <x v="4"/>
    <x v="1"/>
    <x v="249"/>
  </r>
  <r>
    <x v="86"/>
    <x v="4"/>
    <x v="2"/>
    <s v="Masters"/>
    <n v="9"/>
    <n v="161.5"/>
    <x v="46"/>
    <x v="15"/>
    <x v="0"/>
    <n v="9.25"/>
    <x v="485"/>
    <x v="2"/>
    <x v="2"/>
    <x v="2"/>
    <x v="783"/>
    <x v="5"/>
    <x v="1"/>
    <x v="885"/>
  </r>
  <r>
    <x v="86"/>
    <x v="4"/>
    <x v="3"/>
    <s v="Bachelors"/>
    <n v="2"/>
    <n v="151.69999999999999"/>
    <x v="111"/>
    <x v="27"/>
    <x v="9"/>
    <n v="7.38"/>
    <x v="527"/>
    <x v="0"/>
    <x v="0"/>
    <x v="1"/>
    <x v="784"/>
    <x v="6"/>
    <x v="0"/>
    <x v="550"/>
  </r>
  <r>
    <x v="86"/>
    <x v="0"/>
    <x v="4"/>
    <s v="Bachelors"/>
    <n v="4"/>
    <n v="153.4"/>
    <x v="30"/>
    <x v="41"/>
    <x v="4"/>
    <n v="6.73"/>
    <x v="525"/>
    <x v="2"/>
    <x v="2"/>
    <x v="1"/>
    <x v="0"/>
    <x v="7"/>
    <x v="0"/>
    <x v="644"/>
  </r>
  <r>
    <x v="86"/>
    <x v="2"/>
    <x v="0"/>
    <s v="PhD"/>
    <n v="7"/>
    <n v="160.80000000000001"/>
    <x v="115"/>
    <x v="53"/>
    <x v="7"/>
    <n v="8.44"/>
    <x v="351"/>
    <x v="1"/>
    <x v="2"/>
    <x v="0"/>
    <x v="327"/>
    <x v="8"/>
    <x v="1"/>
    <x v="886"/>
  </r>
  <r>
    <x v="86"/>
    <x v="0"/>
    <x v="3"/>
    <s v="PhD"/>
    <n v="2"/>
    <n v="151.30000000000001"/>
    <x v="1"/>
    <x v="40"/>
    <x v="0"/>
    <n v="7.18"/>
    <x v="253"/>
    <x v="2"/>
    <x v="1"/>
    <x v="2"/>
    <x v="169"/>
    <x v="9"/>
    <x v="1"/>
    <x v="887"/>
  </r>
  <r>
    <x v="87"/>
    <x v="3"/>
    <x v="4"/>
    <s v="Bachelors"/>
    <n v="2"/>
    <n v="140.80000000000001"/>
    <x v="126"/>
    <x v="35"/>
    <x v="7"/>
    <n v="9.77"/>
    <x v="258"/>
    <x v="2"/>
    <x v="0"/>
    <x v="2"/>
    <x v="466"/>
    <x v="0"/>
    <x v="1"/>
    <x v="888"/>
  </r>
  <r>
    <x v="87"/>
    <x v="4"/>
    <x v="2"/>
    <s v="PhD"/>
    <n v="3"/>
    <n v="150.30000000000001"/>
    <x v="43"/>
    <x v="16"/>
    <x v="10"/>
    <n v="5.7"/>
    <x v="86"/>
    <x v="2"/>
    <x v="1"/>
    <x v="2"/>
    <x v="785"/>
    <x v="0"/>
    <x v="2"/>
    <x v="889"/>
  </r>
  <r>
    <x v="87"/>
    <x v="1"/>
    <x v="4"/>
    <s v="Bachelors"/>
    <n v="6"/>
    <n v="154.80000000000001"/>
    <x v="9"/>
    <x v="61"/>
    <x v="5"/>
    <n v="8.65"/>
    <x v="250"/>
    <x v="2"/>
    <x v="1"/>
    <x v="1"/>
    <x v="711"/>
    <x v="1"/>
    <x v="1"/>
    <x v="890"/>
  </r>
  <r>
    <x v="87"/>
    <x v="4"/>
    <x v="4"/>
    <s v="Masters"/>
    <n v="7"/>
    <n v="160.4"/>
    <x v="30"/>
    <x v="42"/>
    <x v="4"/>
    <n v="8.6"/>
    <x v="451"/>
    <x v="0"/>
    <x v="2"/>
    <x v="0"/>
    <x v="786"/>
    <x v="1"/>
    <x v="1"/>
    <x v="891"/>
  </r>
  <r>
    <x v="87"/>
    <x v="3"/>
    <x v="3"/>
    <s v="Bachelors"/>
    <n v="3"/>
    <n v="163.5"/>
    <x v="77"/>
    <x v="55"/>
    <x v="0"/>
    <n v="10"/>
    <x v="303"/>
    <x v="2"/>
    <x v="2"/>
    <x v="1"/>
    <x v="787"/>
    <x v="2"/>
    <x v="2"/>
    <x v="892"/>
  </r>
  <r>
    <x v="87"/>
    <x v="1"/>
    <x v="0"/>
    <s v="Bachelors"/>
    <n v="9"/>
    <n v="145.30000000000001"/>
    <x v="1"/>
    <x v="60"/>
    <x v="5"/>
    <n v="4.66"/>
    <x v="528"/>
    <x v="2"/>
    <x v="1"/>
    <x v="1"/>
    <x v="788"/>
    <x v="3"/>
    <x v="0"/>
    <x v="893"/>
  </r>
  <r>
    <x v="87"/>
    <x v="2"/>
    <x v="2"/>
    <s v="PhD"/>
    <n v="7"/>
    <n v="158.1"/>
    <x v="2"/>
    <x v="25"/>
    <x v="0"/>
    <n v="7.93"/>
    <x v="331"/>
    <x v="2"/>
    <x v="2"/>
    <x v="0"/>
    <x v="789"/>
    <x v="4"/>
    <x v="1"/>
    <x v="894"/>
  </r>
  <r>
    <x v="87"/>
    <x v="3"/>
    <x v="1"/>
    <s v="PhD"/>
    <n v="7"/>
    <n v="159.1"/>
    <x v="172"/>
    <x v="63"/>
    <x v="4"/>
    <n v="5.43"/>
    <x v="177"/>
    <x v="2"/>
    <x v="2"/>
    <x v="1"/>
    <x v="790"/>
    <x v="5"/>
    <x v="0"/>
    <x v="895"/>
  </r>
  <r>
    <x v="87"/>
    <x v="3"/>
    <x v="1"/>
    <s v="Masters"/>
    <n v="10"/>
    <n v="174.4"/>
    <x v="82"/>
    <x v="86"/>
    <x v="1"/>
    <n v="4.21"/>
    <x v="219"/>
    <x v="2"/>
    <x v="2"/>
    <x v="1"/>
    <x v="441"/>
    <x v="6"/>
    <x v="0"/>
    <x v="896"/>
  </r>
  <r>
    <x v="87"/>
    <x v="1"/>
    <x v="1"/>
    <s v="Bachelors"/>
    <n v="1"/>
    <n v="175.4"/>
    <x v="123"/>
    <x v="20"/>
    <x v="4"/>
    <n v="8.27"/>
    <x v="307"/>
    <x v="0"/>
    <x v="1"/>
    <x v="1"/>
    <x v="791"/>
    <x v="7"/>
    <x v="0"/>
    <x v="897"/>
  </r>
  <r>
    <x v="87"/>
    <x v="3"/>
    <x v="1"/>
    <s v="Bachelors"/>
    <n v="7"/>
    <n v="143"/>
    <x v="6"/>
    <x v="7"/>
    <x v="4"/>
    <n v="8.8000000000000007"/>
    <x v="163"/>
    <x v="2"/>
    <x v="1"/>
    <x v="1"/>
    <x v="530"/>
    <x v="8"/>
    <x v="0"/>
    <x v="898"/>
  </r>
  <r>
    <x v="87"/>
    <x v="2"/>
    <x v="0"/>
    <s v="PhD"/>
    <n v="9"/>
    <n v="175.2"/>
    <x v="17"/>
    <x v="19"/>
    <x v="5"/>
    <n v="5.95"/>
    <x v="529"/>
    <x v="2"/>
    <x v="0"/>
    <x v="1"/>
    <x v="792"/>
    <x v="9"/>
    <x v="2"/>
    <x v="899"/>
  </r>
  <r>
    <x v="88"/>
    <x v="2"/>
    <x v="0"/>
    <s v="Masters"/>
    <n v="6"/>
    <n v="150.69999999999999"/>
    <x v="84"/>
    <x v="23"/>
    <x v="3"/>
    <n v="9.23"/>
    <x v="500"/>
    <x v="2"/>
    <x v="2"/>
    <x v="0"/>
    <x v="793"/>
    <x v="0"/>
    <x v="2"/>
    <x v="457"/>
  </r>
  <r>
    <x v="88"/>
    <x v="3"/>
    <x v="0"/>
    <s v="Bachelors"/>
    <n v="7"/>
    <n v="164.3"/>
    <x v="1"/>
    <x v="30"/>
    <x v="1"/>
    <n v="7"/>
    <x v="530"/>
    <x v="2"/>
    <x v="2"/>
    <x v="1"/>
    <x v="86"/>
    <x v="0"/>
    <x v="0"/>
    <x v="900"/>
  </r>
  <r>
    <x v="88"/>
    <x v="4"/>
    <x v="3"/>
    <s v="Masters"/>
    <n v="5"/>
    <n v="165.9"/>
    <x v="1"/>
    <x v="6"/>
    <x v="3"/>
    <m/>
    <x v="486"/>
    <x v="0"/>
    <x v="1"/>
    <x v="1"/>
    <x v="727"/>
    <x v="1"/>
    <x v="1"/>
    <x v="901"/>
  </r>
  <r>
    <x v="88"/>
    <x v="1"/>
    <x v="0"/>
    <s v="Masters"/>
    <n v="3"/>
    <n v="157.80000000000001"/>
    <x v="7"/>
    <x v="10"/>
    <x v="8"/>
    <n v="10"/>
    <x v="315"/>
    <x v="2"/>
    <x v="2"/>
    <x v="0"/>
    <x v="103"/>
    <x v="1"/>
    <x v="1"/>
    <x v="902"/>
  </r>
  <r>
    <x v="88"/>
    <x v="1"/>
    <x v="3"/>
    <s v="Masters"/>
    <n v="3"/>
    <n v="151"/>
    <x v="1"/>
    <x v="74"/>
    <x v="5"/>
    <n v="7.52"/>
    <x v="134"/>
    <x v="0"/>
    <x v="0"/>
    <x v="2"/>
    <x v="794"/>
    <x v="2"/>
    <x v="1"/>
    <x v="903"/>
  </r>
  <r>
    <x v="88"/>
    <x v="2"/>
    <x v="3"/>
    <s v="PhD"/>
    <n v="3"/>
    <n v="160.6"/>
    <x v="99"/>
    <x v="68"/>
    <x v="1"/>
    <n v="7.97"/>
    <x v="531"/>
    <x v="2"/>
    <x v="2"/>
    <x v="0"/>
    <x v="621"/>
    <x v="3"/>
    <x v="0"/>
    <x v="904"/>
  </r>
  <r>
    <x v="88"/>
    <x v="2"/>
    <x v="4"/>
    <s v="Masters"/>
    <n v="7"/>
    <n v="161.4"/>
    <x v="5"/>
    <x v="4"/>
    <x v="8"/>
    <n v="6.53"/>
    <x v="532"/>
    <x v="2"/>
    <x v="0"/>
    <x v="2"/>
    <x v="795"/>
    <x v="4"/>
    <x v="2"/>
    <x v="136"/>
  </r>
  <r>
    <x v="88"/>
    <x v="1"/>
    <x v="0"/>
    <s v="Masters"/>
    <n v="4"/>
    <n v="151.5"/>
    <x v="1"/>
    <x v="66"/>
    <x v="4"/>
    <n v="7.83"/>
    <x v="533"/>
    <x v="2"/>
    <x v="1"/>
    <x v="0"/>
    <x v="796"/>
    <x v="5"/>
    <x v="2"/>
    <x v="905"/>
  </r>
  <r>
    <x v="88"/>
    <x v="4"/>
    <x v="3"/>
    <s v="Masters"/>
    <n v="5"/>
    <n v="166.6"/>
    <x v="1"/>
    <x v="64"/>
    <x v="4"/>
    <n v="9.1199999999999992"/>
    <x v="534"/>
    <x v="2"/>
    <x v="1"/>
    <x v="1"/>
    <x v="39"/>
    <x v="6"/>
    <x v="0"/>
    <x v="906"/>
  </r>
  <r>
    <x v="88"/>
    <x v="3"/>
    <x v="2"/>
    <s v="Masters"/>
    <n v="7"/>
    <n v="167.5"/>
    <x v="76"/>
    <x v="30"/>
    <x v="4"/>
    <n v="6.12"/>
    <x v="535"/>
    <x v="2"/>
    <x v="0"/>
    <x v="2"/>
    <x v="529"/>
    <x v="7"/>
    <x v="0"/>
    <x v="907"/>
  </r>
  <r>
    <x v="88"/>
    <x v="3"/>
    <x v="2"/>
    <s v="PhD"/>
    <n v="5"/>
    <n v="167.5"/>
    <x v="14"/>
    <x v="82"/>
    <x v="7"/>
    <n v="6.08"/>
    <x v="188"/>
    <x v="0"/>
    <x v="1"/>
    <x v="0"/>
    <x v="57"/>
    <x v="8"/>
    <x v="0"/>
    <x v="908"/>
  </r>
  <r>
    <x v="88"/>
    <x v="2"/>
    <x v="0"/>
    <s v="Masters"/>
    <n v="9"/>
    <n v="179.4"/>
    <x v="147"/>
    <x v="46"/>
    <x v="0"/>
    <n v="7.74"/>
    <x v="10"/>
    <x v="2"/>
    <x v="1"/>
    <x v="1"/>
    <x v="797"/>
    <x v="9"/>
    <x v="0"/>
    <x v="909"/>
  </r>
  <r>
    <x v="89"/>
    <x v="1"/>
    <x v="3"/>
    <s v="PhD"/>
    <n v="1"/>
    <n v="161.5"/>
    <x v="1"/>
    <x v="16"/>
    <x v="5"/>
    <m/>
    <x v="536"/>
    <x v="2"/>
    <x v="2"/>
    <x v="0"/>
    <x v="798"/>
    <x v="0"/>
    <x v="1"/>
    <x v="910"/>
  </r>
  <r>
    <x v="89"/>
    <x v="0"/>
    <x v="0"/>
    <s v="PhD"/>
    <n v="8"/>
    <n v="148.19999999999999"/>
    <x v="48"/>
    <x v="10"/>
    <x v="8"/>
    <n v="9.01"/>
    <x v="452"/>
    <x v="0"/>
    <x v="2"/>
    <x v="0"/>
    <x v="799"/>
    <x v="0"/>
    <x v="0"/>
    <x v="911"/>
  </r>
  <r>
    <x v="89"/>
    <x v="2"/>
    <x v="4"/>
    <s v="Masters"/>
    <n v="1"/>
    <n v="160.1"/>
    <x v="1"/>
    <x v="30"/>
    <x v="5"/>
    <n v="7.09"/>
    <x v="276"/>
    <x v="2"/>
    <x v="2"/>
    <x v="0"/>
    <x v="800"/>
    <x v="1"/>
    <x v="1"/>
    <x v="32"/>
  </r>
  <r>
    <x v="89"/>
    <x v="0"/>
    <x v="4"/>
    <s v="Masters"/>
    <n v="7"/>
    <n v="171.2"/>
    <x v="30"/>
    <x v="41"/>
    <x v="4"/>
    <n v="8.01"/>
    <x v="369"/>
    <x v="2"/>
    <x v="2"/>
    <x v="1"/>
    <x v="801"/>
    <x v="1"/>
    <x v="0"/>
    <x v="912"/>
  </r>
  <r>
    <x v="89"/>
    <x v="4"/>
    <x v="1"/>
    <s v="Masters"/>
    <n v="9"/>
    <n v="172.9"/>
    <x v="56"/>
    <x v="87"/>
    <x v="8"/>
    <n v="6.21"/>
    <x v="247"/>
    <x v="1"/>
    <x v="0"/>
    <x v="0"/>
    <x v="348"/>
    <x v="2"/>
    <x v="0"/>
    <x v="913"/>
  </r>
  <r>
    <x v="89"/>
    <x v="2"/>
    <x v="3"/>
    <s v="Bachelors"/>
    <n v="7"/>
    <n v="169"/>
    <x v="21"/>
    <x v="29"/>
    <x v="4"/>
    <n v="7.67"/>
    <x v="42"/>
    <x v="2"/>
    <x v="0"/>
    <x v="1"/>
    <x v="802"/>
    <x v="3"/>
    <x v="0"/>
    <x v="914"/>
  </r>
  <r>
    <x v="89"/>
    <x v="2"/>
    <x v="0"/>
    <s v="Masters"/>
    <n v="2"/>
    <n v="163.5"/>
    <x v="101"/>
    <x v="21"/>
    <x v="10"/>
    <n v="6.49"/>
    <x v="37"/>
    <x v="2"/>
    <x v="0"/>
    <x v="1"/>
    <x v="238"/>
    <x v="4"/>
    <x v="2"/>
    <x v="915"/>
  </r>
  <r>
    <x v="89"/>
    <x v="0"/>
    <x v="1"/>
    <s v="PhD"/>
    <n v="1"/>
    <n v="166.1"/>
    <x v="62"/>
    <x v="92"/>
    <x v="6"/>
    <n v="6.72"/>
    <x v="332"/>
    <x v="2"/>
    <x v="2"/>
    <x v="0"/>
    <x v="803"/>
    <x v="5"/>
    <x v="1"/>
    <x v="916"/>
  </r>
  <r>
    <x v="89"/>
    <x v="2"/>
    <x v="1"/>
    <s v="Masters"/>
    <n v="5"/>
    <n v="154.19999999999999"/>
    <x v="61"/>
    <x v="79"/>
    <x v="6"/>
    <n v="8.74"/>
    <x v="355"/>
    <x v="2"/>
    <x v="1"/>
    <x v="0"/>
    <x v="55"/>
    <x v="6"/>
    <x v="1"/>
    <x v="693"/>
  </r>
  <r>
    <x v="89"/>
    <x v="2"/>
    <x v="4"/>
    <s v="PhD"/>
    <n v="6"/>
    <n v="161.5"/>
    <x v="91"/>
    <x v="35"/>
    <x v="3"/>
    <n v="7"/>
    <x v="137"/>
    <x v="0"/>
    <x v="1"/>
    <x v="1"/>
    <x v="362"/>
    <x v="7"/>
    <x v="0"/>
    <x v="161"/>
  </r>
  <r>
    <x v="89"/>
    <x v="4"/>
    <x v="3"/>
    <s v="Bachelors"/>
    <n v="10"/>
    <n v="150.6"/>
    <x v="93"/>
    <x v="78"/>
    <x v="6"/>
    <n v="5.74"/>
    <x v="294"/>
    <x v="2"/>
    <x v="1"/>
    <x v="2"/>
    <x v="804"/>
    <x v="8"/>
    <x v="2"/>
    <x v="212"/>
  </r>
  <r>
    <x v="89"/>
    <x v="1"/>
    <x v="0"/>
    <s v="Masters"/>
    <n v="1"/>
    <n v="152.6"/>
    <x v="40"/>
    <x v="26"/>
    <x v="3"/>
    <n v="9.67"/>
    <x v="256"/>
    <x v="2"/>
    <x v="0"/>
    <x v="0"/>
    <x v="656"/>
    <x v="9"/>
    <x v="1"/>
    <x v="917"/>
  </r>
  <r>
    <x v="90"/>
    <x v="0"/>
    <x v="1"/>
    <s v="PhD"/>
    <n v="5"/>
    <n v="141.69999999999999"/>
    <x v="1"/>
    <x v="44"/>
    <x v="4"/>
    <n v="6.34"/>
    <x v="337"/>
    <x v="2"/>
    <x v="0"/>
    <x v="2"/>
    <x v="436"/>
    <x v="0"/>
    <x v="1"/>
    <x v="918"/>
  </r>
  <r>
    <x v="90"/>
    <x v="4"/>
    <x v="2"/>
    <s v="Bachelors"/>
    <n v="6"/>
    <n v="158"/>
    <x v="109"/>
    <x v="22"/>
    <x v="5"/>
    <n v="6.11"/>
    <x v="499"/>
    <x v="1"/>
    <x v="1"/>
    <x v="1"/>
    <x v="805"/>
    <x v="0"/>
    <x v="1"/>
    <x v="919"/>
  </r>
  <r>
    <x v="90"/>
    <x v="3"/>
    <x v="0"/>
    <s v="PhD"/>
    <n v="3"/>
    <n v="152.19999999999999"/>
    <x v="66"/>
    <x v="4"/>
    <x v="5"/>
    <n v="6.23"/>
    <x v="10"/>
    <x v="2"/>
    <x v="2"/>
    <x v="1"/>
    <x v="806"/>
    <x v="1"/>
    <x v="2"/>
    <x v="920"/>
  </r>
  <r>
    <x v="90"/>
    <x v="3"/>
    <x v="3"/>
    <s v="PhD"/>
    <n v="10"/>
    <n v="151.30000000000001"/>
    <x v="123"/>
    <x v="46"/>
    <x v="8"/>
    <n v="8.3699999999999992"/>
    <x v="32"/>
    <x v="2"/>
    <x v="2"/>
    <x v="1"/>
    <x v="807"/>
    <x v="1"/>
    <x v="0"/>
    <x v="596"/>
  </r>
  <r>
    <x v="90"/>
    <x v="1"/>
    <x v="2"/>
    <s v="PhD"/>
    <n v="1"/>
    <n v="180.3"/>
    <x v="23"/>
    <x v="4"/>
    <x v="6"/>
    <n v="8.69"/>
    <x v="537"/>
    <x v="2"/>
    <x v="0"/>
    <x v="2"/>
    <x v="808"/>
    <x v="2"/>
    <x v="0"/>
    <x v="921"/>
  </r>
  <r>
    <x v="90"/>
    <x v="2"/>
    <x v="0"/>
    <s v="PhD"/>
    <n v="10"/>
    <n v="158.69999999999999"/>
    <x v="81"/>
    <x v="35"/>
    <x v="5"/>
    <n v="5.4"/>
    <x v="242"/>
    <x v="2"/>
    <x v="0"/>
    <x v="2"/>
    <x v="809"/>
    <x v="3"/>
    <x v="0"/>
    <x v="66"/>
  </r>
  <r>
    <x v="90"/>
    <x v="1"/>
    <x v="4"/>
    <s v="Masters"/>
    <n v="1"/>
    <n v="164.8"/>
    <x v="39"/>
    <x v="16"/>
    <x v="6"/>
    <n v="7.38"/>
    <x v="17"/>
    <x v="2"/>
    <x v="0"/>
    <x v="2"/>
    <x v="346"/>
    <x v="4"/>
    <x v="0"/>
    <x v="922"/>
  </r>
  <r>
    <x v="90"/>
    <x v="4"/>
    <x v="2"/>
    <s v="PhD"/>
    <n v="5"/>
    <n v="150.30000000000001"/>
    <x v="1"/>
    <x v="83"/>
    <x v="12"/>
    <n v="7.42"/>
    <x v="125"/>
    <x v="2"/>
    <x v="1"/>
    <x v="1"/>
    <x v="810"/>
    <x v="5"/>
    <x v="2"/>
    <x v="923"/>
  </r>
  <r>
    <x v="90"/>
    <x v="1"/>
    <x v="2"/>
    <s v="Bachelors"/>
    <n v="3"/>
    <n v="143.30000000000001"/>
    <x v="91"/>
    <x v="66"/>
    <x v="5"/>
    <n v="9.58"/>
    <x v="205"/>
    <x v="2"/>
    <x v="1"/>
    <x v="0"/>
    <x v="341"/>
    <x v="6"/>
    <x v="0"/>
    <x v="924"/>
  </r>
  <r>
    <x v="90"/>
    <x v="2"/>
    <x v="3"/>
    <s v="Bachelors"/>
    <n v="1"/>
    <n v="167.7"/>
    <x v="48"/>
    <x v="85"/>
    <x v="5"/>
    <n v="5.56"/>
    <x v="229"/>
    <x v="2"/>
    <x v="1"/>
    <x v="0"/>
    <x v="811"/>
    <x v="7"/>
    <x v="1"/>
    <x v="925"/>
  </r>
  <r>
    <x v="90"/>
    <x v="1"/>
    <x v="3"/>
    <s v="PhD"/>
    <n v="5"/>
    <n v="158.19999999999999"/>
    <x v="105"/>
    <x v="25"/>
    <x v="4"/>
    <n v="6.76"/>
    <x v="538"/>
    <x v="2"/>
    <x v="2"/>
    <x v="0"/>
    <x v="16"/>
    <x v="8"/>
    <x v="1"/>
    <x v="926"/>
  </r>
  <r>
    <x v="90"/>
    <x v="1"/>
    <x v="2"/>
    <s v="Masters"/>
    <n v="1"/>
    <n v="164.3"/>
    <x v="115"/>
    <x v="82"/>
    <x v="7"/>
    <n v="8.4600000000000009"/>
    <x v="204"/>
    <x v="2"/>
    <x v="2"/>
    <x v="0"/>
    <x v="812"/>
    <x v="9"/>
    <x v="0"/>
    <x v="927"/>
  </r>
  <r>
    <x v="91"/>
    <x v="4"/>
    <x v="2"/>
    <s v="Masters"/>
    <n v="1"/>
    <n v="160.9"/>
    <x v="38"/>
    <x v="23"/>
    <x v="4"/>
    <n v="9.1300000000000008"/>
    <x v="281"/>
    <x v="2"/>
    <x v="1"/>
    <x v="1"/>
    <x v="774"/>
    <x v="0"/>
    <x v="0"/>
    <x v="500"/>
  </r>
  <r>
    <x v="91"/>
    <x v="1"/>
    <x v="2"/>
    <s v="Bachelors"/>
    <n v="4"/>
    <n v="151.9"/>
    <x v="147"/>
    <x v="44"/>
    <x v="1"/>
    <n v="6.5"/>
    <x v="507"/>
    <x v="0"/>
    <x v="1"/>
    <x v="0"/>
    <x v="345"/>
    <x v="0"/>
    <x v="0"/>
    <x v="928"/>
  </r>
  <r>
    <x v="91"/>
    <x v="1"/>
    <x v="4"/>
    <s v="PhD"/>
    <n v="3"/>
    <n v="173.7"/>
    <x v="49"/>
    <x v="74"/>
    <x v="5"/>
    <m/>
    <x v="398"/>
    <x v="2"/>
    <x v="1"/>
    <x v="0"/>
    <x v="183"/>
    <x v="1"/>
    <x v="0"/>
    <x v="929"/>
  </r>
  <r>
    <x v="91"/>
    <x v="2"/>
    <x v="0"/>
    <s v="PhD"/>
    <n v="10"/>
    <n v="168.7"/>
    <x v="1"/>
    <x v="0"/>
    <x v="10"/>
    <n v="5.67"/>
    <x v="379"/>
    <x v="2"/>
    <x v="1"/>
    <x v="0"/>
    <x v="813"/>
    <x v="1"/>
    <x v="0"/>
    <x v="930"/>
  </r>
  <r>
    <x v="91"/>
    <x v="1"/>
    <x v="3"/>
    <s v="Bachelors"/>
    <n v="10"/>
    <n v="165.5"/>
    <x v="27"/>
    <x v="11"/>
    <x v="3"/>
    <n v="7.96"/>
    <x v="539"/>
    <x v="0"/>
    <x v="2"/>
    <x v="2"/>
    <x v="40"/>
    <x v="2"/>
    <x v="0"/>
    <x v="931"/>
  </r>
  <r>
    <x v="91"/>
    <x v="2"/>
    <x v="4"/>
    <s v="PhD"/>
    <n v="5"/>
    <n v="166.9"/>
    <x v="109"/>
    <x v="6"/>
    <x v="2"/>
    <n v="7.11"/>
    <x v="77"/>
    <x v="2"/>
    <x v="1"/>
    <x v="1"/>
    <x v="701"/>
    <x v="3"/>
    <x v="1"/>
    <x v="932"/>
  </r>
  <r>
    <x v="91"/>
    <x v="3"/>
    <x v="0"/>
    <s v="Bachelors"/>
    <n v="10"/>
    <n v="168.9"/>
    <x v="38"/>
    <x v="23"/>
    <x v="5"/>
    <m/>
    <x v="540"/>
    <x v="0"/>
    <x v="0"/>
    <x v="1"/>
    <x v="143"/>
    <x v="4"/>
    <x v="1"/>
    <x v="775"/>
  </r>
  <r>
    <x v="91"/>
    <x v="4"/>
    <x v="2"/>
    <s v="Bachelors"/>
    <n v="4"/>
    <n v="163.4"/>
    <x v="1"/>
    <x v="26"/>
    <x v="6"/>
    <m/>
    <x v="404"/>
    <x v="1"/>
    <x v="1"/>
    <x v="2"/>
    <x v="814"/>
    <x v="5"/>
    <x v="0"/>
    <x v="21"/>
  </r>
  <r>
    <x v="91"/>
    <x v="2"/>
    <x v="1"/>
    <s v="PhD"/>
    <n v="8"/>
    <n v="170.8"/>
    <x v="96"/>
    <x v="2"/>
    <x v="6"/>
    <n v="3.35"/>
    <x v="10"/>
    <x v="2"/>
    <x v="1"/>
    <x v="1"/>
    <x v="411"/>
    <x v="6"/>
    <x v="0"/>
    <x v="933"/>
  </r>
  <r>
    <x v="91"/>
    <x v="2"/>
    <x v="3"/>
    <s v="Bachelors"/>
    <n v="1"/>
    <n v="151.4"/>
    <x v="20"/>
    <x v="4"/>
    <x v="3"/>
    <n v="6.57"/>
    <x v="491"/>
    <x v="0"/>
    <x v="2"/>
    <x v="1"/>
    <x v="815"/>
    <x v="7"/>
    <x v="0"/>
    <x v="392"/>
  </r>
  <r>
    <x v="91"/>
    <x v="3"/>
    <x v="2"/>
    <s v="PhD"/>
    <n v="2"/>
    <n v="172.1"/>
    <x v="38"/>
    <x v="12"/>
    <x v="0"/>
    <n v="8.11"/>
    <x v="195"/>
    <x v="0"/>
    <x v="2"/>
    <x v="0"/>
    <x v="816"/>
    <x v="8"/>
    <x v="0"/>
    <x v="358"/>
  </r>
  <r>
    <x v="91"/>
    <x v="1"/>
    <x v="2"/>
    <s v="Masters"/>
    <n v="9"/>
    <n v="167.3"/>
    <x v="1"/>
    <x v="4"/>
    <x v="12"/>
    <n v="9.25"/>
    <x v="174"/>
    <x v="2"/>
    <x v="1"/>
    <x v="0"/>
    <x v="817"/>
    <x v="9"/>
    <x v="0"/>
    <x v="934"/>
  </r>
  <r>
    <x v="92"/>
    <x v="0"/>
    <x v="1"/>
    <s v="PhD"/>
    <n v="6"/>
    <n v="153.19999999999999"/>
    <x v="22"/>
    <x v="73"/>
    <x v="7"/>
    <n v="6.46"/>
    <x v="541"/>
    <x v="2"/>
    <x v="2"/>
    <x v="1"/>
    <x v="818"/>
    <x v="0"/>
    <x v="1"/>
    <x v="935"/>
  </r>
  <r>
    <x v="92"/>
    <x v="4"/>
    <x v="1"/>
    <s v="PhD"/>
    <n v="6"/>
    <n v="158.6"/>
    <x v="43"/>
    <x v="4"/>
    <x v="8"/>
    <n v="7.67"/>
    <x v="496"/>
    <x v="1"/>
    <x v="1"/>
    <x v="0"/>
    <x v="756"/>
    <x v="0"/>
    <x v="2"/>
    <x v="314"/>
  </r>
  <r>
    <x v="92"/>
    <x v="4"/>
    <x v="4"/>
    <s v="PhD"/>
    <n v="9"/>
    <n v="149.1"/>
    <x v="27"/>
    <x v="66"/>
    <x v="4"/>
    <n v="6.02"/>
    <x v="253"/>
    <x v="0"/>
    <x v="1"/>
    <x v="1"/>
    <x v="819"/>
    <x v="1"/>
    <x v="2"/>
    <x v="936"/>
  </r>
  <r>
    <x v="92"/>
    <x v="2"/>
    <x v="0"/>
    <s v="Bachelors"/>
    <n v="2"/>
    <n v="177.7"/>
    <x v="143"/>
    <x v="73"/>
    <x v="1"/>
    <n v="5.15"/>
    <x v="203"/>
    <x v="0"/>
    <x v="0"/>
    <x v="1"/>
    <x v="640"/>
    <x v="1"/>
    <x v="1"/>
    <x v="937"/>
  </r>
  <r>
    <x v="92"/>
    <x v="1"/>
    <x v="4"/>
    <s v="PhD"/>
    <n v="8"/>
    <n v="166.5"/>
    <x v="154"/>
    <x v="81"/>
    <x v="0"/>
    <n v="6.93"/>
    <x v="169"/>
    <x v="2"/>
    <x v="1"/>
    <x v="1"/>
    <x v="168"/>
    <x v="2"/>
    <x v="1"/>
    <x v="261"/>
  </r>
  <r>
    <x v="92"/>
    <x v="4"/>
    <x v="4"/>
    <s v="Masters"/>
    <n v="4"/>
    <n v="157.5"/>
    <x v="105"/>
    <x v="75"/>
    <x v="10"/>
    <n v="4.9800000000000004"/>
    <x v="380"/>
    <x v="2"/>
    <x v="0"/>
    <x v="0"/>
    <x v="820"/>
    <x v="3"/>
    <x v="2"/>
    <x v="840"/>
  </r>
  <r>
    <x v="92"/>
    <x v="2"/>
    <x v="2"/>
    <s v="Bachelors"/>
    <n v="7"/>
    <n v="165.8"/>
    <x v="147"/>
    <x v="5"/>
    <x v="3"/>
    <n v="8.31"/>
    <x v="191"/>
    <x v="2"/>
    <x v="0"/>
    <x v="2"/>
    <x v="821"/>
    <x v="4"/>
    <x v="0"/>
    <x v="657"/>
  </r>
  <r>
    <x v="92"/>
    <x v="3"/>
    <x v="4"/>
    <s v="PhD"/>
    <n v="8"/>
    <n v="151.1"/>
    <x v="24"/>
    <x v="81"/>
    <x v="5"/>
    <n v="8.1199999999999992"/>
    <x v="152"/>
    <x v="2"/>
    <x v="2"/>
    <x v="1"/>
    <x v="822"/>
    <x v="5"/>
    <x v="0"/>
    <x v="817"/>
  </r>
  <r>
    <x v="92"/>
    <x v="0"/>
    <x v="2"/>
    <s v="Bachelors"/>
    <n v="6"/>
    <n v="158.1"/>
    <x v="119"/>
    <x v="32"/>
    <x v="1"/>
    <n v="9.3800000000000008"/>
    <x v="389"/>
    <x v="0"/>
    <x v="0"/>
    <x v="2"/>
    <x v="823"/>
    <x v="6"/>
    <x v="2"/>
    <x v="938"/>
  </r>
  <r>
    <x v="92"/>
    <x v="1"/>
    <x v="0"/>
    <s v="Masters"/>
    <n v="10"/>
    <n v="164.5"/>
    <x v="91"/>
    <x v="74"/>
    <x v="5"/>
    <n v="8.24"/>
    <x v="203"/>
    <x v="2"/>
    <x v="2"/>
    <x v="1"/>
    <x v="824"/>
    <x v="7"/>
    <x v="0"/>
    <x v="23"/>
  </r>
  <r>
    <x v="92"/>
    <x v="4"/>
    <x v="3"/>
    <s v="Bachelors"/>
    <n v="8"/>
    <n v="174.7"/>
    <x v="78"/>
    <x v="47"/>
    <x v="4"/>
    <m/>
    <x v="200"/>
    <x v="2"/>
    <x v="1"/>
    <x v="1"/>
    <x v="682"/>
    <x v="8"/>
    <x v="1"/>
    <x v="939"/>
  </r>
  <r>
    <x v="92"/>
    <x v="0"/>
    <x v="4"/>
    <s v="PhD"/>
    <n v="2"/>
    <n v="163.1"/>
    <x v="23"/>
    <x v="64"/>
    <x v="5"/>
    <n v="9.7899999999999991"/>
    <x v="453"/>
    <x v="0"/>
    <x v="1"/>
    <x v="1"/>
    <x v="825"/>
    <x v="9"/>
    <x v="1"/>
    <x v="366"/>
  </r>
  <r>
    <x v="93"/>
    <x v="0"/>
    <x v="2"/>
    <s v="PhD"/>
    <n v="9"/>
    <n v="171.7"/>
    <x v="20"/>
    <x v="5"/>
    <x v="5"/>
    <n v="8.58"/>
    <x v="11"/>
    <x v="2"/>
    <x v="1"/>
    <x v="1"/>
    <x v="459"/>
    <x v="0"/>
    <x v="2"/>
    <x v="143"/>
  </r>
  <r>
    <x v="93"/>
    <x v="3"/>
    <x v="2"/>
    <s v="Masters"/>
    <n v="1"/>
    <n v="152.1"/>
    <x v="49"/>
    <x v="83"/>
    <x v="9"/>
    <n v="6.74"/>
    <x v="289"/>
    <x v="2"/>
    <x v="1"/>
    <x v="0"/>
    <x v="826"/>
    <x v="0"/>
    <x v="1"/>
    <x v="940"/>
  </r>
  <r>
    <x v="93"/>
    <x v="4"/>
    <x v="4"/>
    <s v="Masters"/>
    <n v="9"/>
    <n v="162.80000000000001"/>
    <x v="97"/>
    <x v="27"/>
    <x v="5"/>
    <n v="7.54"/>
    <x v="364"/>
    <x v="0"/>
    <x v="0"/>
    <x v="1"/>
    <x v="827"/>
    <x v="1"/>
    <x v="2"/>
    <x v="941"/>
  </r>
  <r>
    <x v="93"/>
    <x v="4"/>
    <x v="4"/>
    <s v="Masters"/>
    <n v="2"/>
    <n v="162.6"/>
    <x v="24"/>
    <x v="2"/>
    <x v="9"/>
    <n v="7.68"/>
    <x v="200"/>
    <x v="1"/>
    <x v="2"/>
    <x v="2"/>
    <x v="542"/>
    <x v="1"/>
    <x v="1"/>
    <x v="942"/>
  </r>
  <r>
    <x v="93"/>
    <x v="4"/>
    <x v="1"/>
    <s v="Masters"/>
    <n v="1"/>
    <n v="168.5"/>
    <x v="1"/>
    <x v="40"/>
    <x v="5"/>
    <n v="8.2200000000000006"/>
    <x v="142"/>
    <x v="2"/>
    <x v="2"/>
    <x v="1"/>
    <x v="828"/>
    <x v="2"/>
    <x v="1"/>
    <x v="943"/>
  </r>
  <r>
    <x v="93"/>
    <x v="4"/>
    <x v="1"/>
    <s v="Masters"/>
    <n v="9"/>
    <n v="150.19999999999999"/>
    <x v="1"/>
    <x v="43"/>
    <x v="8"/>
    <n v="9.65"/>
    <x v="542"/>
    <x v="2"/>
    <x v="2"/>
    <x v="1"/>
    <x v="688"/>
    <x v="3"/>
    <x v="0"/>
    <x v="280"/>
  </r>
  <r>
    <x v="93"/>
    <x v="4"/>
    <x v="3"/>
    <s v="Masters"/>
    <n v="6"/>
    <n v="160.80000000000001"/>
    <x v="42"/>
    <x v="68"/>
    <x v="3"/>
    <n v="8.65"/>
    <x v="520"/>
    <x v="1"/>
    <x v="2"/>
    <x v="2"/>
    <x v="829"/>
    <x v="4"/>
    <x v="0"/>
    <x v="944"/>
  </r>
  <r>
    <x v="93"/>
    <x v="4"/>
    <x v="1"/>
    <s v="PhD"/>
    <n v="9"/>
    <n v="146.6"/>
    <x v="51"/>
    <x v="55"/>
    <x v="6"/>
    <n v="7.59"/>
    <x v="411"/>
    <x v="2"/>
    <x v="1"/>
    <x v="1"/>
    <x v="830"/>
    <x v="5"/>
    <x v="1"/>
    <x v="764"/>
  </r>
  <r>
    <x v="93"/>
    <x v="1"/>
    <x v="2"/>
    <s v="PhD"/>
    <n v="2"/>
    <n v="152.80000000000001"/>
    <x v="42"/>
    <x v="41"/>
    <x v="8"/>
    <n v="6.42"/>
    <x v="10"/>
    <x v="1"/>
    <x v="1"/>
    <x v="0"/>
    <x v="681"/>
    <x v="6"/>
    <x v="2"/>
    <x v="945"/>
  </r>
  <r>
    <x v="93"/>
    <x v="1"/>
    <x v="4"/>
    <s v="Masters"/>
    <n v="7"/>
    <n v="174"/>
    <x v="84"/>
    <x v="72"/>
    <x v="4"/>
    <n v="5.59"/>
    <x v="55"/>
    <x v="0"/>
    <x v="0"/>
    <x v="1"/>
    <x v="831"/>
    <x v="7"/>
    <x v="1"/>
    <x v="946"/>
  </r>
  <r>
    <x v="93"/>
    <x v="2"/>
    <x v="0"/>
    <s v="Bachelors"/>
    <n v="6"/>
    <n v="157"/>
    <x v="127"/>
    <x v="68"/>
    <x v="5"/>
    <n v="8.1999999999999993"/>
    <x v="231"/>
    <x v="0"/>
    <x v="0"/>
    <x v="1"/>
    <x v="690"/>
    <x v="8"/>
    <x v="2"/>
    <x v="654"/>
  </r>
  <r>
    <x v="93"/>
    <x v="0"/>
    <x v="0"/>
    <s v="Bachelors"/>
    <n v="7"/>
    <n v="163.5"/>
    <x v="157"/>
    <x v="68"/>
    <x v="4"/>
    <n v="7.07"/>
    <x v="503"/>
    <x v="2"/>
    <x v="0"/>
    <x v="1"/>
    <x v="832"/>
    <x v="9"/>
    <x v="0"/>
    <x v="426"/>
  </r>
  <r>
    <x v="94"/>
    <x v="4"/>
    <x v="0"/>
    <s v="Bachelors"/>
    <n v="10"/>
    <n v="127.5"/>
    <x v="1"/>
    <x v="20"/>
    <x v="4"/>
    <n v="6.11"/>
    <x v="290"/>
    <x v="0"/>
    <x v="0"/>
    <x v="0"/>
    <x v="833"/>
    <x v="0"/>
    <x v="1"/>
    <x v="947"/>
  </r>
  <r>
    <x v="94"/>
    <x v="3"/>
    <x v="0"/>
    <s v="PhD"/>
    <n v="8"/>
    <n v="160.6"/>
    <x v="1"/>
    <x v="41"/>
    <x v="0"/>
    <n v="8.93"/>
    <x v="519"/>
    <x v="0"/>
    <x v="1"/>
    <x v="1"/>
    <x v="834"/>
    <x v="0"/>
    <x v="1"/>
    <x v="514"/>
  </r>
  <r>
    <x v="94"/>
    <x v="4"/>
    <x v="2"/>
    <s v="PhD"/>
    <n v="2"/>
    <n v="169.5"/>
    <x v="137"/>
    <x v="46"/>
    <x v="1"/>
    <n v="6.52"/>
    <x v="268"/>
    <x v="2"/>
    <x v="2"/>
    <x v="1"/>
    <x v="83"/>
    <x v="1"/>
    <x v="0"/>
    <x v="179"/>
  </r>
  <r>
    <x v="94"/>
    <x v="3"/>
    <x v="4"/>
    <s v="Bachelors"/>
    <n v="7"/>
    <n v="140.6"/>
    <x v="80"/>
    <x v="46"/>
    <x v="4"/>
    <n v="7.4"/>
    <x v="351"/>
    <x v="2"/>
    <x v="1"/>
    <x v="1"/>
    <x v="835"/>
    <x v="1"/>
    <x v="0"/>
    <x v="948"/>
  </r>
  <r>
    <x v="94"/>
    <x v="4"/>
    <x v="2"/>
    <s v="Bachelors"/>
    <n v="7"/>
    <n v="160.5"/>
    <x v="111"/>
    <x v="59"/>
    <x v="3"/>
    <n v="9.98"/>
    <x v="148"/>
    <x v="1"/>
    <x v="1"/>
    <x v="1"/>
    <x v="779"/>
    <x v="2"/>
    <x v="0"/>
    <x v="93"/>
  </r>
  <r>
    <x v="94"/>
    <x v="2"/>
    <x v="3"/>
    <s v="Bachelors"/>
    <n v="10"/>
    <n v="157.5"/>
    <x v="0"/>
    <x v="15"/>
    <x v="9"/>
    <n v="8.99"/>
    <x v="198"/>
    <x v="2"/>
    <x v="1"/>
    <x v="1"/>
    <x v="836"/>
    <x v="3"/>
    <x v="2"/>
    <x v="949"/>
  </r>
  <r>
    <x v="94"/>
    <x v="2"/>
    <x v="4"/>
    <s v="PhD"/>
    <n v="1"/>
    <n v="156"/>
    <x v="107"/>
    <x v="48"/>
    <x v="1"/>
    <n v="8.8800000000000008"/>
    <x v="146"/>
    <x v="2"/>
    <x v="1"/>
    <x v="1"/>
    <x v="351"/>
    <x v="4"/>
    <x v="0"/>
    <x v="950"/>
  </r>
  <r>
    <x v="94"/>
    <x v="1"/>
    <x v="0"/>
    <s v="Masters"/>
    <n v="3"/>
    <n v="158.69999999999999"/>
    <x v="115"/>
    <x v="13"/>
    <x v="13"/>
    <n v="7.62"/>
    <x v="437"/>
    <x v="2"/>
    <x v="1"/>
    <x v="1"/>
    <x v="837"/>
    <x v="5"/>
    <x v="0"/>
    <x v="951"/>
  </r>
  <r>
    <x v="94"/>
    <x v="0"/>
    <x v="1"/>
    <s v="Bachelors"/>
    <n v="3"/>
    <n v="163.19999999999999"/>
    <x v="138"/>
    <x v="66"/>
    <x v="3"/>
    <n v="5.79"/>
    <x v="543"/>
    <x v="0"/>
    <x v="0"/>
    <x v="2"/>
    <x v="838"/>
    <x v="6"/>
    <x v="1"/>
    <x v="952"/>
  </r>
  <r>
    <x v="94"/>
    <x v="3"/>
    <x v="2"/>
    <s v="Masters"/>
    <n v="6"/>
    <n v="161.19999999999999"/>
    <x v="1"/>
    <x v="25"/>
    <x v="0"/>
    <n v="6.44"/>
    <x v="250"/>
    <x v="0"/>
    <x v="2"/>
    <x v="0"/>
    <x v="815"/>
    <x v="7"/>
    <x v="0"/>
    <x v="2"/>
  </r>
  <r>
    <x v="94"/>
    <x v="2"/>
    <x v="0"/>
    <s v="PhD"/>
    <n v="1"/>
    <n v="163"/>
    <x v="1"/>
    <x v="22"/>
    <x v="9"/>
    <n v="7.22"/>
    <x v="534"/>
    <x v="1"/>
    <x v="2"/>
    <x v="0"/>
    <x v="839"/>
    <x v="8"/>
    <x v="2"/>
    <x v="953"/>
  </r>
  <r>
    <x v="94"/>
    <x v="0"/>
    <x v="4"/>
    <s v="Masters"/>
    <n v="5"/>
    <n v="168.5"/>
    <x v="134"/>
    <x v="88"/>
    <x v="0"/>
    <n v="6.7"/>
    <x v="10"/>
    <x v="2"/>
    <x v="2"/>
    <x v="1"/>
    <x v="278"/>
    <x v="9"/>
    <x v="0"/>
    <x v="954"/>
  </r>
  <r>
    <x v="95"/>
    <x v="2"/>
    <x v="3"/>
    <s v="Masters"/>
    <n v="9"/>
    <n v="155.9"/>
    <x v="86"/>
    <x v="60"/>
    <x v="9"/>
    <n v="7"/>
    <x v="278"/>
    <x v="0"/>
    <x v="0"/>
    <x v="0"/>
    <x v="840"/>
    <x v="0"/>
    <x v="1"/>
    <x v="955"/>
  </r>
  <r>
    <x v="95"/>
    <x v="2"/>
    <x v="1"/>
    <s v="Masters"/>
    <n v="7"/>
    <n v="155.4"/>
    <x v="95"/>
    <x v="34"/>
    <x v="8"/>
    <n v="7.17"/>
    <x v="364"/>
    <x v="2"/>
    <x v="0"/>
    <x v="1"/>
    <x v="733"/>
    <x v="0"/>
    <x v="0"/>
    <x v="226"/>
  </r>
  <r>
    <x v="95"/>
    <x v="0"/>
    <x v="3"/>
    <s v="Bachelors"/>
    <n v="2"/>
    <n v="166.7"/>
    <x v="109"/>
    <x v="34"/>
    <x v="4"/>
    <n v="7.57"/>
    <x v="234"/>
    <x v="0"/>
    <x v="0"/>
    <x v="1"/>
    <x v="841"/>
    <x v="1"/>
    <x v="1"/>
    <x v="724"/>
  </r>
  <r>
    <x v="95"/>
    <x v="0"/>
    <x v="4"/>
    <s v="Bachelors"/>
    <n v="7"/>
    <n v="142.30000000000001"/>
    <x v="13"/>
    <x v="8"/>
    <x v="5"/>
    <n v="6.46"/>
    <x v="170"/>
    <x v="2"/>
    <x v="2"/>
    <x v="2"/>
    <x v="770"/>
    <x v="1"/>
    <x v="2"/>
    <x v="956"/>
  </r>
  <r>
    <x v="95"/>
    <x v="3"/>
    <x v="0"/>
    <s v="PhD"/>
    <n v="9"/>
    <n v="160.9"/>
    <x v="74"/>
    <x v="10"/>
    <x v="8"/>
    <n v="6.96"/>
    <x v="57"/>
    <x v="0"/>
    <x v="0"/>
    <x v="1"/>
    <x v="685"/>
    <x v="2"/>
    <x v="1"/>
    <x v="533"/>
  </r>
  <r>
    <x v="95"/>
    <x v="2"/>
    <x v="3"/>
    <s v="PhD"/>
    <n v="2"/>
    <n v="163.5"/>
    <x v="1"/>
    <x v="53"/>
    <x v="8"/>
    <n v="6.12"/>
    <x v="544"/>
    <x v="2"/>
    <x v="0"/>
    <x v="2"/>
    <x v="842"/>
    <x v="3"/>
    <x v="0"/>
    <x v="396"/>
  </r>
  <r>
    <x v="95"/>
    <x v="2"/>
    <x v="2"/>
    <s v="Bachelors"/>
    <n v="2"/>
    <n v="164.5"/>
    <x v="91"/>
    <x v="26"/>
    <x v="1"/>
    <n v="6.48"/>
    <x v="356"/>
    <x v="2"/>
    <x v="0"/>
    <x v="2"/>
    <x v="843"/>
    <x v="4"/>
    <x v="2"/>
    <x v="619"/>
  </r>
  <r>
    <x v="95"/>
    <x v="4"/>
    <x v="4"/>
    <s v="Bachelors"/>
    <n v="4"/>
    <n v="151.19999999999999"/>
    <x v="52"/>
    <x v="85"/>
    <x v="5"/>
    <n v="9.1"/>
    <x v="172"/>
    <x v="2"/>
    <x v="0"/>
    <x v="0"/>
    <x v="668"/>
    <x v="5"/>
    <x v="0"/>
    <x v="821"/>
  </r>
  <r>
    <x v="95"/>
    <x v="3"/>
    <x v="0"/>
    <s v="Masters"/>
    <n v="6"/>
    <n v="156.4"/>
    <x v="128"/>
    <x v="103"/>
    <x v="4"/>
    <n v="7.28"/>
    <x v="2"/>
    <x v="2"/>
    <x v="2"/>
    <x v="0"/>
    <x v="132"/>
    <x v="6"/>
    <x v="0"/>
    <x v="957"/>
  </r>
  <r>
    <x v="95"/>
    <x v="1"/>
    <x v="3"/>
    <s v="Masters"/>
    <n v="9"/>
    <n v="165.9"/>
    <x v="114"/>
    <x v="43"/>
    <x v="4"/>
    <n v="5.18"/>
    <x v="149"/>
    <x v="2"/>
    <x v="0"/>
    <x v="1"/>
    <x v="335"/>
    <x v="7"/>
    <x v="0"/>
    <x v="205"/>
  </r>
  <r>
    <x v="95"/>
    <x v="2"/>
    <x v="0"/>
    <s v="PhD"/>
    <n v="10"/>
    <n v="162"/>
    <x v="78"/>
    <x v="34"/>
    <x v="8"/>
    <n v="6.31"/>
    <x v="545"/>
    <x v="0"/>
    <x v="0"/>
    <x v="0"/>
    <x v="95"/>
    <x v="8"/>
    <x v="1"/>
    <x v="296"/>
  </r>
  <r>
    <x v="95"/>
    <x v="3"/>
    <x v="0"/>
    <s v="Masters"/>
    <n v="6"/>
    <n v="165.9"/>
    <x v="31"/>
    <x v="66"/>
    <x v="11"/>
    <n v="6"/>
    <x v="546"/>
    <x v="2"/>
    <x v="2"/>
    <x v="1"/>
    <x v="40"/>
    <x v="9"/>
    <x v="0"/>
    <x v="63"/>
  </r>
  <r>
    <x v="96"/>
    <x v="3"/>
    <x v="0"/>
    <s v="PhD"/>
    <n v="7"/>
    <n v="166.1"/>
    <x v="1"/>
    <x v="23"/>
    <x v="6"/>
    <n v="7.5"/>
    <x v="298"/>
    <x v="0"/>
    <x v="1"/>
    <x v="2"/>
    <x v="327"/>
    <x v="0"/>
    <x v="1"/>
    <x v="916"/>
  </r>
  <r>
    <x v="96"/>
    <x v="3"/>
    <x v="3"/>
    <s v="Bachelors"/>
    <n v="8"/>
    <n v="149.30000000000001"/>
    <x v="97"/>
    <x v="44"/>
    <x v="5"/>
    <n v="7.4"/>
    <x v="4"/>
    <x v="2"/>
    <x v="2"/>
    <x v="2"/>
    <x v="726"/>
    <x v="0"/>
    <x v="0"/>
    <x v="958"/>
  </r>
  <r>
    <x v="96"/>
    <x v="1"/>
    <x v="1"/>
    <s v="Masters"/>
    <n v="6"/>
    <n v="158.6"/>
    <x v="134"/>
    <x v="6"/>
    <x v="8"/>
    <n v="5.76"/>
    <x v="547"/>
    <x v="2"/>
    <x v="2"/>
    <x v="0"/>
    <x v="844"/>
    <x v="1"/>
    <x v="0"/>
    <x v="314"/>
  </r>
  <r>
    <x v="96"/>
    <x v="1"/>
    <x v="1"/>
    <s v="Masters"/>
    <n v="5"/>
    <n v="172.4"/>
    <x v="78"/>
    <x v="11"/>
    <x v="1"/>
    <n v="6.77"/>
    <x v="488"/>
    <x v="2"/>
    <x v="1"/>
    <x v="0"/>
    <x v="340"/>
    <x v="1"/>
    <x v="1"/>
    <x v="959"/>
  </r>
  <r>
    <x v="96"/>
    <x v="1"/>
    <x v="1"/>
    <s v="PhD"/>
    <n v="5"/>
    <n v="164.4"/>
    <x v="58"/>
    <x v="14"/>
    <x v="8"/>
    <n v="8.83"/>
    <x v="29"/>
    <x v="2"/>
    <x v="0"/>
    <x v="0"/>
    <x v="845"/>
    <x v="2"/>
    <x v="0"/>
    <x v="348"/>
  </r>
  <r>
    <x v="96"/>
    <x v="0"/>
    <x v="0"/>
    <s v="Bachelors"/>
    <n v="8"/>
    <n v="173.1"/>
    <x v="167"/>
    <x v="23"/>
    <x v="12"/>
    <n v="5.63"/>
    <x v="313"/>
    <x v="0"/>
    <x v="2"/>
    <x v="1"/>
    <x v="846"/>
    <x v="3"/>
    <x v="1"/>
    <x v="960"/>
  </r>
  <r>
    <x v="96"/>
    <x v="4"/>
    <x v="4"/>
    <s v="Bachelors"/>
    <n v="6"/>
    <n v="156"/>
    <x v="1"/>
    <x v="11"/>
    <x v="7"/>
    <n v="6.57"/>
    <x v="281"/>
    <x v="0"/>
    <x v="2"/>
    <x v="0"/>
    <x v="847"/>
    <x v="4"/>
    <x v="1"/>
    <x v="961"/>
  </r>
  <r>
    <x v="96"/>
    <x v="4"/>
    <x v="3"/>
    <s v="PhD"/>
    <n v="2"/>
    <n v="160.80000000000001"/>
    <x v="2"/>
    <x v="16"/>
    <x v="10"/>
    <n v="8.7799999999999994"/>
    <x v="25"/>
    <x v="2"/>
    <x v="0"/>
    <x v="2"/>
    <x v="848"/>
    <x v="5"/>
    <x v="1"/>
    <x v="962"/>
  </r>
  <r>
    <x v="96"/>
    <x v="2"/>
    <x v="3"/>
    <s v="Masters"/>
    <n v="4"/>
    <n v="162.1"/>
    <x v="1"/>
    <x v="15"/>
    <x v="6"/>
    <n v="5.61"/>
    <x v="188"/>
    <x v="2"/>
    <x v="1"/>
    <x v="1"/>
    <x v="72"/>
    <x v="6"/>
    <x v="1"/>
    <x v="448"/>
  </r>
  <r>
    <x v="96"/>
    <x v="3"/>
    <x v="2"/>
    <s v="Bachelors"/>
    <n v="3"/>
    <n v="165.6"/>
    <x v="30"/>
    <x v="4"/>
    <x v="0"/>
    <n v="8.48"/>
    <x v="270"/>
    <x v="2"/>
    <x v="2"/>
    <x v="0"/>
    <x v="849"/>
    <x v="7"/>
    <x v="0"/>
    <x v="963"/>
  </r>
  <r>
    <x v="96"/>
    <x v="0"/>
    <x v="4"/>
    <s v="Masters"/>
    <n v="5"/>
    <n v="150"/>
    <x v="58"/>
    <x v="41"/>
    <x v="3"/>
    <m/>
    <x v="111"/>
    <x v="0"/>
    <x v="0"/>
    <x v="1"/>
    <x v="826"/>
    <x v="8"/>
    <x v="1"/>
    <x v="964"/>
  </r>
  <r>
    <x v="96"/>
    <x v="0"/>
    <x v="4"/>
    <s v="Masters"/>
    <n v="2"/>
    <n v="171.3"/>
    <x v="79"/>
    <x v="64"/>
    <x v="1"/>
    <n v="10"/>
    <x v="6"/>
    <x v="0"/>
    <x v="0"/>
    <x v="1"/>
    <x v="850"/>
    <x v="9"/>
    <x v="1"/>
    <x v="965"/>
  </r>
  <r>
    <x v="97"/>
    <x v="1"/>
    <x v="2"/>
    <s v="Bachelors"/>
    <n v="9"/>
    <n v="159"/>
    <x v="111"/>
    <x v="19"/>
    <x v="8"/>
    <n v="5.57"/>
    <x v="548"/>
    <x v="2"/>
    <x v="2"/>
    <x v="1"/>
    <x v="851"/>
    <x v="0"/>
    <x v="1"/>
    <x v="966"/>
  </r>
  <r>
    <x v="97"/>
    <x v="4"/>
    <x v="3"/>
    <s v="PhD"/>
    <n v="1"/>
    <n v="167.2"/>
    <x v="11"/>
    <x v="93"/>
    <x v="6"/>
    <n v="9.0299999999999994"/>
    <x v="412"/>
    <x v="2"/>
    <x v="1"/>
    <x v="0"/>
    <x v="65"/>
    <x v="0"/>
    <x v="0"/>
    <x v="967"/>
  </r>
  <r>
    <x v="97"/>
    <x v="1"/>
    <x v="2"/>
    <s v="PhD"/>
    <n v="1"/>
    <n v="152.9"/>
    <x v="69"/>
    <x v="44"/>
    <x v="6"/>
    <n v="6.67"/>
    <x v="10"/>
    <x v="2"/>
    <x v="1"/>
    <x v="2"/>
    <x v="852"/>
    <x v="1"/>
    <x v="0"/>
    <x v="521"/>
  </r>
  <r>
    <x v="97"/>
    <x v="3"/>
    <x v="4"/>
    <s v="Masters"/>
    <n v="8"/>
    <n v="169.6"/>
    <x v="19"/>
    <x v="37"/>
    <x v="8"/>
    <n v="4.97"/>
    <x v="10"/>
    <x v="0"/>
    <x v="1"/>
    <x v="1"/>
    <x v="55"/>
    <x v="1"/>
    <x v="1"/>
    <x v="827"/>
  </r>
  <r>
    <x v="97"/>
    <x v="3"/>
    <x v="1"/>
    <s v="Masters"/>
    <n v="6"/>
    <n v="140"/>
    <x v="1"/>
    <x v="102"/>
    <x v="8"/>
    <n v="5.45"/>
    <x v="474"/>
    <x v="2"/>
    <x v="0"/>
    <x v="1"/>
    <x v="853"/>
    <x v="2"/>
    <x v="0"/>
    <x v="968"/>
  </r>
  <r>
    <x v="97"/>
    <x v="3"/>
    <x v="3"/>
    <s v="Bachelors"/>
    <n v="3"/>
    <n v="147.1"/>
    <x v="99"/>
    <x v="67"/>
    <x v="6"/>
    <n v="7.53"/>
    <x v="139"/>
    <x v="2"/>
    <x v="0"/>
    <x v="2"/>
    <x v="248"/>
    <x v="3"/>
    <x v="2"/>
    <x v="969"/>
  </r>
  <r>
    <x v="97"/>
    <x v="1"/>
    <x v="2"/>
    <s v="PhD"/>
    <n v="2"/>
    <n v="174.5"/>
    <x v="46"/>
    <x v="68"/>
    <x v="6"/>
    <n v="8.08"/>
    <x v="225"/>
    <x v="0"/>
    <x v="0"/>
    <x v="2"/>
    <x v="341"/>
    <x v="4"/>
    <x v="0"/>
    <x v="970"/>
  </r>
  <r>
    <x v="97"/>
    <x v="4"/>
    <x v="3"/>
    <s v="Masters"/>
    <n v="10"/>
    <n v="161.69999999999999"/>
    <x v="1"/>
    <x v="4"/>
    <x v="4"/>
    <n v="9.2799999999999994"/>
    <x v="43"/>
    <x v="0"/>
    <x v="1"/>
    <x v="1"/>
    <x v="89"/>
    <x v="5"/>
    <x v="0"/>
    <x v="55"/>
  </r>
  <r>
    <x v="97"/>
    <x v="1"/>
    <x v="4"/>
    <s v="PhD"/>
    <n v="9"/>
    <n v="157.19999999999999"/>
    <x v="67"/>
    <x v="55"/>
    <x v="0"/>
    <n v="8.5399999999999991"/>
    <x v="549"/>
    <x v="2"/>
    <x v="1"/>
    <x v="0"/>
    <x v="733"/>
    <x v="6"/>
    <x v="0"/>
    <x v="70"/>
  </r>
  <r>
    <x v="97"/>
    <x v="3"/>
    <x v="1"/>
    <s v="PhD"/>
    <n v="2"/>
    <n v="144.19999999999999"/>
    <x v="13"/>
    <x v="45"/>
    <x v="2"/>
    <n v="8.15"/>
    <x v="10"/>
    <x v="2"/>
    <x v="0"/>
    <x v="2"/>
    <x v="514"/>
    <x v="7"/>
    <x v="0"/>
    <x v="971"/>
  </r>
  <r>
    <x v="97"/>
    <x v="1"/>
    <x v="1"/>
    <s v="PhD"/>
    <n v="1"/>
    <n v="151.6"/>
    <x v="1"/>
    <x v="71"/>
    <x v="4"/>
    <n v="6.55"/>
    <x v="10"/>
    <x v="1"/>
    <x v="1"/>
    <x v="2"/>
    <x v="247"/>
    <x v="8"/>
    <x v="0"/>
    <x v="972"/>
  </r>
  <r>
    <x v="97"/>
    <x v="0"/>
    <x v="1"/>
    <s v="Masters"/>
    <n v="10"/>
    <n v="156.1"/>
    <x v="88"/>
    <x v="43"/>
    <x v="0"/>
    <n v="8.1300000000000008"/>
    <x v="352"/>
    <x v="2"/>
    <x v="0"/>
    <x v="0"/>
    <x v="854"/>
    <x v="9"/>
    <x v="0"/>
    <x v="973"/>
  </r>
  <r>
    <x v="98"/>
    <x v="2"/>
    <x v="4"/>
    <s v="PhD"/>
    <n v="5"/>
    <n v="152.1"/>
    <x v="14"/>
    <x v="8"/>
    <x v="15"/>
    <n v="7.12"/>
    <x v="492"/>
    <x v="2"/>
    <x v="0"/>
    <x v="2"/>
    <x v="855"/>
    <x v="0"/>
    <x v="1"/>
    <x v="974"/>
  </r>
  <r>
    <x v="98"/>
    <x v="3"/>
    <x v="3"/>
    <s v="PhD"/>
    <n v="2"/>
    <n v="164.3"/>
    <x v="101"/>
    <x v="58"/>
    <x v="8"/>
    <n v="6.5"/>
    <x v="138"/>
    <x v="0"/>
    <x v="2"/>
    <x v="0"/>
    <x v="506"/>
    <x v="0"/>
    <x v="2"/>
    <x v="86"/>
  </r>
  <r>
    <x v="98"/>
    <x v="4"/>
    <x v="0"/>
    <s v="PhD"/>
    <n v="4"/>
    <n v="148.5"/>
    <x v="151"/>
    <x v="31"/>
    <x v="4"/>
    <n v="9.07"/>
    <x v="177"/>
    <x v="0"/>
    <x v="1"/>
    <x v="0"/>
    <x v="367"/>
    <x v="1"/>
    <x v="1"/>
    <x v="975"/>
  </r>
  <r>
    <x v="98"/>
    <x v="1"/>
    <x v="3"/>
    <s v="Masters"/>
    <n v="8"/>
    <n v="172.3"/>
    <x v="26"/>
    <x v="13"/>
    <x v="5"/>
    <n v="9.26"/>
    <x v="411"/>
    <x v="2"/>
    <x v="2"/>
    <x v="0"/>
    <x v="309"/>
    <x v="1"/>
    <x v="0"/>
    <x v="976"/>
  </r>
  <r>
    <x v="98"/>
    <x v="4"/>
    <x v="3"/>
    <s v="Masters"/>
    <n v="7"/>
    <n v="166.8"/>
    <x v="55"/>
    <x v="51"/>
    <x v="4"/>
    <n v="5.0999999999999996"/>
    <x v="10"/>
    <x v="2"/>
    <x v="0"/>
    <x v="2"/>
    <x v="527"/>
    <x v="2"/>
    <x v="2"/>
    <x v="83"/>
  </r>
  <r>
    <x v="98"/>
    <x v="2"/>
    <x v="4"/>
    <s v="Masters"/>
    <n v="5"/>
    <n v="165.2"/>
    <x v="75"/>
    <x v="58"/>
    <x v="5"/>
    <n v="8.1999999999999993"/>
    <x v="188"/>
    <x v="2"/>
    <x v="0"/>
    <x v="0"/>
    <x v="856"/>
    <x v="3"/>
    <x v="0"/>
    <x v="977"/>
  </r>
  <r>
    <x v="98"/>
    <x v="4"/>
    <x v="0"/>
    <s v="Masters"/>
    <n v="7"/>
    <n v="186.5"/>
    <x v="31"/>
    <x v="21"/>
    <x v="4"/>
    <n v="6.66"/>
    <x v="157"/>
    <x v="2"/>
    <x v="2"/>
    <x v="1"/>
    <x v="857"/>
    <x v="4"/>
    <x v="1"/>
    <x v="978"/>
  </r>
  <r>
    <x v="98"/>
    <x v="1"/>
    <x v="4"/>
    <s v="PhD"/>
    <n v="5"/>
    <n v="167.2"/>
    <x v="1"/>
    <x v="45"/>
    <x v="3"/>
    <n v="7.23"/>
    <x v="181"/>
    <x v="2"/>
    <x v="2"/>
    <x v="1"/>
    <x v="858"/>
    <x v="5"/>
    <x v="1"/>
    <x v="979"/>
  </r>
  <r>
    <x v="98"/>
    <x v="2"/>
    <x v="1"/>
    <s v="Masters"/>
    <n v="9"/>
    <n v="174"/>
    <x v="18"/>
    <x v="7"/>
    <x v="8"/>
    <n v="8.98"/>
    <x v="461"/>
    <x v="0"/>
    <x v="0"/>
    <x v="2"/>
    <x v="570"/>
    <x v="6"/>
    <x v="0"/>
    <x v="980"/>
  </r>
  <r>
    <x v="98"/>
    <x v="2"/>
    <x v="2"/>
    <s v="PhD"/>
    <n v="2"/>
    <n v="151.4"/>
    <x v="164"/>
    <x v="0"/>
    <x v="5"/>
    <n v="7.08"/>
    <x v="36"/>
    <x v="2"/>
    <x v="0"/>
    <x v="0"/>
    <x v="859"/>
    <x v="7"/>
    <x v="1"/>
    <x v="981"/>
  </r>
  <r>
    <x v="98"/>
    <x v="4"/>
    <x v="4"/>
    <s v="Masters"/>
    <n v="4"/>
    <n v="151.9"/>
    <x v="56"/>
    <x v="57"/>
    <x v="1"/>
    <n v="8.16"/>
    <x v="26"/>
    <x v="2"/>
    <x v="0"/>
    <x v="1"/>
    <x v="860"/>
    <x v="8"/>
    <x v="1"/>
    <x v="928"/>
  </r>
  <r>
    <x v="98"/>
    <x v="1"/>
    <x v="1"/>
    <s v="PhD"/>
    <n v="5"/>
    <n v="176"/>
    <x v="134"/>
    <x v="26"/>
    <x v="1"/>
    <n v="7.92"/>
    <x v="10"/>
    <x v="2"/>
    <x v="0"/>
    <x v="2"/>
    <x v="861"/>
    <x v="9"/>
    <x v="2"/>
    <x v="982"/>
  </r>
  <r>
    <x v="99"/>
    <x v="2"/>
    <x v="4"/>
    <s v="Masters"/>
    <n v="8"/>
    <n v="154.69999999999999"/>
    <x v="72"/>
    <x v="44"/>
    <x v="4"/>
    <n v="6.75"/>
    <x v="10"/>
    <x v="1"/>
    <x v="1"/>
    <x v="0"/>
    <x v="862"/>
    <x v="0"/>
    <x v="0"/>
    <x v="983"/>
  </r>
  <r>
    <x v="99"/>
    <x v="1"/>
    <x v="3"/>
    <s v="Bachelors"/>
    <n v="4"/>
    <n v="147.69999999999999"/>
    <x v="131"/>
    <x v="26"/>
    <x v="6"/>
    <n v="5.98"/>
    <x v="453"/>
    <x v="2"/>
    <x v="0"/>
    <x v="2"/>
    <x v="863"/>
    <x v="0"/>
    <x v="1"/>
    <x v="984"/>
  </r>
  <r>
    <x v="99"/>
    <x v="3"/>
    <x v="3"/>
    <s v="PhD"/>
    <n v="10"/>
    <n v="158.30000000000001"/>
    <x v="49"/>
    <x v="44"/>
    <x v="4"/>
    <n v="8.6300000000000008"/>
    <x v="498"/>
    <x v="2"/>
    <x v="2"/>
    <x v="2"/>
    <x v="864"/>
    <x v="1"/>
    <x v="1"/>
    <x v="407"/>
  </r>
  <r>
    <x v="99"/>
    <x v="3"/>
    <x v="2"/>
    <s v="Masters"/>
    <n v="9"/>
    <n v="176.6"/>
    <x v="52"/>
    <x v="81"/>
    <x v="5"/>
    <n v="8.4700000000000006"/>
    <x v="201"/>
    <x v="2"/>
    <x v="2"/>
    <x v="1"/>
    <x v="865"/>
    <x v="1"/>
    <x v="0"/>
    <x v="985"/>
  </r>
  <r>
    <x v="99"/>
    <x v="2"/>
    <x v="2"/>
    <s v="Masters"/>
    <n v="2"/>
    <n v="158.80000000000001"/>
    <x v="61"/>
    <x v="27"/>
    <x v="4"/>
    <n v="4.6100000000000003"/>
    <x v="10"/>
    <x v="2"/>
    <x v="1"/>
    <x v="0"/>
    <x v="576"/>
    <x v="2"/>
    <x v="1"/>
    <x v="534"/>
  </r>
  <r>
    <x v="99"/>
    <x v="0"/>
    <x v="1"/>
    <s v="PhD"/>
    <n v="5"/>
    <n v="172"/>
    <x v="1"/>
    <x v="81"/>
    <x v="8"/>
    <n v="10"/>
    <x v="386"/>
    <x v="2"/>
    <x v="1"/>
    <x v="1"/>
    <x v="866"/>
    <x v="3"/>
    <x v="2"/>
    <x v="986"/>
  </r>
  <r>
    <x v="99"/>
    <x v="3"/>
    <x v="0"/>
    <s v="Bachelors"/>
    <n v="2"/>
    <n v="153.69999999999999"/>
    <x v="70"/>
    <x v="40"/>
    <x v="7"/>
    <n v="8.85"/>
    <x v="550"/>
    <x v="0"/>
    <x v="1"/>
    <x v="2"/>
    <x v="254"/>
    <x v="4"/>
    <x v="1"/>
    <x v="415"/>
  </r>
  <r>
    <x v="99"/>
    <x v="0"/>
    <x v="0"/>
    <s v="Bachelors"/>
    <n v="7"/>
    <n v="159.4"/>
    <x v="1"/>
    <x v="20"/>
    <x v="10"/>
    <n v="8.92"/>
    <x v="551"/>
    <x v="0"/>
    <x v="0"/>
    <x v="1"/>
    <x v="867"/>
    <x v="5"/>
    <x v="0"/>
    <x v="132"/>
  </r>
  <r>
    <x v="99"/>
    <x v="0"/>
    <x v="0"/>
    <s v="Masters"/>
    <n v="5"/>
    <n v="147"/>
    <x v="92"/>
    <x v="104"/>
    <x v="0"/>
    <n v="6.54"/>
    <x v="467"/>
    <x v="2"/>
    <x v="2"/>
    <x v="0"/>
    <x v="439"/>
    <x v="6"/>
    <x v="0"/>
    <x v="987"/>
  </r>
  <r>
    <x v="99"/>
    <x v="0"/>
    <x v="3"/>
    <s v="PhD"/>
    <n v="2"/>
    <n v="159.4"/>
    <x v="87"/>
    <x v="0"/>
    <x v="5"/>
    <n v="9.18"/>
    <x v="401"/>
    <x v="2"/>
    <x v="1"/>
    <x v="0"/>
    <x v="868"/>
    <x v="7"/>
    <x v="1"/>
    <x v="988"/>
  </r>
  <r>
    <x v="99"/>
    <x v="4"/>
    <x v="3"/>
    <s v="Bachelors"/>
    <n v="8"/>
    <n v="139.5"/>
    <x v="34"/>
    <x v="35"/>
    <x v="8"/>
    <n v="7.59"/>
    <x v="181"/>
    <x v="2"/>
    <x v="1"/>
    <x v="1"/>
    <x v="869"/>
    <x v="8"/>
    <x v="2"/>
    <x v="989"/>
  </r>
  <r>
    <x v="99"/>
    <x v="3"/>
    <x v="2"/>
    <s v="PhD"/>
    <n v="4"/>
    <n v="155.69999999999999"/>
    <x v="1"/>
    <x v="46"/>
    <x v="6"/>
    <n v="2.79"/>
    <x v="50"/>
    <x v="0"/>
    <x v="1"/>
    <x v="0"/>
    <x v="870"/>
    <x v="9"/>
    <x v="2"/>
    <x v="9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23D19E-A154-40A8-9DC3-DAE7B571CB8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15" firstHeaderRow="0" firstDataRow="1" firstDataCol="0"/>
  <pivotFields count="20">
    <pivotField showAll="0"/>
    <pivotField showAll="0"/>
    <pivotField showAll="0">
      <items count="6">
        <item x="3"/>
        <item x="4"/>
        <item x="2"/>
        <item x="1"/>
        <item x="0"/>
        <item t="default"/>
      </items>
    </pivotField>
    <pivotField showAll="0"/>
    <pivotField showAll="0"/>
    <pivotField showAll="0"/>
    <pivotField dataField="1" showAll="0">
      <items count="6">
        <item x="0"/>
        <item x="1"/>
        <item x="2"/>
        <item x="3"/>
        <item x="4"/>
        <item t="default"/>
      </items>
    </pivotField>
    <pivotField showAll="0"/>
    <pivotField dataField="1" showAll="0"/>
    <pivotField showAll="0"/>
    <pivotField dataField="1" showAll="0"/>
    <pivotField showAll="0">
      <items count="4">
        <item x="2"/>
        <item x="0"/>
        <item x="1"/>
        <item t="default"/>
      </items>
    </pivotField>
    <pivotField showAll="0">
      <items count="4">
        <item x="2"/>
        <item x="1"/>
        <item x="0"/>
        <item t="default"/>
      </items>
    </pivotField>
    <pivotField showAll="0">
      <items count="4">
        <item x="1"/>
        <item x="0"/>
        <item x="2"/>
        <item t="default"/>
      </items>
    </pivotField>
    <pivotField dataField="1" showAll="0"/>
    <pivotField numFmtId="14" showAll="0">
      <items count="11">
        <item x="0"/>
        <item x="1"/>
        <item x="2"/>
        <item x="3"/>
        <item x="4"/>
        <item x="5"/>
        <item x="6"/>
        <item x="7"/>
        <item x="8"/>
        <item x="9"/>
        <item t="default"/>
      </items>
    </pivotField>
    <pivotField showAll="0">
      <items count="4">
        <item x="1"/>
        <item x="2"/>
        <item x="0"/>
        <item t="default"/>
      </items>
    </pivotField>
    <pivotField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Average of performance_score" fld="14" subtotal="average" baseField="0" baseItem="0" numFmtId="2"/>
    <dataField name="Average of attendance_rate" fld="6" subtotal="average" baseField="0" baseItem="1" numFmtId="2"/>
    <dataField name="Sum of tasks_completed" fld="8" baseField="0" baseItem="1" numFmtId="3"/>
    <dataField name="Average of manager_rating" fld="10" subtotal="average" baseField="0" baseItem="1" numFmtId="2"/>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3F307-FEFE-4587-AF3F-EEF97E3ACB5D}"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7:B11" firstHeaderRow="1" firstDataRow="1" firstDataCol="1"/>
  <pivotFields count="20">
    <pivotField dataField="1"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pivotField compact="0" outline="0" showAll="0">
      <items count="17">
        <item x="11"/>
        <item x="12"/>
        <item x="10"/>
        <item x="1"/>
        <item x="0"/>
        <item x="8"/>
        <item x="4"/>
        <item x="5"/>
        <item x="6"/>
        <item x="3"/>
        <item x="7"/>
        <item x="9"/>
        <item x="2"/>
        <item x="15"/>
        <item x="13"/>
        <item x="14"/>
        <item t="default"/>
      </items>
    </pivotField>
    <pivotField compact="0" outline="0" showAll="0"/>
    <pivotField compact="0" outline="0" showAll="0">
      <items count="553">
        <item x="351"/>
        <item x="184"/>
        <item x="101"/>
        <item x="7"/>
        <item x="362"/>
        <item x="267"/>
        <item x="329"/>
        <item x="132"/>
        <item x="473"/>
        <item x="154"/>
        <item x="306"/>
        <item x="180"/>
        <item x="316"/>
        <item x="326"/>
        <item x="144"/>
        <item x="35"/>
        <item x="328"/>
        <item x="471"/>
        <item x="531"/>
        <item x="85"/>
        <item x="119"/>
        <item x="399"/>
        <item x="227"/>
        <item x="460"/>
        <item x="368"/>
        <item x="56"/>
        <item x="456"/>
        <item x="333"/>
        <item x="273"/>
        <item x="390"/>
        <item x="122"/>
        <item x="529"/>
        <item x="393"/>
        <item x="539"/>
        <item x="440"/>
        <item x="346"/>
        <item x="420"/>
        <item x="446"/>
        <item x="112"/>
        <item x="419"/>
        <item x="394"/>
        <item x="382"/>
        <item x="187"/>
        <item x="457"/>
        <item x="177"/>
        <item x="396"/>
        <item x="233"/>
        <item x="402"/>
        <item x="493"/>
        <item x="464"/>
        <item x="230"/>
        <item x="517"/>
        <item x="204"/>
        <item x="191"/>
        <item x="472"/>
        <item x="264"/>
        <item x="312"/>
        <item x="206"/>
        <item x="45"/>
        <item x="30"/>
        <item x="226"/>
        <item x="367"/>
        <item x="397"/>
        <item x="447"/>
        <item x="308"/>
        <item x="430"/>
        <item x="284"/>
        <item x="1"/>
        <item x="324"/>
        <item x="479"/>
        <item x="321"/>
        <item x="510"/>
        <item x="232"/>
        <item x="522"/>
        <item x="100"/>
        <item x="115"/>
        <item x="506"/>
        <item x="431"/>
        <item x="311"/>
        <item x="484"/>
        <item x="170"/>
        <item x="387"/>
        <item x="433"/>
        <item x="469"/>
        <item x="542"/>
        <item x="158"/>
        <item x="414"/>
        <item x="79"/>
        <item x="501"/>
        <item x="448"/>
        <item x="318"/>
        <item x="150"/>
        <item x="106"/>
        <item x="323"/>
        <item x="252"/>
        <item x="62"/>
        <item x="207"/>
        <item x="401"/>
        <item x="71"/>
        <item x="336"/>
        <item x="76"/>
        <item x="507"/>
        <item x="499"/>
        <item x="516"/>
        <item x="438"/>
        <item x="337"/>
        <item x="265"/>
        <item x="59"/>
        <item x="366"/>
        <item x="466"/>
        <item x="489"/>
        <item x="296"/>
        <item x="182"/>
        <item x="492"/>
        <item x="491"/>
        <item x="146"/>
        <item x="104"/>
        <item x="335"/>
        <item x="169"/>
        <item x="348"/>
        <item x="325"/>
        <item x="258"/>
        <item x="271"/>
        <item x="41"/>
        <item x="217"/>
        <item x="392"/>
        <item x="403"/>
        <item x="461"/>
        <item x="86"/>
        <item x="176"/>
        <item x="15"/>
        <item x="551"/>
        <item x="372"/>
        <item x="48"/>
        <item x="157"/>
        <item x="248"/>
        <item x="26"/>
        <item x="194"/>
        <item x="297"/>
        <item x="126"/>
        <item x="391"/>
        <item x="298"/>
        <item x="545"/>
        <item x="309"/>
        <item x="421"/>
        <item x="361"/>
        <item x="202"/>
        <item x="315"/>
        <item x="350"/>
        <item x="371"/>
        <item x="452"/>
        <item x="314"/>
        <item x="550"/>
        <item x="444"/>
        <item x="116"/>
        <item x="281"/>
        <item x="42"/>
        <item x="249"/>
        <item x="364"/>
        <item x="293"/>
        <item x="129"/>
        <item x="404"/>
        <item x="3"/>
        <item x="502"/>
        <item x="149"/>
        <item x="435"/>
        <item x="365"/>
        <item x="163"/>
        <item x="121"/>
        <item x="376"/>
        <item x="44"/>
        <item x="424"/>
        <item x="263"/>
        <item x="340"/>
        <item x="244"/>
        <item x="322"/>
        <item x="195"/>
        <item x="540"/>
        <item x="543"/>
        <item x="355"/>
        <item x="470"/>
        <item x="514"/>
        <item x="535"/>
        <item x="128"/>
        <item x="155"/>
        <item x="523"/>
        <item x="377"/>
        <item x="130"/>
        <item x="291"/>
        <item x="463"/>
        <item x="228"/>
        <item x="78"/>
        <item x="474"/>
        <item x="453"/>
        <item x="34"/>
        <item x="276"/>
        <item x="533"/>
        <item x="105"/>
        <item x="500"/>
        <item x="81"/>
        <item x="429"/>
        <item x="224"/>
        <item x="47"/>
        <item x="141"/>
        <item x="140"/>
        <item x="196"/>
        <item x="400"/>
        <item x="201"/>
        <item x="89"/>
        <item x="302"/>
        <item x="538"/>
        <item x="442"/>
        <item x="19"/>
        <item x="373"/>
        <item x="111"/>
        <item x="339"/>
        <item x="113"/>
        <item x="544"/>
        <item x="31"/>
        <item x="490"/>
        <item x="504"/>
        <item x="0"/>
        <item x="197"/>
        <item x="240"/>
        <item x="69"/>
        <item x="246"/>
        <item x="178"/>
        <item x="480"/>
        <item x="14"/>
        <item x="495"/>
        <item x="55"/>
        <item x="172"/>
        <item x="280"/>
        <item x="432"/>
        <item x="68"/>
        <item x="331"/>
        <item x="218"/>
        <item x="152"/>
        <item x="145"/>
        <item x="270"/>
        <item x="239"/>
        <item x="186"/>
        <item x="384"/>
        <item x="415"/>
        <item x="192"/>
        <item x="40"/>
        <item x="426"/>
        <item x="220"/>
        <item x="259"/>
        <item x="109"/>
        <item x="343"/>
        <item x="120"/>
        <item x="416"/>
        <item x="413"/>
        <item x="439"/>
        <item x="231"/>
        <item x="254"/>
        <item x="503"/>
        <item x="310"/>
        <item x="374"/>
        <item x="386"/>
        <item x="375"/>
        <item x="243"/>
        <item x="151"/>
        <item x="518"/>
        <item x="17"/>
        <item x="541"/>
        <item x="50"/>
        <item x="66"/>
        <item x="148"/>
        <item x="383"/>
        <item x="475"/>
        <item x="125"/>
        <item x="43"/>
        <item x="159"/>
        <item x="183"/>
        <item x="63"/>
        <item x="229"/>
        <item x="497"/>
        <item x="250"/>
        <item x="225"/>
        <item x="494"/>
        <item x="388"/>
        <item x="77"/>
        <item x="164"/>
        <item x="222"/>
        <item x="359"/>
        <item x="16"/>
        <item x="32"/>
        <item x="72"/>
        <item x="102"/>
        <item x="181"/>
        <item x="485"/>
        <item x="99"/>
        <item x="27"/>
        <item x="304"/>
        <item x="73"/>
        <item x="454"/>
        <item x="189"/>
        <item x="124"/>
        <item x="257"/>
        <item x="58"/>
        <item x="345"/>
        <item x="179"/>
        <item x="468"/>
        <item x="90"/>
        <item x="82"/>
        <item x="64"/>
        <item x="427"/>
        <item x="341"/>
        <item x="139"/>
        <item x="11"/>
        <item x="39"/>
        <item x="107"/>
        <item x="369"/>
        <item x="441"/>
        <item x="198"/>
        <item x="212"/>
        <item x="407"/>
        <item x="25"/>
        <item x="353"/>
        <item x="245"/>
        <item x="5"/>
        <item x="92"/>
        <item x="313"/>
        <item x="253"/>
        <item x="160"/>
        <item x="168"/>
        <item x="269"/>
        <item x="530"/>
        <item x="242"/>
        <item x="294"/>
        <item x="389"/>
        <item x="238"/>
        <item x="88"/>
        <item x="208"/>
        <item x="209"/>
        <item x="57"/>
        <item x="458"/>
        <item x="12"/>
        <item x="127"/>
        <item x="268"/>
        <item x="512"/>
        <item x="147"/>
        <item x="418"/>
        <item x="213"/>
        <item x="28"/>
        <item x="299"/>
        <item x="352"/>
        <item x="51"/>
        <item x="411"/>
        <item x="216"/>
        <item x="49"/>
        <item x="526"/>
        <item x="123"/>
        <item x="349"/>
        <item x="334"/>
        <item x="93"/>
        <item x="307"/>
        <item x="161"/>
        <item x="412"/>
        <item x="95"/>
        <item x="261"/>
        <item x="223"/>
        <item x="214"/>
        <item x="22"/>
        <item x="4"/>
        <item x="290"/>
        <item x="305"/>
        <item x="110"/>
        <item x="205"/>
        <item x="114"/>
        <item x="29"/>
        <item x="481"/>
        <item x="221"/>
        <item x="476"/>
        <item x="193"/>
        <item x="185"/>
        <item x="36"/>
        <item x="97"/>
        <item x="33"/>
        <item x="18"/>
        <item x="262"/>
        <item x="237"/>
        <item x="417"/>
        <item x="137"/>
        <item x="52"/>
        <item x="363"/>
        <item x="436"/>
        <item x="234"/>
        <item x="211"/>
        <item x="219"/>
        <item x="342"/>
        <item x="360"/>
        <item x="287"/>
        <item x="279"/>
        <item x="143"/>
        <item x="385"/>
        <item x="338"/>
        <item x="67"/>
        <item x="87"/>
        <item x="496"/>
        <item x="370"/>
        <item x="200"/>
        <item x="520"/>
        <item x="347"/>
        <item x="247"/>
        <item x="437"/>
        <item x="462"/>
        <item x="80"/>
        <item x="381"/>
        <item x="38"/>
        <item x="532"/>
        <item x="487"/>
        <item x="548"/>
        <item x="295"/>
        <item x="134"/>
        <item x="199"/>
        <item x="266"/>
        <item x="142"/>
        <item x="449"/>
        <item x="278"/>
        <item x="509"/>
        <item x="190"/>
        <item x="138"/>
        <item x="511"/>
        <item x="135"/>
        <item x="91"/>
        <item x="327"/>
        <item x="467"/>
        <item x="283"/>
        <item x="320"/>
        <item x="84"/>
        <item x="398"/>
        <item x="513"/>
        <item x="282"/>
        <item x="379"/>
        <item x="108"/>
        <item x="330"/>
        <item x="319"/>
        <item x="357"/>
        <item x="486"/>
        <item x="300"/>
        <item x="21"/>
        <item x="61"/>
        <item x="344"/>
        <item x="423"/>
        <item x="215"/>
        <item x="301"/>
        <item x="175"/>
        <item x="549"/>
        <item x="546"/>
        <item x="60"/>
        <item x="2"/>
        <item x="528"/>
        <item x="292"/>
        <item x="70"/>
        <item x="303"/>
        <item x="478"/>
        <item x="428"/>
        <item x="409"/>
        <item x="174"/>
        <item x="285"/>
        <item x="527"/>
        <item x="508"/>
        <item x="188"/>
        <item x="515"/>
        <item x="6"/>
        <item x="65"/>
        <item x="488"/>
        <item x="425"/>
        <item x="46"/>
        <item x="256"/>
        <item x="20"/>
        <item x="136"/>
        <item x="203"/>
        <item x="255"/>
        <item x="380"/>
        <item x="445"/>
        <item x="75"/>
        <item x="37"/>
        <item x="434"/>
        <item x="405"/>
        <item x="483"/>
        <item x="332"/>
        <item x="358"/>
        <item x="98"/>
        <item x="54"/>
        <item x="162"/>
        <item x="133"/>
        <item x="241"/>
        <item x="117"/>
        <item x="103"/>
        <item x="153"/>
        <item x="443"/>
        <item x="8"/>
        <item x="83"/>
        <item x="450"/>
        <item x="236"/>
        <item x="354"/>
        <item x="165"/>
        <item x="96"/>
        <item x="288"/>
        <item x="525"/>
        <item x="459"/>
        <item x="9"/>
        <item x="482"/>
        <item x="23"/>
        <item x="395"/>
        <item x="406"/>
        <item x="171"/>
        <item x="465"/>
        <item x="408"/>
        <item x="547"/>
        <item x="521"/>
        <item x="534"/>
        <item x="317"/>
        <item x="173"/>
        <item x="289"/>
        <item x="166"/>
        <item x="277"/>
        <item x="210"/>
        <item x="477"/>
        <item x="536"/>
        <item x="505"/>
        <item x="13"/>
        <item x="275"/>
        <item x="356"/>
        <item x="286"/>
        <item x="118"/>
        <item x="422"/>
        <item x="74"/>
        <item x="53"/>
        <item x="251"/>
        <item x="167"/>
        <item x="524"/>
        <item x="537"/>
        <item x="274"/>
        <item x="519"/>
        <item x="455"/>
        <item x="131"/>
        <item x="235"/>
        <item x="24"/>
        <item x="94"/>
        <item x="498"/>
        <item x="272"/>
        <item x="260"/>
        <item x="451"/>
        <item x="410"/>
        <item x="156"/>
        <item x="378"/>
        <item x="10"/>
        <item t="default"/>
      </items>
    </pivotField>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compact="0" outline="0" showAll="0">
      <items count="872">
        <item x="285"/>
        <item x="60"/>
        <item x="102"/>
        <item x="694"/>
        <item x="198"/>
        <item x="551"/>
        <item x="471"/>
        <item x="565"/>
        <item x="823"/>
        <item x="792"/>
        <item x="383"/>
        <item x="637"/>
        <item x="279"/>
        <item x="437"/>
        <item x="743"/>
        <item x="497"/>
        <item x="181"/>
        <item x="294"/>
        <item x="669"/>
        <item x="649"/>
        <item x="452"/>
        <item x="330"/>
        <item x="537"/>
        <item x="780"/>
        <item x="76"/>
        <item x="561"/>
        <item x="499"/>
        <item x="744"/>
        <item x="506"/>
        <item x="402"/>
        <item x="444"/>
        <item x="462"/>
        <item x="206"/>
        <item x="485"/>
        <item x="643"/>
        <item x="861"/>
        <item x="671"/>
        <item x="417"/>
        <item x="239"/>
        <item x="746"/>
        <item x="490"/>
        <item x="708"/>
        <item x="290"/>
        <item x="303"/>
        <item x="263"/>
        <item x="147"/>
        <item x="635"/>
        <item x="142"/>
        <item x="27"/>
        <item x="304"/>
        <item x="747"/>
        <item x="38"/>
        <item x="162"/>
        <item x="173"/>
        <item x="531"/>
        <item x="554"/>
        <item x="870"/>
        <item x="722"/>
        <item x="388"/>
        <item x="253"/>
        <item x="214"/>
        <item x="301"/>
        <item x="15"/>
        <item x="766"/>
        <item x="810"/>
        <item x="819"/>
        <item x="534"/>
        <item x="765"/>
        <item x="795"/>
        <item x="61"/>
        <item x="493"/>
        <item x="820"/>
        <item x="213"/>
        <item x="403"/>
        <item x="785"/>
        <item x="262"/>
        <item x="653"/>
        <item x="768"/>
        <item x="698"/>
        <item x="488"/>
        <item x="67"/>
        <item x="74"/>
        <item x="650"/>
        <item x="610"/>
        <item x="489"/>
        <item x="674"/>
        <item x="636"/>
        <item x="566"/>
        <item x="494"/>
        <item x="658"/>
        <item x="139"/>
        <item x="243"/>
        <item x="630"/>
        <item x="292"/>
        <item x="457"/>
        <item x="62"/>
        <item x="559"/>
        <item x="182"/>
        <item x="238"/>
        <item x="836"/>
        <item x="547"/>
        <item x="804"/>
        <item x="2"/>
        <item x="308"/>
        <item x="728"/>
        <item x="695"/>
        <item x="843"/>
        <item x="12"/>
        <item x="500"/>
        <item x="265"/>
        <item x="704"/>
        <item x="631"/>
        <item x="281"/>
        <item x="248"/>
        <item x="736"/>
        <item x="501"/>
        <item x="827"/>
        <item x="245"/>
        <item x="179"/>
        <item x="528"/>
        <item x="264"/>
        <item x="536"/>
        <item x="406"/>
        <item x="363"/>
        <item x="690"/>
        <item x="115"/>
        <item x="545"/>
        <item x="869"/>
        <item x="586"/>
        <item x="212"/>
        <item x="23"/>
        <item x="366"/>
        <item x="175"/>
        <item x="648"/>
        <item x="430"/>
        <item x="13"/>
        <item x="681"/>
        <item x="199"/>
        <item x="787"/>
        <item x="719"/>
        <item x="21"/>
        <item x="762"/>
        <item x="459"/>
        <item x="342"/>
        <item x="806"/>
        <item x="617"/>
        <item x="376"/>
        <item x="781"/>
        <item x="770"/>
        <item x="696"/>
        <item x="654"/>
        <item x="740"/>
        <item x="421"/>
        <item x="110"/>
        <item x="742"/>
        <item x="620"/>
        <item x="712"/>
        <item x="434"/>
        <item x="416"/>
        <item x="252"/>
        <item x="527"/>
        <item x="754"/>
        <item x="122"/>
        <item x="793"/>
        <item x="210"/>
        <item x="450"/>
        <item x="796"/>
        <item x="866"/>
        <item x="839"/>
        <item x="476"/>
        <item x="116"/>
        <item x="599"/>
        <item x="73"/>
        <item x="509"/>
        <item x="229"/>
        <item x="572"/>
        <item x="585"/>
        <item x="394"/>
        <item x="498"/>
        <item x="679"/>
        <item x="209"/>
        <item x="757"/>
        <item x="42"/>
        <item x="397"/>
        <item x="280"/>
        <item x="699"/>
        <item x="608"/>
        <item x="192"/>
        <item x="691"/>
        <item x="603"/>
        <item x="224"/>
        <item x="651"/>
        <item x="446"/>
        <item x="286"/>
        <item x="135"/>
        <item x="75"/>
        <item x="231"/>
        <item x="350"/>
        <item x="505"/>
        <item x="756"/>
        <item x="37"/>
        <item x="325"/>
        <item x="624"/>
        <item x="316"/>
        <item x="124"/>
        <item x="492"/>
        <item x="283"/>
        <item x="299"/>
        <item x="232"/>
        <item x="518"/>
        <item x="399"/>
        <item x="763"/>
        <item x="227"/>
        <item x="642"/>
        <item x="549"/>
        <item x="324"/>
        <item x="475"/>
        <item x="360"/>
        <item x="508"/>
        <item x="767"/>
        <item x="453"/>
        <item x="106"/>
        <item x="692"/>
        <item x="267"/>
        <item x="31"/>
        <item x="300"/>
        <item x="854"/>
        <item x="867"/>
        <item x="686"/>
        <item x="538"/>
        <item x="774"/>
        <item x="673"/>
        <item x="584"/>
        <item x="32"/>
        <item x="260"/>
        <item x="655"/>
        <item x="219"/>
        <item x="862"/>
        <item x="29"/>
        <item x="812"/>
        <item x="689"/>
        <item x="112"/>
        <item x="623"/>
        <item x="808"/>
        <item x="63"/>
        <item x="540"/>
        <item x="86"/>
        <item x="530"/>
        <item x="427"/>
        <item x="58"/>
        <item x="273"/>
        <item x="454"/>
        <item x="393"/>
        <item x="187"/>
        <item x="3"/>
        <item x="216"/>
        <item x="109"/>
        <item x="535"/>
        <item x="424"/>
        <item x="362"/>
        <item x="312"/>
        <item x="309"/>
        <item x="45"/>
        <item x="432"/>
        <item x="483"/>
        <item x="472"/>
        <item x="441"/>
        <item x="473"/>
        <item x="282"/>
        <item x="87"/>
        <item x="720"/>
        <item x="127"/>
        <item x="317"/>
        <item x="735"/>
        <item x="677"/>
        <item x="601"/>
        <item x="422"/>
        <item x="190"/>
        <item x="307"/>
        <item x="65"/>
        <item x="318"/>
        <item x="815"/>
        <item x="791"/>
        <item x="463"/>
        <item x="338"/>
        <item x="336"/>
        <item x="420"/>
        <item x="332"/>
        <item x="435"/>
        <item x="837"/>
        <item x="700"/>
        <item x="134"/>
        <item x="368"/>
        <item x="284"/>
        <item x="385"/>
        <item x="346"/>
        <item x="387"/>
        <item x="580"/>
        <item x="46"/>
        <item x="852"/>
        <item x="345"/>
        <item x="36"/>
        <item x="809"/>
        <item x="100"/>
        <item x="183"/>
        <item x="185"/>
        <item x="351"/>
        <item x="328"/>
        <item x="502"/>
        <item x="50"/>
        <item x="247"/>
        <item x="242"/>
        <item x="573"/>
        <item x="816"/>
        <item x="705"/>
        <item x="395"/>
        <item x="539"/>
        <item x="683"/>
        <item x="315"/>
        <item x="126"/>
        <item x="408"/>
        <item x="225"/>
        <item x="237"/>
        <item x="88"/>
        <item x="83"/>
        <item x="26"/>
        <item x="469"/>
        <item x="522"/>
        <item x="512"/>
        <item x="380"/>
        <item x="824"/>
        <item x="30"/>
        <item x="645"/>
        <item x="287"/>
        <item x="104"/>
        <item x="335"/>
        <item x="157"/>
        <item x="625"/>
        <item x="832"/>
        <item x="529"/>
        <item x="664"/>
        <item x="776"/>
        <item x="78"/>
        <item x="807"/>
        <item x="468"/>
        <item x="296"/>
        <item x="136"/>
        <item x="205"/>
        <item x="741"/>
        <item x="428"/>
        <item x="39"/>
        <item x="555"/>
        <item x="835"/>
        <item x="24"/>
        <item x="802"/>
        <item x="171"/>
        <item x="125"/>
        <item x="702"/>
        <item x="186"/>
        <item x="384"/>
        <item x="153"/>
        <item x="426"/>
        <item x="668"/>
        <item x="822"/>
        <item x="769"/>
        <item x="726"/>
        <item x="814"/>
        <item x="666"/>
        <item x="688"/>
        <item x="503"/>
        <item x="5"/>
        <item x="154"/>
        <item x="40"/>
        <item x="200"/>
        <item x="163"/>
        <item x="371"/>
        <item x="295"/>
        <item x="464"/>
        <item x="856"/>
        <item x="396"/>
        <item x="797"/>
        <item x="274"/>
        <item x="114"/>
        <item x="672"/>
        <item x="618"/>
        <item x="550"/>
        <item x="111"/>
        <item x="594"/>
        <item x="598"/>
        <item x="445"/>
        <item x="331"/>
        <item x="817"/>
        <item x="365"/>
        <item x="451"/>
        <item x="632"/>
        <item x="47"/>
        <item x="799"/>
        <item x="191"/>
        <item x="329"/>
        <item x="155"/>
        <item x="821"/>
        <item x="779"/>
        <item x="412"/>
        <item x="738"/>
        <item x="715"/>
        <item x="788"/>
        <item x="323"/>
        <item x="272"/>
        <item x="458"/>
        <item x="829"/>
        <item x="678"/>
        <item x="355"/>
        <item x="615"/>
        <item x="354"/>
        <item x="639"/>
        <item x="733"/>
        <item x="117"/>
        <item x="132"/>
        <item x="409"/>
        <item x="223"/>
        <item x="633"/>
        <item x="160"/>
        <item x="567"/>
        <item x="358"/>
        <item x="442"/>
        <item x="621"/>
        <item x="697"/>
        <item x="790"/>
        <item x="326"/>
        <item x="94"/>
        <item x="52"/>
        <item x="261"/>
        <item x="484"/>
        <item x="607"/>
        <item x="405"/>
        <item x="842"/>
        <item x="440"/>
        <item x="517"/>
        <item x="777"/>
        <item x="69"/>
        <item x="236"/>
        <item x="411"/>
        <item x="449"/>
        <item x="211"/>
        <item x="845"/>
        <item x="129"/>
        <item x="271"/>
        <item x="514"/>
        <item x="577"/>
        <item x="89"/>
        <item x="133"/>
        <item x="595"/>
        <item x="128"/>
        <item x="813"/>
        <item x="574"/>
        <item x="255"/>
        <item x="853"/>
        <item x="148"/>
        <item x="592"/>
        <item x="496"/>
        <item x="865"/>
        <item x="348"/>
        <item x="775"/>
        <item x="222"/>
        <item x="784"/>
        <item x="202"/>
        <item x="709"/>
        <item x="250"/>
        <item x="344"/>
        <item x="259"/>
        <item x="77"/>
        <item x="159"/>
        <item x="7"/>
        <item x="844"/>
        <item x="322"/>
        <item x="149"/>
        <item x="486"/>
        <item x="646"/>
        <item x="718"/>
        <item x="386"/>
        <item x="268"/>
        <item x="269"/>
        <item x="557"/>
        <item x="849"/>
        <item x="341"/>
        <item x="443"/>
        <item x="778"/>
        <item x="99"/>
        <item x="361"/>
        <item x="278"/>
        <item x="0"/>
        <item x="230"/>
        <item x="431"/>
        <item x="57"/>
        <item x="379"/>
        <item x="413"/>
        <item x="729"/>
        <item x="235"/>
        <item x="570"/>
        <item x="370"/>
        <item x="82"/>
        <item x="439"/>
        <item x="801"/>
        <item x="732"/>
        <item x="321"/>
        <item x="753"/>
        <item x="310"/>
        <item x="533"/>
        <item x="448"/>
        <item x="289"/>
        <item x="616"/>
        <item x="176"/>
        <item x="680"/>
        <item x="713"/>
        <item x="641"/>
        <item x="204"/>
        <item x="167"/>
        <item x="576"/>
        <item x="150"/>
        <item x="93"/>
        <item x="90"/>
        <item x="569"/>
        <item x="436"/>
        <item x="6"/>
        <item x="578"/>
        <item x="70"/>
        <item x="390"/>
        <item x="119"/>
        <item x="169"/>
        <item x="591"/>
        <item x="860"/>
        <item x="79"/>
        <item x="682"/>
        <item x="516"/>
        <item x="165"/>
        <item x="811"/>
        <item x="220"/>
        <item x="850"/>
        <item x="600"/>
        <item x="467"/>
        <item x="606"/>
        <item x="367"/>
        <item x="589"/>
        <item x="233"/>
        <item x="378"/>
        <item x="661"/>
        <item x="59"/>
        <item x="11"/>
        <item x="731"/>
        <item x="818"/>
        <item x="241"/>
        <item x="863"/>
        <item x="382"/>
        <item x="64"/>
        <item x="846"/>
        <item x="234"/>
        <item x="571"/>
        <item x="588"/>
        <item x="16"/>
        <item x="640"/>
        <item x="103"/>
        <item x="478"/>
        <item x="759"/>
        <item x="590"/>
        <item x="552"/>
        <item x="707"/>
        <item x="68"/>
        <item x="258"/>
        <item x="515"/>
        <item x="195"/>
        <item x="455"/>
        <item x="628"/>
        <item x="177"/>
        <item x="101"/>
        <item x="161"/>
        <item x="311"/>
        <item x="291"/>
        <item x="474"/>
        <item x="138"/>
        <item x="634"/>
        <item x="638"/>
        <item x="548"/>
        <item x="392"/>
        <item x="121"/>
        <item x="327"/>
        <item x="141"/>
        <item x="43"/>
        <item x="18"/>
        <item x="140"/>
        <item x="189"/>
        <item x="108"/>
        <item x="81"/>
        <item x="184"/>
        <item x="858"/>
        <item x="193"/>
        <item x="377"/>
        <item x="49"/>
        <item x="546"/>
        <item x="249"/>
        <item x="91"/>
        <item x="563"/>
        <item x="737"/>
        <item x="477"/>
        <item x="113"/>
        <item x="524"/>
        <item x="349"/>
        <item x="14"/>
        <item x="587"/>
        <item x="168"/>
        <item x="84"/>
        <item x="293"/>
        <item x="526"/>
        <item x="275"/>
        <item x="758"/>
        <item x="749"/>
        <item x="95"/>
        <item x="188"/>
        <item x="833"/>
        <item x="783"/>
        <item x="745"/>
        <item x="419"/>
        <item x="558"/>
        <item x="414"/>
        <item x="456"/>
        <item x="373"/>
        <item x="130"/>
        <item x="313"/>
        <item x="532"/>
        <item x="717"/>
        <item x="504"/>
        <item x="465"/>
        <item x="305"/>
        <item x="800"/>
        <item x="203"/>
        <item x="723"/>
        <item x="604"/>
        <item x="521"/>
        <item x="156"/>
        <item x="750"/>
        <item x="840"/>
        <item x="687"/>
        <item x="194"/>
        <item x="48"/>
        <item x="771"/>
        <item x="20"/>
        <item x="288"/>
        <item x="319"/>
        <item x="196"/>
        <item x="855"/>
        <item x="343"/>
        <item x="333"/>
        <item x="302"/>
        <item x="418"/>
        <item x="619"/>
        <item x="568"/>
        <item x="491"/>
        <item x="143"/>
        <item x="357"/>
        <item x="9"/>
        <item x="398"/>
        <item x="543"/>
        <item x="647"/>
        <item x="158"/>
        <item x="786"/>
        <item x="164"/>
        <item x="356"/>
        <item x="609"/>
        <item x="240"/>
        <item x="197"/>
        <item x="180"/>
        <item x="868"/>
        <item x="8"/>
        <item x="270"/>
        <item x="10"/>
        <item x="579"/>
        <item x="410"/>
        <item x="794"/>
        <item x="739"/>
        <item x="137"/>
        <item x="760"/>
        <item x="495"/>
        <item x="675"/>
        <item x="626"/>
        <item x="337"/>
        <item x="369"/>
        <item x="803"/>
        <item x="401"/>
        <item x="97"/>
        <item x="123"/>
        <item x="215"/>
        <item x="725"/>
        <item x="466"/>
        <item x="306"/>
        <item x="662"/>
        <item x="429"/>
        <item x="170"/>
        <item x="562"/>
        <item x="340"/>
        <item x="55"/>
        <item x="172"/>
        <item x="564"/>
        <item x="663"/>
        <item x="716"/>
        <item x="676"/>
        <item x="706"/>
        <item x="221"/>
        <item x="487"/>
        <item x="96"/>
        <item x="353"/>
        <item x="246"/>
        <item x="542"/>
        <item x="28"/>
        <item x="347"/>
        <item x="727"/>
        <item x="834"/>
        <item x="41"/>
        <item x="4"/>
        <item x="831"/>
        <item x="761"/>
        <item x="847"/>
        <item x="751"/>
        <item x="407"/>
        <item x="359"/>
        <item x="276"/>
        <item x="34"/>
        <item x="480"/>
        <item x="152"/>
        <item x="575"/>
        <item x="685"/>
        <item x="415"/>
        <item x="656"/>
        <item x="582"/>
        <item x="560"/>
        <item x="703"/>
        <item x="131"/>
        <item x="593"/>
        <item x="391"/>
        <item x="614"/>
        <item x="425"/>
        <item x="721"/>
        <item x="622"/>
        <item x="372"/>
        <item x="711"/>
        <item x="611"/>
        <item x="35"/>
        <item x="523"/>
        <item x="71"/>
        <item x="120"/>
        <item x="507"/>
        <item x="460"/>
        <item x="693"/>
        <item x="56"/>
        <item x="519"/>
        <item x="98"/>
        <item x="730"/>
        <item x="841"/>
        <item x="838"/>
        <item x="226"/>
        <item x="605"/>
        <item x="782"/>
        <item x="597"/>
        <item x="146"/>
        <item x="218"/>
        <item x="266"/>
        <item x="805"/>
        <item x="553"/>
        <item x="1"/>
        <item x="511"/>
        <item x="660"/>
        <item x="657"/>
        <item x="701"/>
        <item x="80"/>
        <item x="314"/>
        <item x="764"/>
        <item x="251"/>
        <item x="724"/>
        <item x="22"/>
        <item x="208"/>
        <item x="447"/>
        <item x="772"/>
        <item x="520"/>
        <item x="612"/>
        <item x="400"/>
        <item x="684"/>
        <item x="438"/>
        <item x="773"/>
        <item x="755"/>
        <item x="734"/>
        <item x="602"/>
        <item x="53"/>
        <item x="826"/>
        <item x="72"/>
        <item x="217"/>
        <item x="433"/>
        <item x="334"/>
        <item x="789"/>
        <item x="320"/>
        <item x="596"/>
        <item x="254"/>
        <item x="178"/>
        <item x="613"/>
        <item x="374"/>
        <item x="581"/>
        <item x="375"/>
        <item x="748"/>
        <item x="423"/>
        <item x="257"/>
        <item x="482"/>
        <item x="339"/>
        <item x="513"/>
        <item x="859"/>
        <item x="461"/>
        <item x="629"/>
        <item x="105"/>
        <item x="798"/>
        <item x="479"/>
        <item x="228"/>
        <item x="92"/>
        <item x="145"/>
        <item x="627"/>
        <item x="144"/>
        <item x="54"/>
        <item x="151"/>
        <item x="25"/>
        <item x="44"/>
        <item x="830"/>
        <item x="207"/>
        <item x="201"/>
        <item x="510"/>
        <item x="85"/>
        <item x="665"/>
        <item x="277"/>
        <item x="17"/>
        <item x="714"/>
        <item x="404"/>
        <item x="556"/>
        <item x="364"/>
        <item x="848"/>
        <item x="107"/>
        <item x="583"/>
        <item x="851"/>
        <item x="659"/>
        <item x="118"/>
        <item x="244"/>
        <item x="857"/>
        <item x="66"/>
        <item x="19"/>
        <item x="33"/>
        <item x="644"/>
        <item x="481"/>
        <item x="297"/>
        <item x="670"/>
        <item x="752"/>
        <item x="298"/>
        <item x="256"/>
        <item x="667"/>
        <item x="389"/>
        <item x="825"/>
        <item x="525"/>
        <item x="652"/>
        <item x="541"/>
        <item x="352"/>
        <item x="381"/>
        <item x="174"/>
        <item x="864"/>
        <item x="470"/>
        <item x="51"/>
        <item x="166"/>
        <item x="710"/>
        <item x="828"/>
        <item x="544"/>
        <item t="default"/>
      </items>
    </pivotField>
    <pivotField compact="0" numFmtId="14" outline="0" showAll="0">
      <items count="11">
        <item x="0"/>
        <item x="1"/>
        <item x="2"/>
        <item x="3"/>
        <item x="4"/>
        <item x="5"/>
        <item x="6"/>
        <item x="7"/>
        <item x="8"/>
        <item x="9"/>
        <item t="default"/>
      </items>
    </pivotField>
    <pivotField axis="axisRow" compact="0" outline="0" showAll="0">
      <items count="4">
        <item x="1"/>
        <item x="2"/>
        <item x="0"/>
        <item t="default"/>
      </items>
    </pivotField>
    <pivotField compact="0" numFmtId="9" outline="0" showAll="0">
      <items count="992">
        <item x="63"/>
        <item x="867"/>
        <item x="960"/>
        <item x="406"/>
        <item x="183"/>
        <item x="934"/>
        <item x="440"/>
        <item x="881"/>
        <item x="580"/>
        <item x="495"/>
        <item x="763"/>
        <item x="571"/>
        <item x="813"/>
        <item x="923"/>
        <item x="388"/>
        <item x="256"/>
        <item x="432"/>
        <item x="38"/>
        <item x="164"/>
        <item x="31"/>
        <item x="173"/>
        <item x="583"/>
        <item x="746"/>
        <item x="76"/>
        <item x="321"/>
        <item x="930"/>
        <item x="762"/>
        <item x="526"/>
        <item x="807"/>
        <item x="528"/>
        <item x="505"/>
        <item x="915"/>
        <item x="555"/>
        <item x="849"/>
        <item x="149"/>
        <item x="962"/>
        <item x="811"/>
        <item x="578"/>
        <item x="818"/>
        <item x="132"/>
        <item x="134"/>
        <item x="773"/>
        <item x="840"/>
        <item x="201"/>
        <item x="470"/>
        <item x="556"/>
        <item x="597"/>
        <item x="357"/>
        <item x="96"/>
        <item x="405"/>
        <item x="536"/>
        <item x="377"/>
        <item x="794"/>
        <item x="629"/>
        <item x="728"/>
        <item x="516"/>
        <item x="889"/>
        <item x="374"/>
        <item x="469"/>
        <item x="316"/>
        <item x="606"/>
        <item x="276"/>
        <item x="353"/>
        <item x="56"/>
        <item x="372"/>
        <item x="446"/>
        <item x="145"/>
        <item x="742"/>
        <item x="34"/>
        <item x="937"/>
        <item x="244"/>
        <item x="97"/>
        <item x="982"/>
        <item x="1"/>
        <item x="188"/>
        <item x="896"/>
        <item x="169"/>
        <item x="658"/>
        <item x="24"/>
        <item x="959"/>
        <item x="750"/>
        <item x="965"/>
        <item x="608"/>
        <item x="561"/>
        <item x="647"/>
        <item x="543"/>
        <item x="464"/>
        <item x="179"/>
        <item x="386"/>
        <item x="216"/>
        <item x="208"/>
        <item x="137"/>
        <item x="50"/>
        <item x="548"/>
        <item x="754"/>
        <item x="204"/>
        <item x="822"/>
        <item x="269"/>
        <item x="619"/>
        <item x="439"/>
        <item x="900"/>
        <item x="167"/>
        <item x="579"/>
        <item x="491"/>
        <item x="480"/>
        <item x="700"/>
        <item x="650"/>
        <item x="858"/>
        <item x="85"/>
        <item x="257"/>
        <item x="258"/>
        <item x="904"/>
        <item x="697"/>
        <item x="292"/>
        <item x="228"/>
        <item x="738"/>
        <item x="545"/>
        <item x="743"/>
        <item x="182"/>
        <item x="595"/>
        <item x="702"/>
        <item x="298"/>
        <item x="938"/>
        <item x="6"/>
        <item x="824"/>
        <item x="713"/>
        <item x="223"/>
        <item x="332"/>
        <item x="796"/>
        <item x="52"/>
        <item x="193"/>
        <item x="231"/>
        <item x="950"/>
        <item x="189"/>
        <item x="84"/>
        <item x="312"/>
        <item x="22"/>
        <item x="503"/>
        <item x="106"/>
        <item x="4"/>
        <item x="254"/>
        <item x="385"/>
        <item x="928"/>
        <item x="486"/>
        <item x="630"/>
        <item x="695"/>
        <item x="379"/>
        <item x="159"/>
        <item x="680"/>
        <item x="884"/>
        <item x="356"/>
        <item x="73"/>
        <item x="841"/>
        <item x="310"/>
        <item x="683"/>
        <item x="404"/>
        <item x="64"/>
        <item x="211"/>
        <item x="599"/>
        <item x="345"/>
        <item x="850"/>
        <item x="861"/>
        <item x="108"/>
        <item x="909"/>
        <item x="300"/>
        <item x="400"/>
        <item x="836"/>
        <item x="798"/>
        <item x="150"/>
        <item x="615"/>
        <item x="721"/>
        <item x="875"/>
        <item x="810"/>
        <item x="255"/>
        <item x="10"/>
        <item x="645"/>
        <item x="358"/>
        <item x="294"/>
        <item x="830"/>
        <item x="225"/>
        <item x="832"/>
        <item x="423"/>
        <item x="364"/>
        <item x="834"/>
        <item x="191"/>
        <item x="389"/>
        <item x="685"/>
        <item x="467"/>
        <item x="354"/>
        <item x="954"/>
        <item x="371"/>
        <item x="636"/>
        <item x="304"/>
        <item x="853"/>
        <item x="601"/>
        <item x="340"/>
        <item x="600"/>
        <item x="331"/>
        <item x="261"/>
        <item x="233"/>
        <item x="667"/>
        <item x="963"/>
        <item x="58"/>
        <item x="696"/>
        <item x="602"/>
        <item x="739"/>
        <item x="892"/>
        <item x="153"/>
        <item x="484"/>
        <item x="860"/>
        <item x="370"/>
        <item x="768"/>
        <item x="568"/>
        <item x="397"/>
        <item x="286"/>
        <item x="250"/>
        <item x="527"/>
        <item x="177"/>
        <item x="885"/>
        <item x="456"/>
        <item x="284"/>
        <item x="2"/>
        <item x="809"/>
        <item x="7"/>
        <item x="576"/>
        <item x="677"/>
        <item x="717"/>
        <item x="514"/>
        <item x="142"/>
        <item x="792"/>
        <item x="814"/>
        <item x="75"/>
        <item x="731"/>
        <item x="207"/>
        <item x="222"/>
        <item x="497"/>
        <item x="105"/>
        <item x="466"/>
        <item x="411"/>
        <item x="894"/>
        <item x="302"/>
        <item x="362"/>
        <item x="227"/>
        <item x="70"/>
        <item x="760"/>
        <item x="735"/>
        <item x="531"/>
        <item x="973"/>
        <item x="249"/>
        <item x="47"/>
        <item x="215"/>
        <item x="329"/>
        <item x="282"/>
        <item x="872"/>
        <item x="665"/>
        <item x="0"/>
        <item x="785"/>
        <item x="454"/>
        <item x="307"/>
        <item x="635"/>
        <item x="758"/>
        <item x="462"/>
        <item x="490"/>
        <item x="887"/>
        <item x="640"/>
        <item x="8"/>
        <item x="592"/>
        <item x="845"/>
        <item x="57"/>
        <item x="729"/>
        <item x="262"/>
        <item x="741"/>
        <item x="788"/>
        <item x="412"/>
        <item x="477"/>
        <item x="252"/>
        <item x="138"/>
        <item x="230"/>
        <item x="802"/>
        <item x="744"/>
        <item x="124"/>
        <item x="253"/>
        <item x="987"/>
        <item x="18"/>
        <item x="36"/>
        <item x="672"/>
        <item x="318"/>
        <item x="859"/>
        <item x="289"/>
        <item x="163"/>
        <item x="417"/>
        <item x="800"/>
        <item x="730"/>
        <item x="117"/>
        <item x="620"/>
        <item x="757"/>
        <item x="815"/>
        <item x="980"/>
        <item x="642"/>
        <item x="367"/>
        <item x="560"/>
        <item x="765"/>
        <item x="913"/>
        <item x="390"/>
        <item x="986"/>
        <item x="180"/>
        <item x="77"/>
        <item x="241"/>
        <item x="290"/>
        <item x="562"/>
        <item x="393"/>
        <item x="449"/>
        <item x="435"/>
        <item x="508"/>
        <item x="414"/>
        <item x="827"/>
        <item x="19"/>
        <item x="722"/>
        <item x="168"/>
        <item x="118"/>
        <item x="42"/>
        <item x="433"/>
        <item x="795"/>
        <item x="823"/>
        <item x="688"/>
        <item x="140"/>
        <item x="352"/>
        <item x="438"/>
        <item x="767"/>
        <item x="628"/>
        <item x="196"/>
        <item x="203"/>
        <item x="360"/>
        <item x="328"/>
        <item x="478"/>
        <item x="26"/>
        <item x="572"/>
        <item x="148"/>
        <item x="471"/>
        <item x="391"/>
        <item x="98"/>
        <item x="880"/>
        <item x="828"/>
        <item x="128"/>
        <item x="43"/>
        <item x="348"/>
        <item x="86"/>
        <item x="299"/>
        <item x="450"/>
        <item x="396"/>
        <item x="424"/>
        <item x="146"/>
        <item x="681"/>
        <item x="273"/>
        <item x="447"/>
        <item x="317"/>
        <item x="753"/>
        <item x="109"/>
        <item x="740"/>
        <item x="873"/>
        <item x="296"/>
        <item x="37"/>
        <item x="725"/>
        <item x="136"/>
        <item x="419"/>
        <item x="320"/>
        <item x="533"/>
        <item x="431"/>
        <item x="711"/>
        <item x="420"/>
        <item x="687"/>
        <item x="787"/>
        <item x="461"/>
        <item x="772"/>
        <item x="395"/>
        <item x="350"/>
        <item x="288"/>
        <item x="966"/>
        <item x="195"/>
        <item x="314"/>
        <item x="662"/>
        <item x="139"/>
        <item x="605"/>
        <item x="902"/>
        <item x="102"/>
        <item x="351"/>
        <item x="530"/>
        <item x="489"/>
        <item x="79"/>
        <item x="652"/>
        <item x="733"/>
        <item x="111"/>
        <item x="110"/>
        <item x="831"/>
        <item x="17"/>
        <item x="74"/>
        <item x="62"/>
        <item x="268"/>
        <item x="978"/>
        <item x="226"/>
        <item x="434"/>
        <item x="59"/>
        <item x="852"/>
        <item x="375"/>
        <item x="92"/>
        <item x="496"/>
        <item x="720"/>
        <item x="459"/>
        <item x="664"/>
        <item x="265"/>
        <item x="104"/>
        <item x="945"/>
        <item x="532"/>
        <item x="402"/>
        <item x="596"/>
        <item x="801"/>
        <item x="445"/>
        <item x="103"/>
        <item x="280"/>
        <item x="89"/>
        <item x="638"/>
        <item x="361"/>
        <item x="176"/>
        <item x="131"/>
        <item x="626"/>
        <item x="99"/>
        <item x="857"/>
        <item x="540"/>
        <item x="94"/>
        <item x="848"/>
        <item x="911"/>
        <item x="582"/>
        <item x="319"/>
        <item x="481"/>
        <item x="708"/>
        <item x="20"/>
        <item x="383"/>
        <item x="483"/>
        <item x="897"/>
        <item x="418"/>
        <item x="939"/>
        <item x="676"/>
        <item x="567"/>
        <item x="718"/>
        <item x="165"/>
        <item x="946"/>
        <item x="648"/>
        <item x="69"/>
        <item x="816"/>
        <item x="877"/>
        <item x="781"/>
        <item x="581"/>
        <item x="301"/>
        <item x="429"/>
        <item x="114"/>
        <item x="745"/>
        <item x="912"/>
        <item x="27"/>
        <item x="479"/>
        <item x="119"/>
        <item x="759"/>
        <item x="633"/>
        <item x="263"/>
        <item x="671"/>
        <item x="914"/>
        <item x="624"/>
        <item x="61"/>
        <item x="442"/>
        <item x="968"/>
        <item x="174"/>
        <item x="907"/>
        <item x="989"/>
        <item x="285"/>
        <item x="83"/>
        <item x="724"/>
        <item x="906"/>
        <item x="590"/>
        <item x="14"/>
        <item x="199"/>
        <item x="205"/>
        <item x="130"/>
        <item x="475"/>
        <item x="607"/>
        <item x="234"/>
        <item x="631"/>
        <item x="670"/>
        <item x="121"/>
        <item x="732"/>
        <item x="274"/>
        <item x="465"/>
        <item x="178"/>
        <item x="623"/>
        <item x="426"/>
        <item x="338"/>
        <item x="28"/>
        <item x="95"/>
        <item x="455"/>
        <item x="883"/>
        <item x="295"/>
        <item x="441"/>
        <item x="55"/>
        <item x="882"/>
        <item x="691"/>
        <item x="537"/>
        <item x="9"/>
        <item x="500"/>
        <item x="101"/>
        <item x="752"/>
        <item x="649"/>
        <item x="585"/>
        <item x="891"/>
        <item x="546"/>
        <item x="786"/>
        <item x="394"/>
        <item x="674"/>
        <item x="598"/>
        <item x="587"/>
        <item x="895"/>
        <item x="341"/>
        <item x="15"/>
        <item x="534"/>
        <item x="482"/>
        <item x="152"/>
        <item x="82"/>
        <item x="407"/>
        <item x="926"/>
        <item x="870"/>
        <item x="698"/>
        <item x="609"/>
        <item x="766"/>
        <item x="634"/>
        <item x="612"/>
        <item x="957"/>
        <item x="586"/>
        <item x="267"/>
        <item x="499"/>
        <item x="714"/>
        <item x="501"/>
        <item x="584"/>
        <item x="983"/>
        <item x="504"/>
        <item x="589"/>
        <item x="542"/>
        <item x="518"/>
        <item x="194"/>
        <item x="855"/>
        <item x="690"/>
        <item x="40"/>
        <item x="644"/>
        <item x="278"/>
        <item x="346"/>
        <item x="529"/>
        <item x="797"/>
        <item x="574"/>
        <item x="705"/>
        <item x="653"/>
        <item x="972"/>
        <item x="905"/>
        <item x="985"/>
        <item x="755"/>
        <item x="184"/>
        <item x="779"/>
        <item x="122"/>
        <item x="237"/>
        <item x="899"/>
        <item x="380"/>
        <item x="355"/>
        <item x="474"/>
        <item x="401"/>
        <item x="277"/>
        <item x="275"/>
        <item x="936"/>
        <item x="616"/>
        <item x="780"/>
        <item x="929"/>
        <item x="494"/>
        <item x="863"/>
        <item x="323"/>
        <item x="975"/>
        <item x="327"/>
        <item x="141"/>
        <item x="976"/>
        <item x="842"/>
        <item x="468"/>
        <item x="143"/>
        <item x="493"/>
        <item x="846"/>
        <item x="558"/>
        <item x="156"/>
        <item x="775"/>
        <item x="541"/>
        <item x="311"/>
        <item x="851"/>
        <item x="943"/>
        <item x="113"/>
        <item x="430"/>
        <item x="547"/>
        <item x="315"/>
        <item x="591"/>
        <item x="925"/>
        <item x="898"/>
        <item x="749"/>
        <item x="238"/>
        <item x="342"/>
        <item x="232"/>
        <item x="339"/>
        <item x="129"/>
        <item x="565"/>
        <item x="279"/>
        <item x="382"/>
        <item x="308"/>
        <item x="519"/>
        <item x="245"/>
        <item x="155"/>
        <item x="918"/>
        <item x="977"/>
        <item x="368"/>
        <item x="23"/>
        <item x="260"/>
        <item x="948"/>
        <item x="44"/>
        <item x="54"/>
        <item x="710"/>
        <item x="366"/>
        <item x="559"/>
        <item x="539"/>
        <item x="833"/>
        <item x="941"/>
        <item x="264"/>
        <item x="523"/>
        <item x="87"/>
        <item x="309"/>
        <item x="116"/>
        <item x="498"/>
        <item x="843"/>
        <item x="910"/>
        <item x="416"/>
        <item x="799"/>
        <item x="854"/>
        <item x="679"/>
        <item x="144"/>
        <item x="776"/>
        <item x="32"/>
        <item x="437"/>
        <item x="91"/>
        <item x="564"/>
        <item x="639"/>
        <item x="988"/>
        <item x="363"/>
        <item x="604"/>
        <item x="777"/>
        <item x="66"/>
        <item x="112"/>
        <item x="336"/>
        <item x="684"/>
        <item x="125"/>
        <item x="919"/>
        <item x="921"/>
        <item x="669"/>
        <item x="376"/>
        <item x="444"/>
        <item x="716"/>
        <item x="654"/>
        <item x="46"/>
        <item x="603"/>
        <item x="791"/>
        <item x="305"/>
        <item x="297"/>
        <item x="778"/>
        <item x="566"/>
        <item x="890"/>
        <item x="11"/>
        <item x="210"/>
        <item x="224"/>
        <item x="326"/>
        <item x="610"/>
        <item x="726"/>
        <item x="293"/>
        <item x="335"/>
        <item x="594"/>
        <item x="656"/>
        <item x="217"/>
        <item x="970"/>
        <item x="622"/>
        <item x="920"/>
        <item x="570"/>
        <item x="115"/>
        <item x="981"/>
        <item x="821"/>
        <item x="425"/>
        <item x="817"/>
        <item x="903"/>
        <item x="248"/>
        <item x="347"/>
        <item x="715"/>
        <item x="535"/>
        <item x="865"/>
        <item x="133"/>
        <item x="313"/>
        <item x="266"/>
        <item x="933"/>
        <item x="958"/>
        <item x="403"/>
        <item x="947"/>
        <item x="844"/>
        <item x="868"/>
        <item x="242"/>
        <item x="409"/>
        <item x="689"/>
        <item x="727"/>
        <item x="512"/>
        <item x="678"/>
        <item x="632"/>
        <item x="359"/>
        <item x="197"/>
        <item x="29"/>
        <item x="487"/>
        <item x="436"/>
        <item x="967"/>
        <item x="381"/>
        <item x="812"/>
        <item x="303"/>
        <item x="247"/>
        <item x="916"/>
        <item x="893"/>
        <item x="699"/>
        <item x="175"/>
        <item x="214"/>
        <item x="879"/>
        <item x="614"/>
        <item x="712"/>
        <item x="157"/>
        <item x="421"/>
        <item x="922"/>
        <item x="627"/>
        <item x="81"/>
        <item x="804"/>
        <item x="924"/>
        <item x="21"/>
        <item x="706"/>
        <item x="171"/>
        <item x="251"/>
        <item x="229"/>
        <item x="956"/>
        <item x="12"/>
        <item x="325"/>
        <item x="704"/>
        <item x="723"/>
        <item x="448"/>
        <item x="588"/>
        <item x="202"/>
        <item x="719"/>
        <item x="783"/>
        <item x="428"/>
        <item x="874"/>
        <item x="68"/>
        <item x="509"/>
        <item x="410"/>
        <item x="271"/>
        <item x="387"/>
        <item x="549"/>
        <item x="243"/>
        <item x="72"/>
        <item x="408"/>
        <item x="617"/>
        <item x="71"/>
        <item x="769"/>
        <item x="525"/>
        <item x="643"/>
        <item x="473"/>
        <item x="206"/>
        <item x="219"/>
        <item x="67"/>
        <item x="806"/>
        <item x="756"/>
        <item x="378"/>
        <item x="990"/>
        <item x="135"/>
        <item x="451"/>
        <item x="126"/>
        <item x="524"/>
        <item x="621"/>
        <item x="693"/>
        <item x="747"/>
        <item x="862"/>
        <item x="577"/>
        <item x="100"/>
        <item x="856"/>
        <item x="324"/>
        <item x="521"/>
        <item x="520"/>
        <item x="666"/>
        <item x="49"/>
        <item x="737"/>
        <item x="866"/>
        <item x="25"/>
        <item x="826"/>
        <item x="158"/>
        <item x="212"/>
        <item x="235"/>
        <item x="554"/>
        <item x="337"/>
        <item x="707"/>
        <item x="185"/>
        <item x="463"/>
        <item x="172"/>
        <item x="166"/>
        <item x="333"/>
        <item x="557"/>
        <item x="979"/>
        <item x="373"/>
        <item x="344"/>
        <item x="682"/>
        <item x="838"/>
        <item x="984"/>
        <item x="829"/>
        <item x="901"/>
        <item x="657"/>
        <item x="460"/>
        <item x="452"/>
        <item x="931"/>
        <item x="969"/>
        <item x="764"/>
        <item x="187"/>
        <item x="573"/>
        <item x="878"/>
        <item x="613"/>
        <item x="472"/>
        <item x="413"/>
        <item x="365"/>
        <item x="952"/>
        <item x="120"/>
        <item x="123"/>
        <item x="517"/>
        <item x="48"/>
        <item x="291"/>
        <item x="510"/>
        <item x="661"/>
        <item x="569"/>
        <item x="161"/>
        <item x="655"/>
        <item x="944"/>
        <item x="369"/>
        <item x="93"/>
        <item x="625"/>
        <item x="41"/>
        <item x="771"/>
        <item x="218"/>
        <item x="476"/>
        <item x="701"/>
        <item x="65"/>
        <item x="453"/>
        <item x="611"/>
        <item x="593"/>
        <item x="427"/>
        <item x="190"/>
        <item x="618"/>
        <item x="793"/>
        <item x="485"/>
        <item x="330"/>
        <item x="334"/>
        <item x="563"/>
        <item x="343"/>
        <item x="35"/>
        <item x="181"/>
        <item x="734"/>
        <item x="506"/>
        <item x="259"/>
        <item x="398"/>
        <item x="864"/>
        <item x="186"/>
        <item x="917"/>
        <item x="736"/>
        <item x="774"/>
        <item x="651"/>
        <item x="270"/>
        <item x="392"/>
        <item x="220"/>
        <item x="908"/>
        <item x="457"/>
        <item x="709"/>
        <item x="502"/>
        <item x="668"/>
        <item x="170"/>
        <item x="964"/>
        <item x="575"/>
        <item x="835"/>
        <item x="839"/>
        <item x="384"/>
        <item x="51"/>
        <item x="551"/>
        <item x="5"/>
        <item x="847"/>
        <item x="819"/>
        <item x="659"/>
        <item x="673"/>
        <item x="927"/>
        <item x="213"/>
        <item x="306"/>
        <item x="399"/>
        <item x="443"/>
        <item x="154"/>
        <item x="198"/>
        <item x="236"/>
        <item x="751"/>
        <item x="686"/>
        <item x="790"/>
        <item x="876"/>
        <item x="886"/>
        <item x="281"/>
        <item x="90"/>
        <item x="694"/>
        <item x="675"/>
        <item x="88"/>
        <item x="39"/>
        <item x="488"/>
        <item x="322"/>
        <item x="961"/>
        <item x="511"/>
        <item x="127"/>
        <item x="192"/>
        <item x="30"/>
        <item x="33"/>
        <item x="553"/>
        <item x="415"/>
        <item x="935"/>
        <item x="820"/>
        <item x="221"/>
        <item x="825"/>
        <item x="660"/>
        <item x="45"/>
        <item x="789"/>
        <item x="422"/>
        <item x="246"/>
        <item x="953"/>
        <item x="107"/>
        <item x="869"/>
        <item x="942"/>
        <item x="770"/>
        <item x="13"/>
        <item x="80"/>
        <item x="162"/>
        <item x="808"/>
        <item x="692"/>
        <item x="272"/>
        <item x="60"/>
        <item x="151"/>
        <item x="703"/>
        <item x="240"/>
        <item x="949"/>
        <item x="761"/>
        <item x="955"/>
        <item x="888"/>
        <item x="458"/>
        <item x="748"/>
        <item x="932"/>
        <item x="784"/>
        <item x="940"/>
        <item x="550"/>
        <item x="147"/>
        <item x="200"/>
        <item x="507"/>
        <item x="3"/>
        <item x="78"/>
        <item x="641"/>
        <item x="544"/>
        <item x="515"/>
        <item x="637"/>
        <item x="239"/>
        <item x="646"/>
        <item x="538"/>
        <item x="160"/>
        <item x="349"/>
        <item x="53"/>
        <item x="16"/>
        <item x="871"/>
        <item x="805"/>
        <item x="552"/>
        <item x="971"/>
        <item x="513"/>
        <item x="287"/>
        <item x="974"/>
        <item x="782"/>
        <item x="837"/>
        <item x="492"/>
        <item x="951"/>
        <item x="803"/>
        <item x="663"/>
        <item x="209"/>
        <item x="522"/>
        <item x="283"/>
        <item t="default"/>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16"/>
  </rowFields>
  <rowItems count="4">
    <i>
      <x/>
    </i>
    <i>
      <x v="1"/>
    </i>
    <i>
      <x v="2"/>
    </i>
    <i t="grand">
      <x/>
    </i>
  </rowItems>
  <colItems count="1">
    <i/>
  </colItems>
  <dataFields count="1">
    <dataField name="Count of employee_id" fld="0" subtotal="count" showDataAs="percentOfTotal" baseField="16" baseItem="0" numFmtId="10"/>
  </dataFields>
  <formats count="2">
    <format dxfId="67">
      <pivotArea outline="0" collapsedLevelsAreSubtotals="1" fieldPosition="0"/>
    </format>
    <format dxfId="66">
      <pivotArea outline="0" fieldPosition="0">
        <references count="1">
          <reference field="4294967294" count="1">
            <x v="0"/>
          </reference>
        </references>
      </pivotArea>
    </format>
  </formats>
  <chartFormats count="4">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6" count="1" selected="0">
            <x v="0"/>
          </reference>
        </references>
      </pivotArea>
    </chartFormat>
    <chartFormat chart="10" format="4">
      <pivotArea type="data" outline="0" fieldPosition="0">
        <references count="2">
          <reference field="4294967294" count="1" selected="0">
            <x v="0"/>
          </reference>
          <reference field="16" count="1" selected="0">
            <x v="1"/>
          </reference>
        </references>
      </pivotArea>
    </chartFormat>
    <chartFormat chart="10" format="5">
      <pivotArea type="data" outline="0" fieldPosition="0">
        <references count="2">
          <reference field="4294967294" count="1" selected="0">
            <x v="0"/>
          </reference>
          <reference field="16"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36515B-6247-4AAB-8F9E-E5C45842967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3:B9" firstHeaderRow="1" firstDataRow="1" firstDataCol="1"/>
  <pivotFields count="20">
    <pivotField compact="0" outline="0" showAll="0"/>
    <pivotField compact="0" outline="0" showAll="0"/>
    <pivotField axis="axisRow"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dataField="1"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asks_completed" fld="8" baseField="2" baseItem="0" numFmtId="3"/>
  </dataFields>
  <chartFormats count="1">
    <chartFormat chart="13" format="7"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B4468B-492B-4AB6-93C3-F5FB18A13D6F}"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F3:G9" firstHeaderRow="1" firstDataRow="1" firstDataCol="1"/>
  <pivotFields count="20">
    <pivotField compact="0" outline="0" showAll="0"/>
    <pivotField axis="axisRow" compact="0" outline="0" showAll="0">
      <items count="6">
        <item x="3"/>
        <item x="0"/>
        <item x="1"/>
        <item x="2"/>
        <item x="4"/>
        <item t="default"/>
      </items>
    </pivotField>
    <pivotField compact="0" outline="0" showAll="0">
      <items count="6">
        <item x="3"/>
        <item x="4"/>
        <item x="2"/>
        <item x="1"/>
        <item x="0"/>
        <item t="default"/>
      </items>
    </pivotField>
    <pivotField compact="0" outline="0" showAll="0"/>
    <pivotField compact="0" outline="0" showAll="0"/>
    <pivotField dataField="1"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monthly_hours_worked" fld="5" baseField="1" baseItem="0" numFmtId="4"/>
  </dataFields>
  <chartFormats count="1">
    <chartFormat chart="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FA7038-3DB5-42C1-A9DB-D63EE504351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2:B16" firstHeaderRow="1" firstDataRow="1" firstDataCol="1"/>
  <pivotFields count="20">
    <pivotField compact="0" outline="0" showAll="0"/>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axis="axisRow" compact="0" outline="0" showAll="0">
      <items count="4">
        <item x="1"/>
        <item x="0"/>
        <item x="2"/>
        <item t="default"/>
      </items>
    </pivotField>
    <pivotField dataField="1"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Items count="1">
    <i/>
  </colItems>
  <dataFields count="1">
    <dataField name="Average of performance_score" fld="14" subtotal="average" baseField="13" baseItem="0" numFmtId="2"/>
  </dataFields>
  <chartFormats count="4">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3" count="1" selected="0">
            <x v="0"/>
          </reference>
        </references>
      </pivotArea>
    </chartFormat>
    <chartFormat chart="8" format="9">
      <pivotArea type="data" outline="0" fieldPosition="0">
        <references count="2">
          <reference field="4294967294" count="1" selected="0">
            <x v="0"/>
          </reference>
          <reference field="13" count="1" selected="0">
            <x v="1"/>
          </reference>
        </references>
      </pivotArea>
    </chartFormat>
    <chartFormat chart="8" format="10">
      <pivotArea type="data" outline="0" fieldPosition="0">
        <references count="2">
          <reference field="4294967294" count="1" selected="0">
            <x v="0"/>
          </reference>
          <reference field="13" count="1" selected="0">
            <x v="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A7C158-887C-45F9-8E1C-7A8B07217B7D}"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F3:G15" firstHeaderRow="1" firstDataRow="1" firstDataCol="1"/>
  <pivotFields count="20">
    <pivotField axis="axisRow" compact="0" outline="0" showAll="0" measureFilter="1" sortType="descending">
      <items count="101">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dataField="1"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0"/>
  </rowFields>
  <rowItems count="12">
    <i>
      <x v="5"/>
    </i>
    <i>
      <x v="6"/>
    </i>
    <i>
      <x v="14"/>
    </i>
    <i>
      <x v="22"/>
    </i>
    <i>
      <x v="25"/>
    </i>
    <i>
      <x v="38"/>
    </i>
    <i>
      <x v="49"/>
    </i>
    <i>
      <x v="53"/>
    </i>
    <i>
      <x v="81"/>
    </i>
    <i>
      <x v="86"/>
    </i>
    <i>
      <x v="89"/>
    </i>
    <i t="grand">
      <x/>
    </i>
  </rowItems>
  <colItems count="1">
    <i/>
  </colItems>
  <dataFields count="1">
    <dataField name="Sum of tasks_completed" fld="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28F41E-9D4A-4D73-8FC2-D3959AA2B692}"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5">
  <location ref="A3:B14" firstHeaderRow="1" firstDataRow="1" firstDataCol="1"/>
  <pivotFields count="20">
    <pivotField compact="0" outline="0" showAll="0"/>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dataField="1"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11">
    <i>
      <x v="1"/>
    </i>
    <i>
      <x v="3"/>
    </i>
    <i>
      <x v="4"/>
    </i>
    <i>
      <x v="5"/>
    </i>
    <i>
      <x v="6"/>
    </i>
    <i>
      <x v="7"/>
    </i>
    <i>
      <x v="8"/>
    </i>
    <i>
      <x v="9"/>
    </i>
    <i>
      <x v="10"/>
    </i>
    <i>
      <x v="11"/>
    </i>
    <i t="grand">
      <x/>
    </i>
  </rowItems>
  <colItems count="1">
    <i/>
  </colItems>
  <dataFields count="1">
    <dataField name="Sum of performance_score" fld="14" baseField="19" baseItem="0" numFmtId="4"/>
  </dataFields>
  <chartFormats count="1">
    <chartFormat chart="7" format="4"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F254CE-7989-4910-84C3-30585F454BDB}"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G3:I7" firstHeaderRow="0" firstDataRow="1" firstDataCol="1"/>
  <pivotFields count="20">
    <pivotField dataField="1"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dataField="1"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11"/>
  </rowFields>
  <rowItems count="4">
    <i>
      <x/>
    </i>
    <i>
      <x v="1"/>
    </i>
    <i>
      <x v="2"/>
    </i>
    <i t="grand">
      <x/>
    </i>
  </rowItems>
  <colFields count="1">
    <field x="-2"/>
  </colFields>
  <colItems count="2">
    <i>
      <x/>
    </i>
    <i i="1">
      <x v="1"/>
    </i>
  </colItems>
  <dataFields count="2">
    <dataField name="Average of performance_score" fld="14" subtotal="average" baseField="11" baseItem="0" numFmtId="2"/>
    <dataField name="Count of employee_id" fld="0" subtotal="count" baseField="11" baseItem="0" numFmtId="3"/>
  </dataFields>
  <chartFormats count="2">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84104E-97E4-4CFB-9807-7C44A8F10002}"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3:E17" firstHeaderRow="1" firstDataRow="1" firstDataCol="1"/>
  <pivotFields count="20">
    <pivotField compact="0" outline="0" showAll="0"/>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axis="axisRow"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dataField="1" compact="0" outline="0" showAll="0"/>
    <pivotField compact="0" numFmtId="14" outline="0" showAll="0">
      <items count="11">
        <item x="0"/>
        <item x="1"/>
        <item x="2"/>
        <item x="3"/>
        <item x="4"/>
        <item x="5"/>
        <item x="6"/>
        <item x="7"/>
        <item x="8"/>
        <item x="9"/>
        <item t="default"/>
      </items>
    </pivotField>
    <pivotField compact="0" outline="0" showAll="0">
      <items count="4">
        <item x="1"/>
        <item x="2"/>
        <item x="0"/>
        <item t="default"/>
      </items>
    </pivotField>
    <pivotField compact="0" numFmtId="9"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7"/>
  </rowFields>
  <rowItems count="14">
    <i>
      <x/>
    </i>
    <i>
      <x v="1"/>
    </i>
    <i>
      <x v="2"/>
    </i>
    <i>
      <x v="3"/>
    </i>
    <i>
      <x v="4"/>
    </i>
    <i>
      <x v="5"/>
    </i>
    <i>
      <x v="6"/>
    </i>
    <i>
      <x v="7"/>
    </i>
    <i>
      <x v="8"/>
    </i>
    <i>
      <x v="9"/>
    </i>
    <i>
      <x v="10"/>
    </i>
    <i>
      <x v="11"/>
    </i>
    <i>
      <x v="12"/>
    </i>
    <i t="grand">
      <x/>
    </i>
  </rowItems>
  <colItems count="1">
    <i/>
  </colItems>
  <dataFields count="1">
    <dataField name="Average of performance_score" fld="14" subtotal="average" baseField="7" baseItem="0" numFmtId="2"/>
  </dataFields>
  <chartFormats count="14">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7" count="1" selected="0">
            <x v="0"/>
          </reference>
        </references>
      </pivotArea>
    </chartFormat>
    <chartFormat chart="4" format="17">
      <pivotArea type="data" outline="0" fieldPosition="0">
        <references count="2">
          <reference field="4294967294" count="1" selected="0">
            <x v="0"/>
          </reference>
          <reference field="7" count="1" selected="0">
            <x v="1"/>
          </reference>
        </references>
      </pivotArea>
    </chartFormat>
    <chartFormat chart="4" format="18">
      <pivotArea type="data" outline="0" fieldPosition="0">
        <references count="2">
          <reference field="4294967294" count="1" selected="0">
            <x v="0"/>
          </reference>
          <reference field="7" count="1" selected="0">
            <x v="2"/>
          </reference>
        </references>
      </pivotArea>
    </chartFormat>
    <chartFormat chart="4" format="19">
      <pivotArea type="data" outline="0" fieldPosition="0">
        <references count="2">
          <reference field="4294967294" count="1" selected="0">
            <x v="0"/>
          </reference>
          <reference field="7" count="1" selected="0">
            <x v="3"/>
          </reference>
        </references>
      </pivotArea>
    </chartFormat>
    <chartFormat chart="4" format="20">
      <pivotArea type="data" outline="0" fieldPosition="0">
        <references count="2">
          <reference field="4294967294" count="1" selected="0">
            <x v="0"/>
          </reference>
          <reference field="7" count="1" selected="0">
            <x v="4"/>
          </reference>
        </references>
      </pivotArea>
    </chartFormat>
    <chartFormat chart="4" format="21">
      <pivotArea type="data" outline="0" fieldPosition="0">
        <references count="2">
          <reference field="4294967294" count="1" selected="0">
            <x v="0"/>
          </reference>
          <reference field="7" count="1" selected="0">
            <x v="5"/>
          </reference>
        </references>
      </pivotArea>
    </chartFormat>
    <chartFormat chart="4" format="22">
      <pivotArea type="data" outline="0" fieldPosition="0">
        <references count="2">
          <reference field="4294967294" count="1" selected="0">
            <x v="0"/>
          </reference>
          <reference field="7" count="1" selected="0">
            <x v="6"/>
          </reference>
        </references>
      </pivotArea>
    </chartFormat>
    <chartFormat chart="4" format="23">
      <pivotArea type="data" outline="0" fieldPosition="0">
        <references count="2">
          <reference field="4294967294" count="1" selected="0">
            <x v="0"/>
          </reference>
          <reference field="7" count="1" selected="0">
            <x v="7"/>
          </reference>
        </references>
      </pivotArea>
    </chartFormat>
    <chartFormat chart="4" format="24">
      <pivotArea type="data" outline="0" fieldPosition="0">
        <references count="2">
          <reference field="4294967294" count="1" selected="0">
            <x v="0"/>
          </reference>
          <reference field="7" count="1" selected="0">
            <x v="8"/>
          </reference>
        </references>
      </pivotArea>
    </chartFormat>
    <chartFormat chart="4" format="25">
      <pivotArea type="data" outline="0" fieldPosition="0">
        <references count="2">
          <reference field="4294967294" count="1" selected="0">
            <x v="0"/>
          </reference>
          <reference field="7" count="1" selected="0">
            <x v="9"/>
          </reference>
        </references>
      </pivotArea>
    </chartFormat>
    <chartFormat chart="4" format="26">
      <pivotArea type="data" outline="0" fieldPosition="0">
        <references count="2">
          <reference field="4294967294" count="1" selected="0">
            <x v="0"/>
          </reference>
          <reference field="7" count="1" selected="0">
            <x v="10"/>
          </reference>
        </references>
      </pivotArea>
    </chartFormat>
    <chartFormat chart="4" format="27">
      <pivotArea type="data" outline="0" fieldPosition="0">
        <references count="2">
          <reference field="4294967294" count="1" selected="0">
            <x v="0"/>
          </reference>
          <reference field="7" count="1" selected="0">
            <x v="11"/>
          </reference>
        </references>
      </pivotArea>
    </chartFormat>
    <chartFormat chart="4" format="28">
      <pivotArea type="data" outline="0" fieldPosition="0">
        <references count="2">
          <reference field="4294967294" count="1" selected="0">
            <x v="0"/>
          </reference>
          <reference field="7" count="1" selected="0">
            <x v="12"/>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0907E1-F08F-4DB1-AAB9-A058B5DAF646}"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7" firstHeaderRow="1" firstDataRow="1" firstDataCol="1"/>
  <pivotFields count="20">
    <pivotField dataField="1"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compact="0" outline="0" showAll="0"/>
    <pivotField compact="0" outline="0" showAll="0">
      <items count="6">
        <item x="3"/>
        <item x="4"/>
        <item x="2"/>
        <item x="1"/>
        <item x="0"/>
        <item t="default"/>
      </items>
    </pivotField>
    <pivotField compact="0" outline="0" showAll="0"/>
    <pivotField compact="0" outline="0" showAll="0"/>
    <pivotField compact="0" outline="0" showAll="0"/>
    <pivotField compact="0" outline="0" showAll="0">
      <items count="6">
        <item x="0"/>
        <item x="1"/>
        <item x="2"/>
        <item x="3"/>
        <item x="4"/>
        <item t="default"/>
      </items>
    </pivotField>
    <pivotField compact="0"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items count="4">
        <item x="2"/>
        <item x="1"/>
        <item x="0"/>
        <item t="default"/>
      </items>
    </pivotField>
    <pivotField compact="0" outline="0" showAll="0">
      <items count="4">
        <item x="1"/>
        <item x="0"/>
        <item x="2"/>
        <item t="default"/>
      </items>
    </pivotField>
    <pivotField compact="0" outline="0" showAll="0"/>
    <pivotField compact="0" numFmtId="14" outline="0" showAll="0">
      <items count="11">
        <item x="0"/>
        <item x="1"/>
        <item x="2"/>
        <item x="3"/>
        <item x="4"/>
        <item x="5"/>
        <item x="6"/>
        <item x="7"/>
        <item x="8"/>
        <item x="9"/>
        <item t="default"/>
      </items>
    </pivotField>
    <pivotField axis="axisRow" compact="0" outline="0" showAll="0">
      <items count="4">
        <item x="1"/>
        <item x="2"/>
        <item x="0"/>
        <item t="default"/>
      </items>
    </pivotField>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16"/>
  </rowFields>
  <rowItems count="4">
    <i>
      <x/>
    </i>
    <i>
      <x v="1"/>
    </i>
    <i>
      <x v="2"/>
    </i>
    <i t="grand">
      <x/>
    </i>
  </rowItems>
  <colItems count="1">
    <i/>
  </colItems>
  <dataFields count="1">
    <dataField name="Count of employee_id" fld="0" subtotal="count" baseField="16" baseItem="0" numFmtId="3"/>
  </dataFields>
  <chartFormats count="1">
    <chartFormat chart="6"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D4FABAD-BE17-47BD-9658-AE3B52CF8505}" autoFormatId="16" applyNumberFormats="0" applyBorderFormats="0" applyFontFormats="0" applyPatternFormats="0" applyAlignmentFormats="0" applyWidthHeightFormats="0">
  <queryTableRefresh nextId="19" unboundColumnsRight="2">
    <queryTableFields count="18">
      <queryTableField id="1" name="employee_id" tableColumnId="1"/>
      <queryTableField id="2" name="department" tableColumnId="2"/>
      <queryTableField id="3" name="job_role" tableColumnId="3"/>
      <queryTableField id="4" name="education_level" tableColumnId="4"/>
      <queryTableField id="5" name="years_at_company" tableColumnId="5"/>
      <queryTableField id="6" name="monthly_hours_worked" tableColumnId="6"/>
      <queryTableField id="7" name="attendance_rate" tableColumnId="7"/>
      <queryTableField id="8" name="training_hours" tableColumnId="8"/>
      <queryTableField id="9" name="tasks_completed" tableColumnId="9"/>
      <queryTableField id="10" name="peer_review_score" tableColumnId="10"/>
      <queryTableField id="11" name="manager_rating" tableColumnId="11"/>
      <queryTableField id="12" name="promotions_last_3years" tableColumnId="12"/>
      <queryTableField id="13" name="salary_band" tableColumnId="13"/>
      <queryTableField id="14" name="work_location" tableColumnId="14"/>
      <queryTableField id="15" name="performance_score" tableColumnId="15"/>
      <queryTableField id="16" name="month"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9761D4CE-53CB-452B-9B7B-B9BA73A370D3}" sourceName="Months (month)">
  <pivotTables>
    <pivotTable tabId="4" name="PivotTable10"/>
    <pivotTable tabId="4" name="PivotTable11"/>
    <pivotTable tabId="6" name="PivotTable9"/>
    <pivotTable tabId="6" name="PivotTable3"/>
    <pivotTable tabId="6" name="PivotTable2"/>
    <pivotTable tabId="7" name="PivotTable4"/>
    <pivotTable tabId="9" name="PivotTable7"/>
    <pivotTable tabId="9" name="PivotTable6"/>
    <pivotTable tabId="9" name="PivotTable8"/>
    <pivotTable tabId="7" name="PivotTable5"/>
  </pivotTables>
  <data>
    <tabular pivotCacheId="830604284">
      <items count="14">
        <i x="1" s="1"/>
        <i x="3" s="1"/>
        <i x="4" s="1"/>
        <i x="5" s="1"/>
        <i x="6" s="1"/>
        <i x="7" s="1"/>
        <i x="8" s="1"/>
        <i x="9" s="1"/>
        <i x="10" s="1"/>
        <i x="11" s="1"/>
        <i x="2"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5E111B80-A491-4F42-9EA8-F5E91987541D}" sourceName="work_location">
  <pivotTables>
    <pivotTable tabId="4" name="PivotTable10"/>
    <pivotTable tabId="4" name="PivotTable11"/>
    <pivotTable tabId="6" name="PivotTable9"/>
    <pivotTable tabId="6" name="PivotTable3"/>
    <pivotTable tabId="6" name="PivotTable2"/>
    <pivotTable tabId="7" name="PivotTable4"/>
    <pivotTable tabId="9" name="PivotTable7"/>
    <pivotTable tabId="9" name="PivotTable6"/>
    <pivotTable tabId="9" name="PivotTable8"/>
    <pivotTable tabId="7" name="PivotTable5"/>
  </pivotTables>
  <data>
    <tabular pivotCacheId="830604284">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67AC6154-02BE-4AAC-BCE1-E175B9E8FF78}" sourceName="performance_category">
  <pivotTables>
    <pivotTable tabId="4" name="PivotTable10"/>
    <pivotTable tabId="4" name="PivotTable11"/>
    <pivotTable tabId="6" name="PivotTable9"/>
    <pivotTable tabId="6" name="PivotTable3"/>
    <pivotTable tabId="6" name="PivotTable2"/>
    <pivotTable tabId="7" name="PivotTable4"/>
    <pivotTable tabId="9" name="PivotTable7"/>
    <pivotTable tabId="9" name="PivotTable6"/>
    <pivotTable tabId="9" name="PivotTable8"/>
    <pivotTable tabId="7" name="PivotTable5"/>
  </pivotTables>
  <data>
    <tabular pivotCacheId="83060428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ACB46F30-78F3-4DD6-B921-ED45861029F6}" sourceName="salary_band">
  <pivotTables>
    <pivotTable tabId="4" name="PivotTable10"/>
    <pivotTable tabId="4" name="PivotTable11"/>
    <pivotTable tabId="6" name="PivotTable9"/>
    <pivotTable tabId="6" name="PivotTable3"/>
    <pivotTable tabId="6" name="PivotTable2"/>
    <pivotTable tabId="7" name="PivotTable4"/>
    <pivotTable tabId="9" name="PivotTable7"/>
    <pivotTable tabId="9" name="PivotTable6"/>
    <pivotTable tabId="9" name="PivotTable8"/>
    <pivotTable tabId="7" name="PivotTable5"/>
  </pivotTables>
  <data>
    <tabular pivotCacheId="83060428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641416BB-5ECC-4DEC-AF33-E46EE65D05E6}" sourceName="job_role">
  <pivotTables>
    <pivotTable tabId="4" name="PivotTable10"/>
    <pivotTable tabId="4" name="PivotTable11"/>
    <pivotTable tabId="6" name="PivotTable3"/>
    <pivotTable tabId="6" name="PivotTable2"/>
    <pivotTable tabId="6" name="PivotTable9"/>
    <pivotTable tabId="7" name="PivotTable4"/>
    <pivotTable tabId="9" name="PivotTable7"/>
    <pivotTable tabId="9" name="PivotTable6"/>
    <pivotTable tabId="9" name="PivotTable8"/>
    <pivotTable tabId="7" name="PivotTable5"/>
  </pivotTables>
  <data>
    <tabular pivotCacheId="830604284">
      <items count="5">
        <i x="3" s="1"/>
        <i x="4"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rate" xr10:uid="{698336CD-3429-4EBB-AD09-D7BF60A02323}" sourceName="attendance_rate">
  <pivotTables>
    <pivotTable tabId="4" name="PivotTable10"/>
    <pivotTable tabId="4" name="PivotTable11"/>
    <pivotTable tabId="6" name="PivotTable9"/>
    <pivotTable tabId="6" name="PivotTable3"/>
    <pivotTable tabId="6" name="PivotTable2"/>
    <pivotTable tabId="7" name="PivotTable4"/>
    <pivotTable tabId="9" name="PivotTable7"/>
    <pivotTable tabId="9" name="PivotTable6"/>
    <pivotTable tabId="9" name="PivotTable8"/>
    <pivotTable tabId="7" name="PivotTable5"/>
  </pivotTables>
  <data>
    <tabular pivotCacheId="830604284">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s_last_3years" xr10:uid="{CF7D32D2-F836-430B-9E7C-2BC9040FC340}" sourceName="promotions_last_3years">
  <pivotTables>
    <pivotTable tabId="4" name="PivotTable10"/>
    <pivotTable tabId="4" name="PivotTable11"/>
    <pivotTable tabId="6" name="PivotTable9"/>
    <pivotTable tabId="6" name="PivotTable3"/>
    <pivotTable tabId="6" name="PivotTable2"/>
    <pivotTable tabId="7" name="PivotTable4"/>
    <pivotTable tabId="9" name="PivotTable7"/>
    <pivotTable tabId="9" name="PivotTable6"/>
    <pivotTable tabId="9" name="PivotTable8"/>
    <pivotTable tabId="7" name="PivotTable5"/>
  </pivotTables>
  <data>
    <tabular pivotCacheId="83060428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month)" xr10:uid="{148FE5FF-6D9E-410F-89DD-A6C48CD55396}" cache="Slicer_Months__month" caption="Months" style="SlicerStyleDark6" rowHeight="247650"/>
  <slicer name="work_location" xr10:uid="{051DD68F-0E05-4E39-98F8-D9F9B07B21B1}" cache="Slicer_work_location" caption="Work Location" style="SlicerStyleDark6" rowHeight="247650"/>
  <slicer name="performance_category" xr10:uid="{7F53E88E-DC84-4C7E-85E2-D737DAAB010F}" cache="Slicer_performance_category" caption="Performance Category" style="SlicerStyleDark6" rowHeight="247650"/>
  <slicer name="salary_band" xr10:uid="{F364AF01-CA68-4858-9C30-FA296C91C5EB}" cache="Slicer_salary_band" caption="Salary Band" style="SlicerStyleDark6" rowHeight="247650"/>
  <slicer name="job_role" xr10:uid="{AD58F070-A52B-44F6-B3DF-89797B9CAD49}" cache="Slicer_job_role" caption="Job Role" style="SlicerStyleDark6" rowHeight="247650"/>
  <slicer name="attendance_rate" xr10:uid="{D80D636F-1D15-439E-A7D5-47115FE0C801}" cache="Slicer_attendance_rate" caption="Attendance Rate" style="SlicerStyleDark6" rowHeight="247650"/>
  <slicer name="promotions_last_3years" xr10:uid="{935AB4DD-FE62-45DB-8CEA-A98119AEF78A}" cache="Slicer_promotions_last_3years" caption="Promotions Last 3years" style="SlicerStyleDark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364C50-6F85-43DF-A830-148EA7B62EBC}" name="Table1_1" displayName="Table1_1" ref="A1:R1201" tableType="queryTable" totalsRowShown="0">
  <autoFilter ref="A1:R1201" xr:uid="{C2364C50-6F85-43DF-A830-148EA7B62EBC}"/>
  <tableColumns count="18">
    <tableColumn id="1" xr3:uid="{8A215239-35E9-4CEE-89AB-F408F3C6BC9E}" uniqueName="1" name="employee_id" queryTableFieldId="1" dataDxfId="75"/>
    <tableColumn id="2" xr3:uid="{3BD4AD68-89CC-4CA9-A000-25B19170C430}" uniqueName="2" name="department" queryTableFieldId="2" dataDxfId="74"/>
    <tableColumn id="3" xr3:uid="{50CE8C85-76FC-46C6-A5D1-D4F84BEF49E7}" uniqueName="3" name="job_role" queryTableFieldId="3" dataDxfId="73"/>
    <tableColumn id="4" xr3:uid="{CA34590C-223A-4034-9BC4-4CF13C14715A}" uniqueName="4" name="education_level" queryTableFieldId="4" dataDxfId="72"/>
    <tableColumn id="5" xr3:uid="{91720704-E21F-4425-8211-18E941D324AB}" uniqueName="5" name="years_at_company" queryTableFieldId="5"/>
    <tableColumn id="6" xr3:uid="{8DCF7DC8-ECFE-4E15-BB48-F41184C49F43}" uniqueName="6" name="monthly_hours_worked" queryTableFieldId="6"/>
    <tableColumn id="7" xr3:uid="{8E8D0EAA-D6F6-4422-90D6-FFEB6CA76731}" uniqueName="7" name="attendance_rate" queryTableFieldId="7"/>
    <tableColumn id="8" xr3:uid="{DA6C9671-A026-4B9E-8214-4754BA5BD11D}" uniqueName="8" name="training_hours" queryTableFieldId="8"/>
    <tableColumn id="9" xr3:uid="{E77A6BE4-9142-4DB4-93C8-56FDED84D961}" uniqueName="9" name="tasks_completed" queryTableFieldId="9"/>
    <tableColumn id="10" xr3:uid="{03018BBF-F68A-4758-A9B5-FF7C200A58EE}" uniqueName="10" name="peer_review_score" queryTableFieldId="10"/>
    <tableColumn id="11" xr3:uid="{11F4D9AC-9C53-41E2-B832-E28235B223EF}" uniqueName="11" name="manager_rating" queryTableFieldId="11"/>
    <tableColumn id="12" xr3:uid="{F4287D6B-6CB2-4FD4-A608-8E11442AD7FC}" uniqueName="12" name="promotions_last_3years" queryTableFieldId="12"/>
    <tableColumn id="13" xr3:uid="{DC98C413-C9D5-4EAD-B156-70FC589EF1CB}" uniqueName="13" name="salary_band" queryTableFieldId="13" dataDxfId="71"/>
    <tableColumn id="14" xr3:uid="{2A7F42AA-A248-4D91-A14F-3C3BEDAA422B}" uniqueName="14" name="work_location" queryTableFieldId="14" dataDxfId="70"/>
    <tableColumn id="15" xr3:uid="{FC017FC2-4A5C-47F0-B838-7BC7CBAC8EF8}" uniqueName="15" name="performance_score" queryTableFieldId="15"/>
    <tableColumn id="16" xr3:uid="{94034E04-8128-439F-BD9A-5F4959119093}" uniqueName="16" name="month" queryTableFieldId="16" dataDxfId="69"/>
    <tableColumn id="17" xr3:uid="{3074C568-1C78-464A-9FD8-65FDBB3BB3C4}" uniqueName="17" name="performance_category" queryTableFieldId="17" dataDxfId="68">
      <calculatedColumnFormula>IF(O2&gt;=15, "High Performance", IF(O2&gt;=10, "Medium Performance", "Low Performance"))</calculatedColumnFormula>
    </tableColumn>
    <tableColumn id="18" xr3:uid="{BC158811-D74F-4B3F-8A61-6F2A432FFEA7}" uniqueName="18" name="productivity_score" queryTableFieldId="18" dataCellStyle="Percent">
      <calculatedColumnFormula>Table1_1[[#This Row],[tasks_completed]]/Table1_1[[#This Row],[monthly_hours_worked]]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7A42F3-64DA-4DFE-AFA7-AAB145849613}" name="Table1" displayName="Table1" ref="A1:P1201" totalsRowShown="0">
  <autoFilter ref="A1:P1201" xr:uid="{317A42F3-64DA-4DFE-AFA7-AAB145849613}"/>
  <tableColumns count="16">
    <tableColumn id="1" xr3:uid="{43026505-DBB8-478A-B35E-112007A9166B}" name="employee_id"/>
    <tableColumn id="2" xr3:uid="{B7BEAB6C-5383-491F-A816-265B474098AC}" name="department"/>
    <tableColumn id="3" xr3:uid="{1857BC87-A8B2-4A98-8049-385B4F3C2427}" name="job_role"/>
    <tableColumn id="4" xr3:uid="{4C37735D-3131-470C-BE69-AF60C0DFAE1F}" name="education_level"/>
    <tableColumn id="5" xr3:uid="{079023F4-9A57-4D86-AE62-4150FE0F1806}" name="years_at_company"/>
    <tableColumn id="6" xr3:uid="{9B4BBF81-48C0-435F-93F1-A20699D56162}" name="monthly_hours_worked"/>
    <tableColumn id="7" xr3:uid="{9CB2CBB2-F991-4EF4-9695-2E42B00B90CB}" name="attendance_rate"/>
    <tableColumn id="8" xr3:uid="{0B719C7F-28BA-4427-AA70-B00CECBCAB78}" name="training_hours"/>
    <tableColumn id="9" xr3:uid="{27D0358D-AB60-4742-94E5-CE95AFA72D0F}" name="tasks_completed"/>
    <tableColumn id="10" xr3:uid="{F9EF4ABC-5A99-4305-BEF9-008FA3BF04D6}" name="peer_review_score"/>
    <tableColumn id="11" xr3:uid="{28F98E6A-9559-452F-BDB4-F97FAD0A9D80}" name="manager_rating"/>
    <tableColumn id="12" xr3:uid="{03BEDAF0-F29E-480F-BA0C-860042DBB7D4}" name="promotions_last_3years"/>
    <tableColumn id="13" xr3:uid="{16ACCCD9-052A-4EC2-932E-03864669FB27}" name="salary_band"/>
    <tableColumn id="14" xr3:uid="{2DE90E94-9D9A-4C52-8B33-97F13EF3F8CB}" name="work_location"/>
    <tableColumn id="15" xr3:uid="{08CD45E0-2472-4319-BF0D-53DEF9B72C44}" name="performance_score"/>
    <tableColumn id="16" xr3:uid="{0E5FC3A3-99CB-4DA7-986C-433BA6118776}"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6262-33E3-4F0C-818A-30D31AF04100}">
  <sheetPr>
    <tabColor theme="6" tint="0.39997558519241921"/>
  </sheetPr>
  <dimension ref="A1:R1201"/>
  <sheetViews>
    <sheetView topLeftCell="A2" workbookViewId="0"/>
  </sheetViews>
  <sheetFormatPr defaultRowHeight="14.4" x14ac:dyDescent="0.3"/>
  <cols>
    <col min="1" max="1" width="13.88671875" bestFit="1" customWidth="1"/>
    <col min="2" max="2" width="13.109375" bestFit="1" customWidth="1"/>
    <col min="3" max="3" width="9.88671875" bestFit="1" customWidth="1"/>
    <col min="4" max="4" width="16.44140625" bestFit="1" customWidth="1"/>
    <col min="5" max="5" width="18.6640625" bestFit="1" customWidth="1"/>
    <col min="6" max="6" width="22.44140625" bestFit="1" customWidth="1"/>
    <col min="7" max="7" width="16.88671875" bestFit="1" customWidth="1"/>
    <col min="8" max="8" width="14.88671875" bestFit="1" customWidth="1"/>
    <col min="9" max="9" width="17.6640625" bestFit="1" customWidth="1"/>
    <col min="10" max="10" width="18.6640625" bestFit="1" customWidth="1"/>
    <col min="11" max="11" width="16.109375" bestFit="1" customWidth="1"/>
    <col min="12" max="12" width="23.109375" bestFit="1" customWidth="1"/>
    <col min="13" max="13" width="13.21875" bestFit="1" customWidth="1"/>
    <col min="14" max="14" width="14.77734375" bestFit="1" customWidth="1"/>
    <col min="15" max="15" width="19.44140625" bestFit="1" customWidth="1"/>
    <col min="16" max="16" width="10.33203125" bestFit="1" customWidth="1"/>
    <col min="17" max="17" width="22" bestFit="1" customWidth="1"/>
    <col min="18" max="18" width="18.77734375" style="2"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145</v>
      </c>
      <c r="R1" s="2" t="s">
        <v>146</v>
      </c>
    </row>
    <row r="2" spans="1:18" x14ac:dyDescent="0.3">
      <c r="A2" t="s">
        <v>16</v>
      </c>
      <c r="B2" t="s">
        <v>17</v>
      </c>
      <c r="C2" t="s">
        <v>18</v>
      </c>
      <c r="D2" t="s">
        <v>19</v>
      </c>
      <c r="E2">
        <v>7</v>
      </c>
      <c r="F2">
        <v>154.5</v>
      </c>
      <c r="G2">
        <v>97.6</v>
      </c>
      <c r="H2">
        <v>5.9</v>
      </c>
      <c r="I2">
        <v>4</v>
      </c>
      <c r="J2">
        <v>9.5500000000000007</v>
      </c>
      <c r="K2">
        <v>6.03</v>
      </c>
      <c r="L2">
        <v>1</v>
      </c>
      <c r="M2" t="s">
        <v>20</v>
      </c>
      <c r="N2" t="s">
        <v>21</v>
      </c>
      <c r="O2">
        <v>14.66</v>
      </c>
      <c r="P2" s="1">
        <v>45292</v>
      </c>
      <c r="Q2" t="str">
        <f t="shared" ref="Q2:Q65" si="0">IF(O2&gt;=15, "High Performance", IF(O2&gt;=10, "Medium Performance", "Low Performance"))</f>
        <v>Medium Performance</v>
      </c>
      <c r="R2" s="2">
        <f>Table1_1[[#This Row],[tasks_completed]]/Table1_1[[#This Row],[monthly_hours_worked]]</f>
        <v>2.5889967637540454E-2</v>
      </c>
    </row>
    <row r="3" spans="1:18" x14ac:dyDescent="0.3">
      <c r="A3" t="s">
        <v>16</v>
      </c>
      <c r="B3" t="s">
        <v>23</v>
      </c>
      <c r="C3" t="s">
        <v>24</v>
      </c>
      <c r="D3" t="s">
        <v>19</v>
      </c>
      <c r="E3">
        <v>6</v>
      </c>
      <c r="F3">
        <v>174.6</v>
      </c>
      <c r="G3">
        <v>100</v>
      </c>
      <c r="H3">
        <v>0.1</v>
      </c>
      <c r="I3">
        <v>3</v>
      </c>
      <c r="J3">
        <v>8.41</v>
      </c>
      <c r="K3">
        <v>4.05</v>
      </c>
      <c r="L3">
        <v>2</v>
      </c>
      <c r="M3" t="s">
        <v>25</v>
      </c>
      <c r="N3" t="s">
        <v>26</v>
      </c>
      <c r="O3">
        <v>20.21</v>
      </c>
      <c r="P3" s="1">
        <v>45292</v>
      </c>
      <c r="Q3" t="str">
        <f t="shared" si="0"/>
        <v>High Performance</v>
      </c>
      <c r="R3" s="2">
        <f>Table1_1[[#This Row],[tasks_completed]]/Table1_1[[#This Row],[monthly_hours_worked]]</f>
        <v>1.7182130584192441E-2</v>
      </c>
    </row>
    <row r="4" spans="1:18" x14ac:dyDescent="0.3">
      <c r="A4" t="s">
        <v>16</v>
      </c>
      <c r="B4" t="s">
        <v>27</v>
      </c>
      <c r="C4" t="s">
        <v>18</v>
      </c>
      <c r="D4" t="s">
        <v>19</v>
      </c>
      <c r="E4">
        <v>9</v>
      </c>
      <c r="F4">
        <v>161.19999999999999</v>
      </c>
      <c r="G4">
        <v>92.4</v>
      </c>
      <c r="H4">
        <v>3.8</v>
      </c>
      <c r="I4">
        <v>4</v>
      </c>
      <c r="J4">
        <v>8.92</v>
      </c>
      <c r="K4">
        <v>8.65</v>
      </c>
      <c r="L4">
        <v>0</v>
      </c>
      <c r="M4" t="s">
        <v>20</v>
      </c>
      <c r="N4" t="s">
        <v>21</v>
      </c>
      <c r="O4">
        <v>7.4</v>
      </c>
      <c r="P4" s="1">
        <v>45352</v>
      </c>
      <c r="Q4" t="str">
        <f t="shared" si="0"/>
        <v>Low Performance</v>
      </c>
      <c r="R4" s="2">
        <f>Table1_1[[#This Row],[tasks_completed]]/Table1_1[[#This Row],[monthly_hours_worked]]</f>
        <v>2.4813895781637719E-2</v>
      </c>
    </row>
    <row r="5" spans="1:18" x14ac:dyDescent="0.3">
      <c r="A5" t="s">
        <v>16</v>
      </c>
      <c r="B5" t="s">
        <v>17</v>
      </c>
      <c r="C5" t="s">
        <v>18</v>
      </c>
      <c r="D5" t="s">
        <v>29</v>
      </c>
      <c r="E5">
        <v>6</v>
      </c>
      <c r="F5">
        <v>163.19999999999999</v>
      </c>
      <c r="G5">
        <v>88</v>
      </c>
      <c r="H5">
        <v>0.6</v>
      </c>
      <c r="I5">
        <v>12</v>
      </c>
      <c r="J5">
        <v>5.93</v>
      </c>
      <c r="K5">
        <v>5.31</v>
      </c>
      <c r="L5">
        <v>0</v>
      </c>
      <c r="M5" t="s">
        <v>25</v>
      </c>
      <c r="N5" t="s">
        <v>26</v>
      </c>
      <c r="O5">
        <v>10.69</v>
      </c>
      <c r="P5" s="1">
        <v>45352</v>
      </c>
      <c r="Q5" t="str">
        <f t="shared" si="0"/>
        <v>Medium Performance</v>
      </c>
      <c r="R5" s="2">
        <f>Table1_1[[#This Row],[tasks_completed]]/Table1_1[[#This Row],[monthly_hours_worked]]</f>
        <v>7.3529411764705885E-2</v>
      </c>
    </row>
    <row r="6" spans="1:18" x14ac:dyDescent="0.3">
      <c r="A6" t="s">
        <v>16</v>
      </c>
      <c r="B6" t="s">
        <v>27</v>
      </c>
      <c r="C6" t="s">
        <v>18</v>
      </c>
      <c r="D6" t="s">
        <v>19</v>
      </c>
      <c r="E6">
        <v>9</v>
      </c>
      <c r="F6">
        <v>153.19999999999999</v>
      </c>
      <c r="G6">
        <v>98.1</v>
      </c>
      <c r="I6">
        <v>3</v>
      </c>
      <c r="J6">
        <v>8.9</v>
      </c>
      <c r="K6">
        <v>7.66</v>
      </c>
      <c r="L6">
        <v>0</v>
      </c>
      <c r="M6" t="s">
        <v>25</v>
      </c>
      <c r="N6" t="s">
        <v>26</v>
      </c>
      <c r="O6">
        <v>18.920000000000002</v>
      </c>
      <c r="P6" s="1">
        <v>45383</v>
      </c>
      <c r="Q6" t="str">
        <f t="shared" si="0"/>
        <v>High Performance</v>
      </c>
      <c r="R6" s="2">
        <f>Table1_1[[#This Row],[tasks_completed]]/Table1_1[[#This Row],[monthly_hours_worked]]</f>
        <v>1.95822454308094E-2</v>
      </c>
    </row>
    <row r="7" spans="1:18" x14ac:dyDescent="0.3">
      <c r="A7" t="s">
        <v>16</v>
      </c>
      <c r="B7" t="s">
        <v>27</v>
      </c>
      <c r="C7" t="s">
        <v>31</v>
      </c>
      <c r="D7" t="s">
        <v>29</v>
      </c>
      <c r="E7">
        <v>7</v>
      </c>
      <c r="F7">
        <v>148.9</v>
      </c>
      <c r="G7">
        <v>89</v>
      </c>
      <c r="H7">
        <v>6.6</v>
      </c>
      <c r="I7">
        <v>9</v>
      </c>
      <c r="J7">
        <v>9.5299999999999994</v>
      </c>
      <c r="K7">
        <v>7.17</v>
      </c>
      <c r="L7">
        <v>0</v>
      </c>
      <c r="M7" t="s">
        <v>20</v>
      </c>
      <c r="N7" t="s">
        <v>26</v>
      </c>
      <c r="O7">
        <v>12.73</v>
      </c>
      <c r="P7" s="1">
        <v>45413</v>
      </c>
      <c r="Q7" t="str">
        <f t="shared" si="0"/>
        <v>Medium Performance</v>
      </c>
      <c r="R7" s="2">
        <f>Table1_1[[#This Row],[tasks_completed]]/Table1_1[[#This Row],[monthly_hours_worked]]</f>
        <v>6.044325050369375E-2</v>
      </c>
    </row>
    <row r="8" spans="1:18" x14ac:dyDescent="0.3">
      <c r="A8" t="s">
        <v>16</v>
      </c>
      <c r="B8" t="s">
        <v>33</v>
      </c>
      <c r="C8" t="s">
        <v>18</v>
      </c>
      <c r="D8" t="s">
        <v>29</v>
      </c>
      <c r="E8">
        <v>4</v>
      </c>
      <c r="F8">
        <v>157.80000000000001</v>
      </c>
      <c r="G8">
        <v>96.8</v>
      </c>
      <c r="H8">
        <v>8</v>
      </c>
      <c r="I8">
        <v>3</v>
      </c>
      <c r="J8">
        <v>6.72</v>
      </c>
      <c r="K8">
        <v>8.83</v>
      </c>
      <c r="L8">
        <v>1</v>
      </c>
      <c r="M8" t="s">
        <v>34</v>
      </c>
      <c r="N8" t="s">
        <v>35</v>
      </c>
      <c r="O8">
        <v>15.25</v>
      </c>
      <c r="P8" s="1">
        <v>45444</v>
      </c>
      <c r="Q8" t="str">
        <f t="shared" si="0"/>
        <v>High Performance</v>
      </c>
      <c r="R8" s="2">
        <f>Table1_1[[#This Row],[tasks_completed]]/Table1_1[[#This Row],[monthly_hours_worked]]</f>
        <v>1.9011406844106463E-2</v>
      </c>
    </row>
    <row r="9" spans="1:18" x14ac:dyDescent="0.3">
      <c r="A9" t="s">
        <v>16</v>
      </c>
      <c r="B9" t="s">
        <v>33</v>
      </c>
      <c r="C9" t="s">
        <v>37</v>
      </c>
      <c r="D9" t="s">
        <v>29</v>
      </c>
      <c r="E9">
        <v>4</v>
      </c>
      <c r="F9">
        <v>161</v>
      </c>
      <c r="G9">
        <v>99.8</v>
      </c>
      <c r="H9">
        <v>3.6</v>
      </c>
      <c r="I9">
        <v>4</v>
      </c>
      <c r="J9">
        <v>7.01</v>
      </c>
      <c r="K9">
        <v>1.69</v>
      </c>
      <c r="L9">
        <v>0</v>
      </c>
      <c r="M9" t="s">
        <v>25</v>
      </c>
      <c r="N9" t="s">
        <v>35</v>
      </c>
      <c r="O9">
        <v>14.38</v>
      </c>
      <c r="P9" s="1">
        <v>45474</v>
      </c>
      <c r="Q9" t="str">
        <f t="shared" si="0"/>
        <v>Medium Performance</v>
      </c>
      <c r="R9" s="2">
        <f>Table1_1[[#This Row],[tasks_completed]]/Table1_1[[#This Row],[monthly_hours_worked]]</f>
        <v>2.4844720496894408E-2</v>
      </c>
    </row>
    <row r="10" spans="1:18" x14ac:dyDescent="0.3">
      <c r="A10" t="s">
        <v>16</v>
      </c>
      <c r="B10" t="s">
        <v>17</v>
      </c>
      <c r="C10" t="s">
        <v>18</v>
      </c>
      <c r="D10" t="s">
        <v>39</v>
      </c>
      <c r="E10">
        <v>3</v>
      </c>
      <c r="F10">
        <v>150.9</v>
      </c>
      <c r="G10">
        <v>90.9</v>
      </c>
      <c r="H10">
        <v>4</v>
      </c>
      <c r="I10">
        <v>4</v>
      </c>
      <c r="J10">
        <v>6.65</v>
      </c>
      <c r="K10">
        <v>9.17</v>
      </c>
      <c r="L10">
        <v>0</v>
      </c>
      <c r="M10" t="s">
        <v>25</v>
      </c>
      <c r="N10" t="s">
        <v>35</v>
      </c>
      <c r="O10">
        <v>17.84</v>
      </c>
      <c r="P10" s="1">
        <v>45505</v>
      </c>
      <c r="Q10" t="str">
        <f t="shared" si="0"/>
        <v>High Performance</v>
      </c>
      <c r="R10" s="2">
        <f>Table1_1[[#This Row],[tasks_completed]]/Table1_1[[#This Row],[monthly_hours_worked]]</f>
        <v>2.6507620941020542E-2</v>
      </c>
    </row>
    <row r="11" spans="1:18" x14ac:dyDescent="0.3">
      <c r="A11" t="s">
        <v>16</v>
      </c>
      <c r="B11" t="s">
        <v>33</v>
      </c>
      <c r="C11" t="s">
        <v>41</v>
      </c>
      <c r="D11" t="s">
        <v>39</v>
      </c>
      <c r="E11">
        <v>8</v>
      </c>
      <c r="F11">
        <v>161</v>
      </c>
      <c r="G11">
        <v>92.8</v>
      </c>
      <c r="H11">
        <v>3.7</v>
      </c>
      <c r="I11">
        <v>6</v>
      </c>
      <c r="J11">
        <v>7.51</v>
      </c>
      <c r="K11">
        <v>9.2899999999999991</v>
      </c>
      <c r="L11">
        <v>0</v>
      </c>
      <c r="M11" t="s">
        <v>25</v>
      </c>
      <c r="N11" t="s">
        <v>26</v>
      </c>
      <c r="O11">
        <v>17.53</v>
      </c>
      <c r="P11" s="1">
        <v>45536</v>
      </c>
      <c r="Q11" t="str">
        <f t="shared" si="0"/>
        <v>High Performance</v>
      </c>
      <c r="R11" s="2">
        <f>Table1_1[[#This Row],[tasks_completed]]/Table1_1[[#This Row],[monthly_hours_worked]]</f>
        <v>3.7267080745341616E-2</v>
      </c>
    </row>
    <row r="12" spans="1:18" x14ac:dyDescent="0.3">
      <c r="A12" t="s">
        <v>16</v>
      </c>
      <c r="B12" t="s">
        <v>43</v>
      </c>
      <c r="C12" t="s">
        <v>41</v>
      </c>
      <c r="D12" t="s">
        <v>29</v>
      </c>
      <c r="E12">
        <v>6</v>
      </c>
      <c r="F12">
        <v>174</v>
      </c>
      <c r="G12">
        <v>88</v>
      </c>
      <c r="H12">
        <v>6.2</v>
      </c>
      <c r="I12">
        <v>4</v>
      </c>
      <c r="J12">
        <v>10</v>
      </c>
      <c r="K12">
        <v>10</v>
      </c>
      <c r="L12">
        <v>0</v>
      </c>
      <c r="M12" t="s">
        <v>20</v>
      </c>
      <c r="N12" t="s">
        <v>21</v>
      </c>
      <c r="O12">
        <v>17.88</v>
      </c>
      <c r="P12" s="1">
        <v>45566</v>
      </c>
      <c r="Q12" t="str">
        <f t="shared" si="0"/>
        <v>High Performance</v>
      </c>
      <c r="R12" s="2">
        <f>Table1_1[[#This Row],[tasks_completed]]/Table1_1[[#This Row],[monthly_hours_worked]]</f>
        <v>2.2988505747126436E-2</v>
      </c>
    </row>
    <row r="13" spans="1:18" x14ac:dyDescent="0.3">
      <c r="A13" t="s">
        <v>16</v>
      </c>
      <c r="B13" t="s">
        <v>27</v>
      </c>
      <c r="C13" t="s">
        <v>37</v>
      </c>
      <c r="D13" t="s">
        <v>19</v>
      </c>
      <c r="E13">
        <v>3</v>
      </c>
      <c r="F13">
        <v>154.6</v>
      </c>
      <c r="G13">
        <v>100</v>
      </c>
      <c r="H13">
        <v>5.9</v>
      </c>
      <c r="I13">
        <v>7</v>
      </c>
      <c r="J13">
        <v>3.8</v>
      </c>
      <c r="K13">
        <v>7.03</v>
      </c>
      <c r="L13">
        <v>0</v>
      </c>
      <c r="M13" t="s">
        <v>34</v>
      </c>
      <c r="N13" t="s">
        <v>35</v>
      </c>
      <c r="O13">
        <v>15.65</v>
      </c>
      <c r="P13" s="1">
        <v>45597</v>
      </c>
      <c r="Q13" t="str">
        <f t="shared" si="0"/>
        <v>High Performance</v>
      </c>
      <c r="R13" s="2">
        <f>Table1_1[[#This Row],[tasks_completed]]/Table1_1[[#This Row],[monthly_hours_worked]]</f>
        <v>4.5278137128072445E-2</v>
      </c>
    </row>
    <row r="14" spans="1:18" x14ac:dyDescent="0.3">
      <c r="A14" t="s">
        <v>46</v>
      </c>
      <c r="B14" t="s">
        <v>27</v>
      </c>
      <c r="C14" t="s">
        <v>24</v>
      </c>
      <c r="D14" t="s">
        <v>19</v>
      </c>
      <c r="E14">
        <v>1</v>
      </c>
      <c r="F14">
        <v>162.6</v>
      </c>
      <c r="G14">
        <v>98.9</v>
      </c>
      <c r="H14">
        <v>2.5</v>
      </c>
      <c r="I14">
        <v>8</v>
      </c>
      <c r="J14">
        <v>5.52</v>
      </c>
      <c r="K14">
        <v>7.35</v>
      </c>
      <c r="L14">
        <v>1</v>
      </c>
      <c r="M14" t="s">
        <v>25</v>
      </c>
      <c r="N14" t="s">
        <v>21</v>
      </c>
      <c r="O14">
        <v>7.64</v>
      </c>
      <c r="P14" s="1">
        <v>45292</v>
      </c>
      <c r="Q14" t="str">
        <f t="shared" si="0"/>
        <v>Low Performance</v>
      </c>
      <c r="R14" s="2">
        <f>Table1_1[[#This Row],[tasks_completed]]/Table1_1[[#This Row],[monthly_hours_worked]]</f>
        <v>4.9200492004920049E-2</v>
      </c>
    </row>
    <row r="15" spans="1:18" x14ac:dyDescent="0.3">
      <c r="A15" t="s">
        <v>46</v>
      </c>
      <c r="B15" t="s">
        <v>23</v>
      </c>
      <c r="C15" t="s">
        <v>37</v>
      </c>
      <c r="D15" t="s">
        <v>29</v>
      </c>
      <c r="E15">
        <v>9</v>
      </c>
      <c r="F15">
        <v>146.69999999999999</v>
      </c>
      <c r="G15">
        <v>94.9</v>
      </c>
      <c r="H15">
        <v>7.7</v>
      </c>
      <c r="I15">
        <v>10</v>
      </c>
      <c r="J15">
        <v>6.4</v>
      </c>
      <c r="K15">
        <v>9.6</v>
      </c>
      <c r="L15">
        <v>1</v>
      </c>
      <c r="M15" t="s">
        <v>25</v>
      </c>
      <c r="N15" t="s">
        <v>21</v>
      </c>
      <c r="O15">
        <v>8.39</v>
      </c>
      <c r="P15" s="1">
        <v>45292</v>
      </c>
      <c r="Q15" t="str">
        <f t="shared" si="0"/>
        <v>Low Performance</v>
      </c>
      <c r="R15" s="2">
        <f>Table1_1[[#This Row],[tasks_completed]]/Table1_1[[#This Row],[monthly_hours_worked]]</f>
        <v>6.8166325835037497E-2</v>
      </c>
    </row>
    <row r="16" spans="1:18" x14ac:dyDescent="0.3">
      <c r="A16" t="s">
        <v>46</v>
      </c>
      <c r="B16" t="s">
        <v>43</v>
      </c>
      <c r="C16" t="s">
        <v>37</v>
      </c>
      <c r="D16" t="s">
        <v>39</v>
      </c>
      <c r="E16">
        <v>1</v>
      </c>
      <c r="F16">
        <v>166.3</v>
      </c>
      <c r="G16">
        <v>90.7</v>
      </c>
      <c r="H16">
        <v>2.9</v>
      </c>
      <c r="I16">
        <v>6</v>
      </c>
      <c r="J16">
        <v>8.2200000000000006</v>
      </c>
      <c r="K16">
        <v>6.1</v>
      </c>
      <c r="L16">
        <v>0</v>
      </c>
      <c r="M16" t="s">
        <v>34</v>
      </c>
      <c r="N16" t="s">
        <v>35</v>
      </c>
      <c r="O16">
        <v>16.64</v>
      </c>
      <c r="P16" s="1">
        <v>45352</v>
      </c>
      <c r="Q16" t="str">
        <f t="shared" si="0"/>
        <v>High Performance</v>
      </c>
      <c r="R16" s="2">
        <f>Table1_1[[#This Row],[tasks_completed]]/Table1_1[[#This Row],[monthly_hours_worked]]</f>
        <v>3.6079374624173176E-2</v>
      </c>
    </row>
    <row r="17" spans="1:18" x14ac:dyDescent="0.3">
      <c r="A17" t="s">
        <v>46</v>
      </c>
      <c r="B17" t="s">
        <v>23</v>
      </c>
      <c r="C17" t="s">
        <v>37</v>
      </c>
      <c r="D17" t="s">
        <v>39</v>
      </c>
      <c r="E17">
        <v>7</v>
      </c>
      <c r="F17">
        <v>158.9</v>
      </c>
      <c r="G17">
        <v>86.3</v>
      </c>
      <c r="H17">
        <v>2.2999999999999998</v>
      </c>
      <c r="I17">
        <v>6</v>
      </c>
      <c r="J17">
        <v>5.07</v>
      </c>
      <c r="K17">
        <v>4.95</v>
      </c>
      <c r="L17">
        <v>1</v>
      </c>
      <c r="M17" t="s">
        <v>25</v>
      </c>
      <c r="N17" t="s">
        <v>26</v>
      </c>
      <c r="O17">
        <v>5.99</v>
      </c>
      <c r="P17" s="1">
        <v>45352</v>
      </c>
      <c r="Q17" t="str">
        <f t="shared" si="0"/>
        <v>Low Performance</v>
      </c>
      <c r="R17" s="2">
        <f>Table1_1[[#This Row],[tasks_completed]]/Table1_1[[#This Row],[monthly_hours_worked]]</f>
        <v>3.7759597230962866E-2</v>
      </c>
    </row>
    <row r="18" spans="1:18" x14ac:dyDescent="0.3">
      <c r="A18" t="s">
        <v>46</v>
      </c>
      <c r="B18" t="s">
        <v>33</v>
      </c>
      <c r="C18" t="s">
        <v>18</v>
      </c>
      <c r="D18" t="s">
        <v>19</v>
      </c>
      <c r="E18">
        <v>9</v>
      </c>
      <c r="F18">
        <v>150.4</v>
      </c>
      <c r="G18">
        <v>100</v>
      </c>
      <c r="H18">
        <v>6.8</v>
      </c>
      <c r="I18">
        <v>12</v>
      </c>
      <c r="J18">
        <v>6.59</v>
      </c>
      <c r="K18">
        <v>6.03</v>
      </c>
      <c r="L18">
        <v>0</v>
      </c>
      <c r="M18" t="s">
        <v>34</v>
      </c>
      <c r="N18" t="s">
        <v>21</v>
      </c>
      <c r="O18">
        <v>15.83</v>
      </c>
      <c r="P18" s="1">
        <v>45383</v>
      </c>
      <c r="Q18" t="str">
        <f t="shared" si="0"/>
        <v>High Performance</v>
      </c>
      <c r="R18" s="2">
        <f>Table1_1[[#This Row],[tasks_completed]]/Table1_1[[#This Row],[monthly_hours_worked]]</f>
        <v>7.9787234042553182E-2</v>
      </c>
    </row>
    <row r="19" spans="1:18" x14ac:dyDescent="0.3">
      <c r="A19" t="s">
        <v>46</v>
      </c>
      <c r="B19" t="s">
        <v>27</v>
      </c>
      <c r="C19" t="s">
        <v>24</v>
      </c>
      <c r="D19" t="s">
        <v>29</v>
      </c>
      <c r="E19">
        <v>6</v>
      </c>
      <c r="F19">
        <v>155.9</v>
      </c>
      <c r="G19">
        <v>95.4</v>
      </c>
      <c r="H19">
        <v>3.2</v>
      </c>
      <c r="I19">
        <v>5</v>
      </c>
      <c r="J19">
        <v>7</v>
      </c>
      <c r="K19">
        <v>10</v>
      </c>
      <c r="L19">
        <v>0</v>
      </c>
      <c r="M19" t="s">
        <v>20</v>
      </c>
      <c r="N19" t="s">
        <v>35</v>
      </c>
      <c r="O19">
        <v>22.93</v>
      </c>
      <c r="P19" s="1">
        <v>45413</v>
      </c>
      <c r="Q19" t="str">
        <f t="shared" si="0"/>
        <v>High Performance</v>
      </c>
      <c r="R19" s="2">
        <f>Table1_1[[#This Row],[tasks_completed]]/Table1_1[[#This Row],[monthly_hours_worked]]</f>
        <v>3.2071840923669021E-2</v>
      </c>
    </row>
    <row r="20" spans="1:18" x14ac:dyDescent="0.3">
      <c r="A20" t="s">
        <v>46</v>
      </c>
      <c r="B20" t="s">
        <v>33</v>
      </c>
      <c r="C20" t="s">
        <v>41</v>
      </c>
      <c r="D20" t="s">
        <v>29</v>
      </c>
      <c r="E20">
        <v>4</v>
      </c>
      <c r="F20">
        <v>146.9</v>
      </c>
      <c r="G20">
        <v>85</v>
      </c>
      <c r="H20">
        <v>3.3</v>
      </c>
      <c r="I20">
        <v>4</v>
      </c>
      <c r="J20">
        <v>8.76</v>
      </c>
      <c r="K20">
        <v>6.77</v>
      </c>
      <c r="L20">
        <v>0</v>
      </c>
      <c r="M20" t="s">
        <v>34</v>
      </c>
      <c r="N20" t="s">
        <v>35</v>
      </c>
      <c r="O20">
        <v>16.32</v>
      </c>
      <c r="P20" s="1">
        <v>45444</v>
      </c>
      <c r="Q20" t="str">
        <f t="shared" si="0"/>
        <v>High Performance</v>
      </c>
      <c r="R20" s="2">
        <f>Table1_1[[#This Row],[tasks_completed]]/Table1_1[[#This Row],[monthly_hours_worked]]</f>
        <v>2.722940776038121E-2</v>
      </c>
    </row>
    <row r="21" spans="1:18" x14ac:dyDescent="0.3">
      <c r="A21" t="s">
        <v>46</v>
      </c>
      <c r="B21" t="s">
        <v>17</v>
      </c>
      <c r="C21" t="s">
        <v>24</v>
      </c>
      <c r="D21" t="s">
        <v>29</v>
      </c>
      <c r="E21">
        <v>6</v>
      </c>
      <c r="F21">
        <v>169.5</v>
      </c>
      <c r="G21">
        <v>100</v>
      </c>
      <c r="I21">
        <v>5</v>
      </c>
      <c r="J21">
        <v>9.98</v>
      </c>
      <c r="K21">
        <v>6.53</v>
      </c>
      <c r="L21">
        <v>0</v>
      </c>
      <c r="M21" t="s">
        <v>20</v>
      </c>
      <c r="N21" t="s">
        <v>35</v>
      </c>
      <c r="O21">
        <v>23.71</v>
      </c>
      <c r="P21" s="1">
        <v>45474</v>
      </c>
      <c r="Q21" t="str">
        <f t="shared" si="0"/>
        <v>High Performance</v>
      </c>
      <c r="R21" s="2">
        <f>Table1_1[[#This Row],[tasks_completed]]/Table1_1[[#This Row],[monthly_hours_worked]]</f>
        <v>2.9498525073746312E-2</v>
      </c>
    </row>
    <row r="22" spans="1:18" x14ac:dyDescent="0.3">
      <c r="A22" t="s">
        <v>46</v>
      </c>
      <c r="B22" t="s">
        <v>33</v>
      </c>
      <c r="C22" t="s">
        <v>18</v>
      </c>
      <c r="D22" t="s">
        <v>29</v>
      </c>
      <c r="E22">
        <v>5</v>
      </c>
      <c r="F22">
        <v>147.1</v>
      </c>
      <c r="G22">
        <v>94.5</v>
      </c>
      <c r="H22">
        <v>1</v>
      </c>
      <c r="I22">
        <v>5</v>
      </c>
      <c r="J22">
        <v>5.55</v>
      </c>
      <c r="K22">
        <v>7.81</v>
      </c>
      <c r="L22">
        <v>0</v>
      </c>
      <c r="M22" t="s">
        <v>34</v>
      </c>
      <c r="N22" t="s">
        <v>26</v>
      </c>
      <c r="O22">
        <v>17.350000000000001</v>
      </c>
      <c r="P22" s="1">
        <v>45505</v>
      </c>
      <c r="Q22" t="str">
        <f t="shared" si="0"/>
        <v>High Performance</v>
      </c>
      <c r="R22" s="2">
        <f>Table1_1[[#This Row],[tasks_completed]]/Table1_1[[#This Row],[monthly_hours_worked]]</f>
        <v>3.3990482664853841E-2</v>
      </c>
    </row>
    <row r="23" spans="1:18" x14ac:dyDescent="0.3">
      <c r="A23" t="s">
        <v>46</v>
      </c>
      <c r="B23" t="s">
        <v>33</v>
      </c>
      <c r="C23" t="s">
        <v>24</v>
      </c>
      <c r="D23" t="s">
        <v>19</v>
      </c>
      <c r="E23">
        <v>8</v>
      </c>
      <c r="F23">
        <v>163.4</v>
      </c>
      <c r="G23">
        <v>99.6</v>
      </c>
      <c r="H23">
        <v>6.2</v>
      </c>
      <c r="I23">
        <v>8</v>
      </c>
      <c r="J23">
        <v>9.0500000000000007</v>
      </c>
      <c r="K23">
        <v>5.91</v>
      </c>
      <c r="L23">
        <v>0</v>
      </c>
      <c r="M23" t="s">
        <v>20</v>
      </c>
      <c r="N23" t="s">
        <v>35</v>
      </c>
      <c r="O23">
        <v>8.49</v>
      </c>
      <c r="P23" s="1">
        <v>45536</v>
      </c>
      <c r="Q23" t="str">
        <f t="shared" si="0"/>
        <v>Low Performance</v>
      </c>
      <c r="R23" s="2">
        <f>Table1_1[[#This Row],[tasks_completed]]/Table1_1[[#This Row],[monthly_hours_worked]]</f>
        <v>4.8959608323133411E-2</v>
      </c>
    </row>
    <row r="24" spans="1:18" x14ac:dyDescent="0.3">
      <c r="A24" t="s">
        <v>46</v>
      </c>
      <c r="B24" t="s">
        <v>43</v>
      </c>
      <c r="C24" t="s">
        <v>24</v>
      </c>
      <c r="D24" t="s">
        <v>39</v>
      </c>
      <c r="E24">
        <v>2</v>
      </c>
      <c r="F24">
        <v>155.1</v>
      </c>
      <c r="G24">
        <v>96</v>
      </c>
      <c r="H24">
        <v>6.8</v>
      </c>
      <c r="I24">
        <v>3</v>
      </c>
      <c r="J24">
        <v>6.8</v>
      </c>
      <c r="K24">
        <v>8.9</v>
      </c>
      <c r="L24">
        <v>1</v>
      </c>
      <c r="M24" t="s">
        <v>25</v>
      </c>
      <c r="N24" t="s">
        <v>21</v>
      </c>
      <c r="O24">
        <v>20.6</v>
      </c>
      <c r="P24" s="1">
        <v>45566</v>
      </c>
      <c r="Q24" t="str">
        <f t="shared" si="0"/>
        <v>High Performance</v>
      </c>
      <c r="R24" s="2">
        <f>Table1_1[[#This Row],[tasks_completed]]/Table1_1[[#This Row],[monthly_hours_worked]]</f>
        <v>1.9342359767891684E-2</v>
      </c>
    </row>
    <row r="25" spans="1:18" x14ac:dyDescent="0.3">
      <c r="A25" t="s">
        <v>46</v>
      </c>
      <c r="B25" t="s">
        <v>27</v>
      </c>
      <c r="C25" t="s">
        <v>41</v>
      </c>
      <c r="D25" t="s">
        <v>39</v>
      </c>
      <c r="E25">
        <v>4</v>
      </c>
      <c r="F25">
        <v>164.5</v>
      </c>
      <c r="G25">
        <v>94.6</v>
      </c>
      <c r="H25">
        <v>0.6</v>
      </c>
      <c r="I25">
        <v>7</v>
      </c>
      <c r="J25">
        <v>9.58</v>
      </c>
      <c r="K25">
        <v>8.5299999999999994</v>
      </c>
      <c r="L25">
        <v>1</v>
      </c>
      <c r="M25" t="s">
        <v>34</v>
      </c>
      <c r="N25" t="s">
        <v>26</v>
      </c>
      <c r="O25">
        <v>8.2799999999999994</v>
      </c>
      <c r="P25" s="1">
        <v>45597</v>
      </c>
      <c r="Q25" t="str">
        <f t="shared" si="0"/>
        <v>Low Performance</v>
      </c>
      <c r="R25" s="2">
        <f>Table1_1[[#This Row],[tasks_completed]]/Table1_1[[#This Row],[monthly_hours_worked]]</f>
        <v>4.2553191489361701E-2</v>
      </c>
    </row>
    <row r="26" spans="1:18" x14ac:dyDescent="0.3">
      <c r="A26" t="s">
        <v>47</v>
      </c>
      <c r="B26" t="s">
        <v>43</v>
      </c>
      <c r="C26" t="s">
        <v>41</v>
      </c>
      <c r="D26" t="s">
        <v>39</v>
      </c>
      <c r="E26">
        <v>3</v>
      </c>
      <c r="F26">
        <v>173.1</v>
      </c>
      <c r="G26">
        <v>95.1</v>
      </c>
      <c r="H26">
        <v>6.4</v>
      </c>
      <c r="I26">
        <v>3</v>
      </c>
      <c r="J26">
        <v>7.03</v>
      </c>
      <c r="K26">
        <v>7.65</v>
      </c>
      <c r="L26">
        <v>1</v>
      </c>
      <c r="M26" t="s">
        <v>20</v>
      </c>
      <c r="N26" t="s">
        <v>21</v>
      </c>
      <c r="O26">
        <v>12.45</v>
      </c>
      <c r="P26" s="1">
        <v>45292</v>
      </c>
      <c r="Q26" t="str">
        <f t="shared" si="0"/>
        <v>Medium Performance</v>
      </c>
      <c r="R26" s="2">
        <f>Table1_1[[#This Row],[tasks_completed]]/Table1_1[[#This Row],[monthly_hours_worked]]</f>
        <v>1.7331022530329289E-2</v>
      </c>
    </row>
    <row r="27" spans="1:18" x14ac:dyDescent="0.3">
      <c r="A27" t="s">
        <v>47</v>
      </c>
      <c r="B27" t="s">
        <v>23</v>
      </c>
      <c r="C27" t="s">
        <v>41</v>
      </c>
      <c r="D27" t="s">
        <v>39</v>
      </c>
      <c r="E27">
        <v>3</v>
      </c>
      <c r="F27">
        <v>151.5</v>
      </c>
      <c r="G27">
        <v>94.9</v>
      </c>
      <c r="H27">
        <v>5.4</v>
      </c>
      <c r="I27">
        <v>8</v>
      </c>
      <c r="J27">
        <v>6.29</v>
      </c>
      <c r="K27">
        <v>7.65</v>
      </c>
      <c r="L27">
        <v>1</v>
      </c>
      <c r="M27" t="s">
        <v>25</v>
      </c>
      <c r="N27" t="s">
        <v>21</v>
      </c>
      <c r="O27">
        <v>22.25</v>
      </c>
      <c r="P27" s="1">
        <v>45292</v>
      </c>
      <c r="Q27" t="str">
        <f t="shared" si="0"/>
        <v>High Performance</v>
      </c>
      <c r="R27" s="2">
        <f>Table1_1[[#This Row],[tasks_completed]]/Table1_1[[#This Row],[monthly_hours_worked]]</f>
        <v>5.2805280528052806E-2</v>
      </c>
    </row>
    <row r="28" spans="1:18" x14ac:dyDescent="0.3">
      <c r="A28" t="s">
        <v>47</v>
      </c>
      <c r="B28" t="s">
        <v>17</v>
      </c>
      <c r="C28" t="s">
        <v>24</v>
      </c>
      <c r="D28" t="s">
        <v>19</v>
      </c>
      <c r="E28">
        <v>9</v>
      </c>
      <c r="F28">
        <v>166.1</v>
      </c>
      <c r="G28">
        <v>100</v>
      </c>
      <c r="H28">
        <v>4.0999999999999996</v>
      </c>
      <c r="I28">
        <v>5</v>
      </c>
      <c r="J28">
        <v>7.81</v>
      </c>
      <c r="K28">
        <v>9.31</v>
      </c>
      <c r="L28">
        <v>1</v>
      </c>
      <c r="M28" t="s">
        <v>25</v>
      </c>
      <c r="N28" t="s">
        <v>26</v>
      </c>
      <c r="O28">
        <v>12.04</v>
      </c>
      <c r="P28" s="1">
        <v>45352</v>
      </c>
      <c r="Q28" t="str">
        <f t="shared" si="0"/>
        <v>Medium Performance</v>
      </c>
      <c r="R28" s="2">
        <f>Table1_1[[#This Row],[tasks_completed]]/Table1_1[[#This Row],[monthly_hours_worked]]</f>
        <v>3.0102347983142687E-2</v>
      </c>
    </row>
    <row r="29" spans="1:18" x14ac:dyDescent="0.3">
      <c r="A29" t="s">
        <v>47</v>
      </c>
      <c r="B29" t="s">
        <v>43</v>
      </c>
      <c r="C29" t="s">
        <v>41</v>
      </c>
      <c r="D29" t="s">
        <v>29</v>
      </c>
      <c r="E29">
        <v>9</v>
      </c>
      <c r="F29">
        <v>142.6</v>
      </c>
      <c r="G29">
        <v>100</v>
      </c>
      <c r="H29">
        <v>4.7</v>
      </c>
      <c r="I29">
        <v>5</v>
      </c>
      <c r="J29">
        <v>10</v>
      </c>
      <c r="K29">
        <v>9.89</v>
      </c>
      <c r="L29">
        <v>1</v>
      </c>
      <c r="M29" t="s">
        <v>20</v>
      </c>
      <c r="N29" t="s">
        <v>35</v>
      </c>
      <c r="O29">
        <v>5.33</v>
      </c>
      <c r="P29" s="1">
        <v>45352</v>
      </c>
      <c r="Q29" t="str">
        <f t="shared" si="0"/>
        <v>Low Performance</v>
      </c>
      <c r="R29" s="2">
        <f>Table1_1[[#This Row],[tasks_completed]]/Table1_1[[#This Row],[monthly_hours_worked]]</f>
        <v>3.5063113604488078E-2</v>
      </c>
    </row>
    <row r="30" spans="1:18" x14ac:dyDescent="0.3">
      <c r="A30" t="s">
        <v>47</v>
      </c>
      <c r="B30" t="s">
        <v>27</v>
      </c>
      <c r="C30" t="s">
        <v>31</v>
      </c>
      <c r="D30" t="s">
        <v>19</v>
      </c>
      <c r="E30">
        <v>8</v>
      </c>
      <c r="F30">
        <v>163.19999999999999</v>
      </c>
      <c r="G30">
        <v>90.9</v>
      </c>
      <c r="H30">
        <v>6</v>
      </c>
      <c r="I30">
        <v>6</v>
      </c>
      <c r="J30">
        <v>9.8000000000000007</v>
      </c>
      <c r="K30">
        <v>7.14</v>
      </c>
      <c r="L30">
        <v>2</v>
      </c>
      <c r="M30" t="s">
        <v>20</v>
      </c>
      <c r="N30" t="s">
        <v>26</v>
      </c>
      <c r="O30">
        <v>18.75</v>
      </c>
      <c r="P30" s="1">
        <v>45383</v>
      </c>
      <c r="Q30" t="str">
        <f t="shared" si="0"/>
        <v>High Performance</v>
      </c>
      <c r="R30" s="2">
        <f>Table1_1[[#This Row],[tasks_completed]]/Table1_1[[#This Row],[monthly_hours_worked]]</f>
        <v>3.6764705882352942E-2</v>
      </c>
    </row>
    <row r="31" spans="1:18" x14ac:dyDescent="0.3">
      <c r="A31" t="s">
        <v>47</v>
      </c>
      <c r="B31" t="s">
        <v>17</v>
      </c>
      <c r="C31" t="s">
        <v>18</v>
      </c>
      <c r="D31" t="s">
        <v>19</v>
      </c>
      <c r="E31">
        <v>5</v>
      </c>
      <c r="F31">
        <v>168.4</v>
      </c>
      <c r="G31">
        <v>89.7</v>
      </c>
      <c r="H31">
        <v>3.6</v>
      </c>
      <c r="I31">
        <v>8</v>
      </c>
      <c r="J31">
        <v>6.05</v>
      </c>
      <c r="K31">
        <v>5.03</v>
      </c>
      <c r="L31">
        <v>1</v>
      </c>
      <c r="M31" t="s">
        <v>34</v>
      </c>
      <c r="N31" t="s">
        <v>35</v>
      </c>
      <c r="O31">
        <v>10.38</v>
      </c>
      <c r="P31" s="1">
        <v>45413</v>
      </c>
      <c r="Q31" t="str">
        <f t="shared" si="0"/>
        <v>Medium Performance</v>
      </c>
      <c r="R31" s="2">
        <f>Table1_1[[#This Row],[tasks_completed]]/Table1_1[[#This Row],[monthly_hours_worked]]</f>
        <v>4.7505938242280284E-2</v>
      </c>
    </row>
    <row r="32" spans="1:18" x14ac:dyDescent="0.3">
      <c r="A32" t="s">
        <v>47</v>
      </c>
      <c r="B32" t="s">
        <v>33</v>
      </c>
      <c r="C32" t="s">
        <v>18</v>
      </c>
      <c r="D32" t="s">
        <v>39</v>
      </c>
      <c r="E32">
        <v>8</v>
      </c>
      <c r="F32">
        <v>170.3</v>
      </c>
      <c r="G32">
        <v>85.9</v>
      </c>
      <c r="H32">
        <v>1.2</v>
      </c>
      <c r="I32">
        <v>11</v>
      </c>
      <c r="J32">
        <v>8.0399999999999991</v>
      </c>
      <c r="K32">
        <v>6.85</v>
      </c>
      <c r="L32">
        <v>1</v>
      </c>
      <c r="M32" t="s">
        <v>20</v>
      </c>
      <c r="N32" t="s">
        <v>21</v>
      </c>
      <c r="O32">
        <v>12.14</v>
      </c>
      <c r="P32" s="1">
        <v>45444</v>
      </c>
      <c r="Q32" t="str">
        <f t="shared" si="0"/>
        <v>Medium Performance</v>
      </c>
      <c r="R32" s="2">
        <f>Table1_1[[#This Row],[tasks_completed]]/Table1_1[[#This Row],[monthly_hours_worked]]</f>
        <v>6.4591896652965344E-2</v>
      </c>
    </row>
    <row r="33" spans="1:18" x14ac:dyDescent="0.3">
      <c r="A33" t="s">
        <v>47</v>
      </c>
      <c r="B33" t="s">
        <v>43</v>
      </c>
      <c r="C33" t="s">
        <v>18</v>
      </c>
      <c r="D33" t="s">
        <v>19</v>
      </c>
      <c r="E33">
        <v>1</v>
      </c>
      <c r="F33">
        <v>173.7</v>
      </c>
      <c r="G33">
        <v>91.6</v>
      </c>
      <c r="H33">
        <v>7.3</v>
      </c>
      <c r="I33">
        <v>2</v>
      </c>
      <c r="J33">
        <v>6.94</v>
      </c>
      <c r="K33">
        <v>7.44</v>
      </c>
      <c r="L33">
        <v>0</v>
      </c>
      <c r="M33" t="s">
        <v>34</v>
      </c>
      <c r="N33" t="s">
        <v>35</v>
      </c>
      <c r="O33">
        <v>10.08</v>
      </c>
      <c r="P33" s="1">
        <v>45474</v>
      </c>
      <c r="Q33" t="str">
        <f t="shared" si="0"/>
        <v>Medium Performance</v>
      </c>
      <c r="R33" s="2">
        <f>Table1_1[[#This Row],[tasks_completed]]/Table1_1[[#This Row],[monthly_hours_worked]]</f>
        <v>1.1514104778353483E-2</v>
      </c>
    </row>
    <row r="34" spans="1:18" x14ac:dyDescent="0.3">
      <c r="A34" t="s">
        <v>47</v>
      </c>
      <c r="B34" t="s">
        <v>27</v>
      </c>
      <c r="C34" t="s">
        <v>24</v>
      </c>
      <c r="D34" t="s">
        <v>19</v>
      </c>
      <c r="E34">
        <v>5</v>
      </c>
      <c r="F34">
        <v>160.1</v>
      </c>
      <c r="G34">
        <v>95.2</v>
      </c>
      <c r="H34">
        <v>4.0999999999999996</v>
      </c>
      <c r="I34">
        <v>7</v>
      </c>
      <c r="J34">
        <v>8.43</v>
      </c>
      <c r="K34">
        <v>7.66</v>
      </c>
      <c r="L34">
        <v>0</v>
      </c>
      <c r="M34" t="s">
        <v>25</v>
      </c>
      <c r="N34" t="s">
        <v>26</v>
      </c>
      <c r="O34">
        <v>10.26</v>
      </c>
      <c r="P34" s="1">
        <v>45505</v>
      </c>
      <c r="Q34" t="str">
        <f t="shared" si="0"/>
        <v>Medium Performance</v>
      </c>
      <c r="R34" s="2">
        <f>Table1_1[[#This Row],[tasks_completed]]/Table1_1[[#This Row],[monthly_hours_worked]]</f>
        <v>4.3722673329169272E-2</v>
      </c>
    </row>
    <row r="35" spans="1:18" x14ac:dyDescent="0.3">
      <c r="A35" t="s">
        <v>47</v>
      </c>
      <c r="B35" t="s">
        <v>33</v>
      </c>
      <c r="C35" t="s">
        <v>41</v>
      </c>
      <c r="D35" t="s">
        <v>19</v>
      </c>
      <c r="E35">
        <v>6</v>
      </c>
      <c r="F35">
        <v>154.80000000000001</v>
      </c>
      <c r="G35">
        <v>99.5</v>
      </c>
      <c r="H35">
        <v>3.9</v>
      </c>
      <c r="I35">
        <v>10</v>
      </c>
      <c r="J35">
        <v>10</v>
      </c>
      <c r="K35">
        <v>7.72</v>
      </c>
      <c r="L35">
        <v>0</v>
      </c>
      <c r="M35" t="s">
        <v>25</v>
      </c>
      <c r="N35" t="s">
        <v>21</v>
      </c>
      <c r="O35">
        <v>23.88</v>
      </c>
      <c r="P35" s="1">
        <v>45536</v>
      </c>
      <c r="Q35" t="str">
        <f t="shared" si="0"/>
        <v>High Performance</v>
      </c>
      <c r="R35" s="2">
        <f>Table1_1[[#This Row],[tasks_completed]]/Table1_1[[#This Row],[monthly_hours_worked]]</f>
        <v>6.4599483204134361E-2</v>
      </c>
    </row>
    <row r="36" spans="1:18" x14ac:dyDescent="0.3">
      <c r="A36" t="s">
        <v>47</v>
      </c>
      <c r="B36" t="s">
        <v>33</v>
      </c>
      <c r="C36" t="s">
        <v>24</v>
      </c>
      <c r="D36" t="s">
        <v>19</v>
      </c>
      <c r="E36">
        <v>7</v>
      </c>
      <c r="F36">
        <v>179.1</v>
      </c>
      <c r="G36">
        <v>96.1</v>
      </c>
      <c r="H36">
        <v>4.5999999999999996</v>
      </c>
      <c r="I36">
        <v>3</v>
      </c>
      <c r="J36">
        <v>9.6300000000000008</v>
      </c>
      <c r="K36">
        <v>3.95</v>
      </c>
      <c r="L36">
        <v>0</v>
      </c>
      <c r="M36" t="s">
        <v>34</v>
      </c>
      <c r="N36" t="s">
        <v>21</v>
      </c>
      <c r="O36">
        <v>19.09</v>
      </c>
      <c r="P36" s="1">
        <v>45566</v>
      </c>
      <c r="Q36" t="str">
        <f t="shared" si="0"/>
        <v>High Performance</v>
      </c>
      <c r="R36" s="2">
        <f>Table1_1[[#This Row],[tasks_completed]]/Table1_1[[#This Row],[monthly_hours_worked]]</f>
        <v>1.6750418760469014E-2</v>
      </c>
    </row>
    <row r="37" spans="1:18" x14ac:dyDescent="0.3">
      <c r="A37" t="s">
        <v>47</v>
      </c>
      <c r="B37" t="s">
        <v>27</v>
      </c>
      <c r="C37" t="s">
        <v>37</v>
      </c>
      <c r="D37" t="s">
        <v>39</v>
      </c>
      <c r="E37">
        <v>3</v>
      </c>
      <c r="F37">
        <v>138.30000000000001</v>
      </c>
      <c r="G37">
        <v>100</v>
      </c>
      <c r="H37">
        <v>1.5</v>
      </c>
      <c r="I37">
        <v>8</v>
      </c>
      <c r="J37">
        <v>9.75</v>
      </c>
      <c r="K37">
        <v>5.99</v>
      </c>
      <c r="L37">
        <v>0</v>
      </c>
      <c r="M37" t="s">
        <v>25</v>
      </c>
      <c r="N37" t="s">
        <v>21</v>
      </c>
      <c r="O37">
        <v>19.489999999999998</v>
      </c>
      <c r="P37" s="1">
        <v>45597</v>
      </c>
      <c r="Q37" t="str">
        <f t="shared" si="0"/>
        <v>High Performance</v>
      </c>
      <c r="R37" s="2">
        <f>Table1_1[[#This Row],[tasks_completed]]/Table1_1[[#This Row],[monthly_hours_worked]]</f>
        <v>5.7845263919016628E-2</v>
      </c>
    </row>
    <row r="38" spans="1:18" x14ac:dyDescent="0.3">
      <c r="A38" t="s">
        <v>48</v>
      </c>
      <c r="B38" t="s">
        <v>33</v>
      </c>
      <c r="C38" t="s">
        <v>37</v>
      </c>
      <c r="D38" t="s">
        <v>29</v>
      </c>
      <c r="E38">
        <v>6</v>
      </c>
      <c r="F38">
        <v>145.69999999999999</v>
      </c>
      <c r="G38">
        <v>94</v>
      </c>
      <c r="H38">
        <v>5.0999999999999996</v>
      </c>
      <c r="I38">
        <v>4</v>
      </c>
      <c r="J38">
        <v>4.08</v>
      </c>
      <c r="K38">
        <v>6.78</v>
      </c>
      <c r="L38">
        <v>1</v>
      </c>
      <c r="M38" t="s">
        <v>25</v>
      </c>
      <c r="N38" t="s">
        <v>21</v>
      </c>
      <c r="O38">
        <v>11.54</v>
      </c>
      <c r="P38" s="1">
        <v>45292</v>
      </c>
      <c r="Q38" t="str">
        <f t="shared" si="0"/>
        <v>Medium Performance</v>
      </c>
      <c r="R38" s="2">
        <f>Table1_1[[#This Row],[tasks_completed]]/Table1_1[[#This Row],[monthly_hours_worked]]</f>
        <v>2.7453671928620454E-2</v>
      </c>
    </row>
    <row r="39" spans="1:18" x14ac:dyDescent="0.3">
      <c r="A39" t="s">
        <v>48</v>
      </c>
      <c r="B39" t="s">
        <v>27</v>
      </c>
      <c r="C39" t="s">
        <v>18</v>
      </c>
      <c r="D39" t="s">
        <v>29</v>
      </c>
      <c r="E39">
        <v>1</v>
      </c>
      <c r="F39">
        <v>161.80000000000001</v>
      </c>
      <c r="G39">
        <v>95.2</v>
      </c>
      <c r="H39">
        <v>6.6</v>
      </c>
      <c r="I39">
        <v>5</v>
      </c>
      <c r="J39">
        <v>7.6</v>
      </c>
      <c r="K39">
        <v>7.8</v>
      </c>
      <c r="L39">
        <v>1</v>
      </c>
      <c r="M39" t="s">
        <v>34</v>
      </c>
      <c r="N39" t="s">
        <v>35</v>
      </c>
      <c r="O39">
        <v>9.6199999999999992</v>
      </c>
      <c r="P39" s="1">
        <v>45292</v>
      </c>
      <c r="Q39" t="str">
        <f t="shared" si="0"/>
        <v>Low Performance</v>
      </c>
      <c r="R39" s="2">
        <f>Table1_1[[#This Row],[tasks_completed]]/Table1_1[[#This Row],[monthly_hours_worked]]</f>
        <v>3.0902348578491962E-2</v>
      </c>
    </row>
    <row r="40" spans="1:18" x14ac:dyDescent="0.3">
      <c r="A40" t="s">
        <v>48</v>
      </c>
      <c r="B40" t="s">
        <v>17</v>
      </c>
      <c r="C40" t="s">
        <v>41</v>
      </c>
      <c r="D40" t="s">
        <v>29</v>
      </c>
      <c r="E40">
        <v>2</v>
      </c>
      <c r="F40">
        <v>175.2</v>
      </c>
      <c r="G40">
        <v>82.7</v>
      </c>
      <c r="H40">
        <v>3.4</v>
      </c>
      <c r="I40">
        <v>2</v>
      </c>
      <c r="J40">
        <v>6.14</v>
      </c>
      <c r="K40">
        <v>5.71</v>
      </c>
      <c r="L40">
        <v>0</v>
      </c>
      <c r="M40" t="s">
        <v>25</v>
      </c>
      <c r="N40" t="s">
        <v>26</v>
      </c>
      <c r="O40">
        <v>5.48</v>
      </c>
      <c r="P40" s="1">
        <v>45352</v>
      </c>
      <c r="Q40" t="str">
        <f t="shared" si="0"/>
        <v>Low Performance</v>
      </c>
      <c r="R40" s="2">
        <f>Table1_1[[#This Row],[tasks_completed]]/Table1_1[[#This Row],[monthly_hours_worked]]</f>
        <v>1.1415525114155252E-2</v>
      </c>
    </row>
    <row r="41" spans="1:18" x14ac:dyDescent="0.3">
      <c r="A41" t="s">
        <v>48</v>
      </c>
      <c r="B41" t="s">
        <v>43</v>
      </c>
      <c r="C41" t="s">
        <v>41</v>
      </c>
      <c r="D41" t="s">
        <v>29</v>
      </c>
      <c r="E41">
        <v>1</v>
      </c>
      <c r="F41">
        <v>156.5</v>
      </c>
      <c r="G41">
        <v>84.4</v>
      </c>
      <c r="H41">
        <v>7.7</v>
      </c>
      <c r="I41">
        <v>10</v>
      </c>
      <c r="J41">
        <v>5.54</v>
      </c>
      <c r="K41">
        <v>2.84</v>
      </c>
      <c r="L41">
        <v>1</v>
      </c>
      <c r="M41" t="s">
        <v>20</v>
      </c>
      <c r="N41" t="s">
        <v>26</v>
      </c>
      <c r="O41">
        <v>12.41</v>
      </c>
      <c r="P41" s="1">
        <v>45352</v>
      </c>
      <c r="Q41" t="str">
        <f t="shared" si="0"/>
        <v>Medium Performance</v>
      </c>
      <c r="R41" s="2">
        <f>Table1_1[[#This Row],[tasks_completed]]/Table1_1[[#This Row],[monthly_hours_worked]]</f>
        <v>6.3897763578274758E-2</v>
      </c>
    </row>
    <row r="42" spans="1:18" x14ac:dyDescent="0.3">
      <c r="A42" t="s">
        <v>48</v>
      </c>
      <c r="B42" t="s">
        <v>27</v>
      </c>
      <c r="C42" t="s">
        <v>31</v>
      </c>
      <c r="D42" t="s">
        <v>29</v>
      </c>
      <c r="E42">
        <v>5</v>
      </c>
      <c r="F42">
        <v>153.5</v>
      </c>
      <c r="G42">
        <v>92.6</v>
      </c>
      <c r="H42">
        <v>3.8</v>
      </c>
      <c r="I42">
        <v>6</v>
      </c>
      <c r="J42">
        <v>6.2</v>
      </c>
      <c r="K42">
        <v>7.78</v>
      </c>
      <c r="L42">
        <v>1</v>
      </c>
      <c r="M42" t="s">
        <v>34</v>
      </c>
      <c r="N42" t="s">
        <v>26</v>
      </c>
      <c r="O42">
        <v>12.76</v>
      </c>
      <c r="P42" s="1">
        <v>45383</v>
      </c>
      <c r="Q42" t="str">
        <f t="shared" si="0"/>
        <v>Medium Performance</v>
      </c>
      <c r="R42" s="2">
        <f>Table1_1[[#This Row],[tasks_completed]]/Table1_1[[#This Row],[monthly_hours_worked]]</f>
        <v>3.9087947882736153E-2</v>
      </c>
    </row>
    <row r="43" spans="1:18" x14ac:dyDescent="0.3">
      <c r="A43" t="s">
        <v>48</v>
      </c>
      <c r="B43" t="s">
        <v>23</v>
      </c>
      <c r="C43" t="s">
        <v>37</v>
      </c>
      <c r="D43" t="s">
        <v>39</v>
      </c>
      <c r="E43">
        <v>6</v>
      </c>
      <c r="F43">
        <v>159.9</v>
      </c>
      <c r="G43">
        <v>97.3</v>
      </c>
      <c r="H43">
        <v>6.6</v>
      </c>
      <c r="I43">
        <v>9</v>
      </c>
      <c r="J43">
        <v>8.35</v>
      </c>
      <c r="K43">
        <v>8.9700000000000006</v>
      </c>
      <c r="L43">
        <v>0</v>
      </c>
      <c r="M43" t="s">
        <v>34</v>
      </c>
      <c r="N43" t="s">
        <v>26</v>
      </c>
      <c r="O43">
        <v>18.91</v>
      </c>
      <c r="P43" s="1">
        <v>45413</v>
      </c>
      <c r="Q43" t="str">
        <f t="shared" si="0"/>
        <v>High Performance</v>
      </c>
      <c r="R43" s="2">
        <f>Table1_1[[#This Row],[tasks_completed]]/Table1_1[[#This Row],[monthly_hours_worked]]</f>
        <v>5.6285178236397747E-2</v>
      </c>
    </row>
    <row r="44" spans="1:18" x14ac:dyDescent="0.3">
      <c r="A44" t="s">
        <v>48</v>
      </c>
      <c r="B44" t="s">
        <v>33</v>
      </c>
      <c r="C44" t="s">
        <v>31</v>
      </c>
      <c r="D44" t="s">
        <v>19</v>
      </c>
      <c r="E44">
        <v>4</v>
      </c>
      <c r="F44">
        <v>168.8</v>
      </c>
      <c r="G44">
        <v>86.6</v>
      </c>
      <c r="H44">
        <v>3.5</v>
      </c>
      <c r="I44">
        <v>5</v>
      </c>
      <c r="J44">
        <v>4.29</v>
      </c>
      <c r="K44">
        <v>10</v>
      </c>
      <c r="L44">
        <v>1</v>
      </c>
      <c r="M44" t="s">
        <v>20</v>
      </c>
      <c r="N44" t="s">
        <v>21</v>
      </c>
      <c r="O44">
        <v>9.33</v>
      </c>
      <c r="P44" s="1">
        <v>45444</v>
      </c>
      <c r="Q44" t="str">
        <f t="shared" si="0"/>
        <v>Low Performance</v>
      </c>
      <c r="R44" s="2">
        <f>Table1_1[[#This Row],[tasks_completed]]/Table1_1[[#This Row],[monthly_hours_worked]]</f>
        <v>2.9620853080568717E-2</v>
      </c>
    </row>
    <row r="45" spans="1:18" x14ac:dyDescent="0.3">
      <c r="A45" t="s">
        <v>48</v>
      </c>
      <c r="B45" t="s">
        <v>23</v>
      </c>
      <c r="C45" t="s">
        <v>24</v>
      </c>
      <c r="D45" t="s">
        <v>29</v>
      </c>
      <c r="E45">
        <v>1</v>
      </c>
      <c r="F45">
        <v>164.5</v>
      </c>
      <c r="G45">
        <v>98.2</v>
      </c>
      <c r="H45">
        <v>6.4</v>
      </c>
      <c r="I45">
        <v>5</v>
      </c>
      <c r="J45">
        <v>7.28</v>
      </c>
      <c r="K45">
        <v>8.16</v>
      </c>
      <c r="L45">
        <v>1</v>
      </c>
      <c r="M45" t="s">
        <v>20</v>
      </c>
      <c r="N45" t="s">
        <v>21</v>
      </c>
      <c r="O45">
        <v>16.309999999999999</v>
      </c>
      <c r="P45" s="1">
        <v>45474</v>
      </c>
      <c r="Q45" t="str">
        <f t="shared" si="0"/>
        <v>High Performance</v>
      </c>
      <c r="R45" s="2">
        <f>Table1_1[[#This Row],[tasks_completed]]/Table1_1[[#This Row],[monthly_hours_worked]]</f>
        <v>3.0395136778115502E-2</v>
      </c>
    </row>
    <row r="46" spans="1:18" x14ac:dyDescent="0.3">
      <c r="A46" t="s">
        <v>48</v>
      </c>
      <c r="B46" t="s">
        <v>27</v>
      </c>
      <c r="C46" t="s">
        <v>41</v>
      </c>
      <c r="D46" t="s">
        <v>29</v>
      </c>
      <c r="E46">
        <v>3</v>
      </c>
      <c r="F46">
        <v>163.9</v>
      </c>
      <c r="G46">
        <v>92.9</v>
      </c>
      <c r="H46">
        <v>5.6</v>
      </c>
      <c r="I46">
        <v>7</v>
      </c>
      <c r="J46">
        <v>10</v>
      </c>
      <c r="K46">
        <v>7.04</v>
      </c>
      <c r="L46">
        <v>0</v>
      </c>
      <c r="M46" t="s">
        <v>34</v>
      </c>
      <c r="N46" t="s">
        <v>21</v>
      </c>
      <c r="O46">
        <v>22.34</v>
      </c>
      <c r="P46" s="1">
        <v>45505</v>
      </c>
      <c r="Q46" t="str">
        <f t="shared" si="0"/>
        <v>High Performance</v>
      </c>
      <c r="R46" s="2">
        <f>Table1_1[[#This Row],[tasks_completed]]/Table1_1[[#This Row],[monthly_hours_worked]]</f>
        <v>4.2708968883465523E-2</v>
      </c>
    </row>
    <row r="47" spans="1:18" x14ac:dyDescent="0.3">
      <c r="A47" t="s">
        <v>48</v>
      </c>
      <c r="B47" t="s">
        <v>17</v>
      </c>
      <c r="C47" t="s">
        <v>18</v>
      </c>
      <c r="D47" t="s">
        <v>19</v>
      </c>
      <c r="E47">
        <v>1</v>
      </c>
      <c r="F47">
        <v>166.9</v>
      </c>
      <c r="G47">
        <v>83.3</v>
      </c>
      <c r="H47">
        <v>0.4</v>
      </c>
      <c r="I47">
        <v>11</v>
      </c>
      <c r="J47">
        <v>9.65</v>
      </c>
      <c r="K47">
        <v>6.3</v>
      </c>
      <c r="L47">
        <v>1</v>
      </c>
      <c r="M47" t="s">
        <v>34</v>
      </c>
      <c r="N47" t="s">
        <v>21</v>
      </c>
      <c r="O47">
        <v>10.89</v>
      </c>
      <c r="P47" s="1">
        <v>45536</v>
      </c>
      <c r="Q47" t="str">
        <f t="shared" si="0"/>
        <v>Medium Performance</v>
      </c>
      <c r="R47" s="2">
        <f>Table1_1[[#This Row],[tasks_completed]]/Table1_1[[#This Row],[monthly_hours_worked]]</f>
        <v>6.5907729179149194E-2</v>
      </c>
    </row>
    <row r="48" spans="1:18" x14ac:dyDescent="0.3">
      <c r="A48" t="s">
        <v>48</v>
      </c>
      <c r="B48" t="s">
        <v>23</v>
      </c>
      <c r="C48" t="s">
        <v>18</v>
      </c>
      <c r="D48" t="s">
        <v>29</v>
      </c>
      <c r="E48">
        <v>5</v>
      </c>
      <c r="F48">
        <v>156.5</v>
      </c>
      <c r="G48">
        <v>99.1</v>
      </c>
      <c r="H48">
        <v>7.6</v>
      </c>
      <c r="I48">
        <v>7</v>
      </c>
      <c r="K48">
        <v>4.88</v>
      </c>
      <c r="L48">
        <v>1</v>
      </c>
      <c r="M48" t="s">
        <v>20</v>
      </c>
      <c r="N48" t="s">
        <v>21</v>
      </c>
      <c r="O48">
        <v>11.51</v>
      </c>
      <c r="P48" s="1">
        <v>45566</v>
      </c>
      <c r="Q48" t="str">
        <f t="shared" si="0"/>
        <v>Medium Performance</v>
      </c>
      <c r="R48" s="2">
        <f>Table1_1[[#This Row],[tasks_completed]]/Table1_1[[#This Row],[monthly_hours_worked]]</f>
        <v>4.472843450479233E-2</v>
      </c>
    </row>
    <row r="49" spans="1:18" x14ac:dyDescent="0.3">
      <c r="A49" t="s">
        <v>48</v>
      </c>
      <c r="B49" t="s">
        <v>27</v>
      </c>
      <c r="C49" t="s">
        <v>24</v>
      </c>
      <c r="D49" t="s">
        <v>39</v>
      </c>
      <c r="E49">
        <v>6</v>
      </c>
      <c r="F49">
        <v>155.9</v>
      </c>
      <c r="G49">
        <v>87.7</v>
      </c>
      <c r="H49">
        <v>6.6</v>
      </c>
      <c r="I49">
        <v>4</v>
      </c>
      <c r="J49">
        <v>5.25</v>
      </c>
      <c r="K49">
        <v>5.25</v>
      </c>
      <c r="L49">
        <v>1</v>
      </c>
      <c r="M49" t="s">
        <v>34</v>
      </c>
      <c r="N49" t="s">
        <v>35</v>
      </c>
      <c r="O49">
        <v>13.13</v>
      </c>
      <c r="P49" s="1">
        <v>45597</v>
      </c>
      <c r="Q49" t="str">
        <f t="shared" si="0"/>
        <v>Medium Performance</v>
      </c>
      <c r="R49" s="2">
        <f>Table1_1[[#This Row],[tasks_completed]]/Table1_1[[#This Row],[monthly_hours_worked]]</f>
        <v>2.5657472738935212E-2</v>
      </c>
    </row>
    <row r="50" spans="1:18" x14ac:dyDescent="0.3">
      <c r="A50" t="s">
        <v>49</v>
      </c>
      <c r="B50" t="s">
        <v>23</v>
      </c>
      <c r="C50" t="s">
        <v>41</v>
      </c>
      <c r="D50" t="s">
        <v>29</v>
      </c>
      <c r="E50">
        <v>5</v>
      </c>
      <c r="F50">
        <v>162.19999999999999</v>
      </c>
      <c r="G50">
        <v>97.2</v>
      </c>
      <c r="H50">
        <v>5.5</v>
      </c>
      <c r="I50">
        <v>9</v>
      </c>
      <c r="J50">
        <v>5.79</v>
      </c>
      <c r="K50">
        <v>10</v>
      </c>
      <c r="L50">
        <v>0</v>
      </c>
      <c r="M50" t="s">
        <v>34</v>
      </c>
      <c r="N50" t="s">
        <v>26</v>
      </c>
      <c r="O50">
        <v>17.309999999999999</v>
      </c>
      <c r="P50" s="1">
        <v>45292</v>
      </c>
      <c r="Q50" t="str">
        <f t="shared" si="0"/>
        <v>High Performance</v>
      </c>
      <c r="R50" s="2">
        <f>Table1_1[[#This Row],[tasks_completed]]/Table1_1[[#This Row],[monthly_hours_worked]]</f>
        <v>5.5487053020961782E-2</v>
      </c>
    </row>
    <row r="51" spans="1:18" x14ac:dyDescent="0.3">
      <c r="A51" t="s">
        <v>49</v>
      </c>
      <c r="B51" t="s">
        <v>27</v>
      </c>
      <c r="C51" t="s">
        <v>31</v>
      </c>
      <c r="D51" t="s">
        <v>29</v>
      </c>
      <c r="E51">
        <v>9</v>
      </c>
      <c r="F51">
        <v>152</v>
      </c>
      <c r="G51">
        <v>98.3</v>
      </c>
      <c r="H51">
        <v>6</v>
      </c>
      <c r="I51">
        <v>8</v>
      </c>
      <c r="K51">
        <v>6.62</v>
      </c>
      <c r="L51">
        <v>0</v>
      </c>
      <c r="M51" t="s">
        <v>20</v>
      </c>
      <c r="N51" t="s">
        <v>35</v>
      </c>
      <c r="O51">
        <v>16.45</v>
      </c>
      <c r="P51" s="1">
        <v>45292</v>
      </c>
      <c r="Q51" t="str">
        <f t="shared" si="0"/>
        <v>High Performance</v>
      </c>
      <c r="R51" s="2">
        <f>Table1_1[[#This Row],[tasks_completed]]/Table1_1[[#This Row],[monthly_hours_worked]]</f>
        <v>5.2631578947368418E-2</v>
      </c>
    </row>
    <row r="52" spans="1:18" x14ac:dyDescent="0.3">
      <c r="A52" t="s">
        <v>49</v>
      </c>
      <c r="B52" t="s">
        <v>23</v>
      </c>
      <c r="C52" t="s">
        <v>18</v>
      </c>
      <c r="D52" t="s">
        <v>29</v>
      </c>
      <c r="E52">
        <v>4</v>
      </c>
      <c r="F52">
        <v>168</v>
      </c>
      <c r="G52">
        <v>94.2</v>
      </c>
      <c r="H52">
        <v>7.2</v>
      </c>
      <c r="I52">
        <v>3</v>
      </c>
      <c r="J52">
        <v>4.7300000000000004</v>
      </c>
      <c r="K52">
        <v>5.4</v>
      </c>
      <c r="L52">
        <v>2</v>
      </c>
      <c r="M52" t="s">
        <v>34</v>
      </c>
      <c r="N52" t="s">
        <v>35</v>
      </c>
      <c r="O52">
        <v>11.63</v>
      </c>
      <c r="P52" s="1">
        <v>45352</v>
      </c>
      <c r="Q52" t="str">
        <f t="shared" si="0"/>
        <v>Medium Performance</v>
      </c>
      <c r="R52" s="2">
        <f>Table1_1[[#This Row],[tasks_completed]]/Table1_1[[#This Row],[monthly_hours_worked]]</f>
        <v>1.7857142857142856E-2</v>
      </c>
    </row>
    <row r="53" spans="1:18" x14ac:dyDescent="0.3">
      <c r="A53" t="s">
        <v>49</v>
      </c>
      <c r="B53" t="s">
        <v>33</v>
      </c>
      <c r="C53" t="s">
        <v>31</v>
      </c>
      <c r="D53" t="s">
        <v>39</v>
      </c>
      <c r="E53">
        <v>1</v>
      </c>
      <c r="F53">
        <v>149.4</v>
      </c>
      <c r="G53">
        <v>89.4</v>
      </c>
      <c r="H53">
        <v>2.2999999999999998</v>
      </c>
      <c r="I53">
        <v>9</v>
      </c>
      <c r="J53">
        <v>4.63</v>
      </c>
      <c r="K53">
        <v>3.93</v>
      </c>
      <c r="L53">
        <v>0</v>
      </c>
      <c r="M53" t="s">
        <v>20</v>
      </c>
      <c r="N53" t="s">
        <v>26</v>
      </c>
      <c r="O53">
        <v>26.28</v>
      </c>
      <c r="P53" s="1">
        <v>45352</v>
      </c>
      <c r="Q53" t="str">
        <f t="shared" si="0"/>
        <v>High Performance</v>
      </c>
      <c r="R53" s="2">
        <f>Table1_1[[#This Row],[tasks_completed]]/Table1_1[[#This Row],[monthly_hours_worked]]</f>
        <v>6.0240963855421686E-2</v>
      </c>
    </row>
    <row r="54" spans="1:18" x14ac:dyDescent="0.3">
      <c r="A54" t="s">
        <v>49</v>
      </c>
      <c r="B54" t="s">
        <v>17</v>
      </c>
      <c r="C54" t="s">
        <v>18</v>
      </c>
      <c r="D54" t="s">
        <v>29</v>
      </c>
      <c r="E54">
        <v>3</v>
      </c>
      <c r="F54">
        <v>156.6</v>
      </c>
      <c r="G54">
        <v>93.1</v>
      </c>
      <c r="H54">
        <v>2.2000000000000002</v>
      </c>
      <c r="I54">
        <v>3</v>
      </c>
      <c r="J54">
        <v>6.33</v>
      </c>
      <c r="K54">
        <v>8.8699999999999992</v>
      </c>
      <c r="L54">
        <v>0</v>
      </c>
      <c r="M54" t="s">
        <v>20</v>
      </c>
      <c r="N54" t="s">
        <v>26</v>
      </c>
      <c r="O54">
        <v>18.920000000000002</v>
      </c>
      <c r="P54" s="1">
        <v>45383</v>
      </c>
      <c r="Q54" t="str">
        <f t="shared" si="0"/>
        <v>High Performance</v>
      </c>
      <c r="R54" s="2">
        <f>Table1_1[[#This Row],[tasks_completed]]/Table1_1[[#This Row],[monthly_hours_worked]]</f>
        <v>1.9157088122605366E-2</v>
      </c>
    </row>
    <row r="55" spans="1:18" x14ac:dyDescent="0.3">
      <c r="A55" t="s">
        <v>49</v>
      </c>
      <c r="B55" t="s">
        <v>33</v>
      </c>
      <c r="C55" t="s">
        <v>18</v>
      </c>
      <c r="D55" t="s">
        <v>29</v>
      </c>
      <c r="E55">
        <v>7</v>
      </c>
      <c r="F55">
        <v>152.30000000000001</v>
      </c>
      <c r="G55">
        <v>91.9</v>
      </c>
      <c r="H55">
        <v>10.1</v>
      </c>
      <c r="I55">
        <v>12</v>
      </c>
      <c r="J55">
        <v>7.72</v>
      </c>
      <c r="K55">
        <v>5.79</v>
      </c>
      <c r="L55">
        <v>0</v>
      </c>
      <c r="M55" t="s">
        <v>25</v>
      </c>
      <c r="N55" t="s">
        <v>21</v>
      </c>
      <c r="O55">
        <v>13.69</v>
      </c>
      <c r="P55" s="1">
        <v>45413</v>
      </c>
      <c r="Q55" t="str">
        <f t="shared" si="0"/>
        <v>Medium Performance</v>
      </c>
      <c r="R55" s="2">
        <f>Table1_1[[#This Row],[tasks_completed]]/Table1_1[[#This Row],[monthly_hours_worked]]</f>
        <v>7.8791858174655283E-2</v>
      </c>
    </row>
    <row r="56" spans="1:18" x14ac:dyDescent="0.3">
      <c r="A56" t="s">
        <v>49</v>
      </c>
      <c r="B56" t="s">
        <v>27</v>
      </c>
      <c r="C56" t="s">
        <v>31</v>
      </c>
      <c r="D56" t="s">
        <v>29</v>
      </c>
      <c r="E56">
        <v>1</v>
      </c>
      <c r="F56">
        <v>163.30000000000001</v>
      </c>
      <c r="G56">
        <v>88.7</v>
      </c>
      <c r="H56">
        <v>6.8</v>
      </c>
      <c r="I56">
        <v>7</v>
      </c>
      <c r="J56">
        <v>7.22</v>
      </c>
      <c r="K56">
        <v>2.84</v>
      </c>
      <c r="L56">
        <v>0</v>
      </c>
      <c r="M56" t="s">
        <v>20</v>
      </c>
      <c r="N56" t="s">
        <v>21</v>
      </c>
      <c r="O56">
        <v>21</v>
      </c>
      <c r="P56" s="1">
        <v>45444</v>
      </c>
      <c r="Q56" t="str">
        <f t="shared" si="0"/>
        <v>High Performance</v>
      </c>
      <c r="R56" s="2">
        <f>Table1_1[[#This Row],[tasks_completed]]/Table1_1[[#This Row],[monthly_hours_worked]]</f>
        <v>4.2865890998162889E-2</v>
      </c>
    </row>
    <row r="57" spans="1:18" x14ac:dyDescent="0.3">
      <c r="A57" t="s">
        <v>49</v>
      </c>
      <c r="B57" t="s">
        <v>33</v>
      </c>
      <c r="C57" t="s">
        <v>31</v>
      </c>
      <c r="D57" t="s">
        <v>29</v>
      </c>
      <c r="E57">
        <v>4</v>
      </c>
      <c r="F57">
        <v>161.69999999999999</v>
      </c>
      <c r="G57">
        <v>90.1</v>
      </c>
      <c r="I57">
        <v>6</v>
      </c>
      <c r="J57">
        <v>8</v>
      </c>
      <c r="K57">
        <v>5</v>
      </c>
      <c r="L57">
        <v>0</v>
      </c>
      <c r="M57" t="s">
        <v>25</v>
      </c>
      <c r="N57" t="s">
        <v>35</v>
      </c>
      <c r="O57">
        <v>22.13</v>
      </c>
      <c r="P57" s="1">
        <v>45474</v>
      </c>
      <c r="Q57" t="str">
        <f t="shared" si="0"/>
        <v>High Performance</v>
      </c>
      <c r="R57" s="2">
        <f>Table1_1[[#This Row],[tasks_completed]]/Table1_1[[#This Row],[monthly_hours_worked]]</f>
        <v>3.7105751391465679E-2</v>
      </c>
    </row>
    <row r="58" spans="1:18" x14ac:dyDescent="0.3">
      <c r="A58" t="s">
        <v>49</v>
      </c>
      <c r="B58" t="s">
        <v>27</v>
      </c>
      <c r="C58" t="s">
        <v>18</v>
      </c>
      <c r="D58" t="s">
        <v>29</v>
      </c>
      <c r="E58">
        <v>2</v>
      </c>
      <c r="F58">
        <v>143.69999999999999</v>
      </c>
      <c r="G58">
        <v>97.8</v>
      </c>
      <c r="H58">
        <v>9</v>
      </c>
      <c r="I58">
        <v>2</v>
      </c>
      <c r="J58">
        <v>8.58</v>
      </c>
      <c r="K58">
        <v>7.51</v>
      </c>
      <c r="L58">
        <v>0</v>
      </c>
      <c r="M58" t="s">
        <v>34</v>
      </c>
      <c r="N58" t="s">
        <v>26</v>
      </c>
      <c r="O58">
        <v>18.5</v>
      </c>
      <c r="P58" s="1">
        <v>45505</v>
      </c>
      <c r="Q58" t="str">
        <f t="shared" si="0"/>
        <v>High Performance</v>
      </c>
      <c r="R58" s="2">
        <f>Table1_1[[#This Row],[tasks_completed]]/Table1_1[[#This Row],[monthly_hours_worked]]</f>
        <v>1.3917884481558803E-2</v>
      </c>
    </row>
    <row r="59" spans="1:18" x14ac:dyDescent="0.3">
      <c r="A59" t="s">
        <v>49</v>
      </c>
      <c r="B59" t="s">
        <v>17</v>
      </c>
      <c r="C59" t="s">
        <v>18</v>
      </c>
      <c r="D59" t="s">
        <v>29</v>
      </c>
      <c r="E59">
        <v>9</v>
      </c>
      <c r="F59">
        <v>187.6</v>
      </c>
      <c r="G59">
        <v>93.9</v>
      </c>
      <c r="H59">
        <v>4.4000000000000004</v>
      </c>
      <c r="I59">
        <v>5</v>
      </c>
      <c r="J59">
        <v>9.2100000000000009</v>
      </c>
      <c r="K59">
        <v>6.55</v>
      </c>
      <c r="L59">
        <v>1</v>
      </c>
      <c r="M59" t="s">
        <v>25</v>
      </c>
      <c r="N59" t="s">
        <v>35</v>
      </c>
      <c r="O59">
        <v>19.68</v>
      </c>
      <c r="P59" s="1">
        <v>45536</v>
      </c>
      <c r="Q59" t="str">
        <f t="shared" si="0"/>
        <v>High Performance</v>
      </c>
      <c r="R59" s="2">
        <f>Table1_1[[#This Row],[tasks_completed]]/Table1_1[[#This Row],[monthly_hours_worked]]</f>
        <v>2.6652452025586356E-2</v>
      </c>
    </row>
    <row r="60" spans="1:18" x14ac:dyDescent="0.3">
      <c r="A60" t="s">
        <v>49</v>
      </c>
      <c r="B60" t="s">
        <v>43</v>
      </c>
      <c r="C60" t="s">
        <v>31</v>
      </c>
      <c r="D60" t="s">
        <v>29</v>
      </c>
      <c r="E60">
        <v>7</v>
      </c>
      <c r="F60">
        <v>165.4</v>
      </c>
      <c r="G60">
        <v>95.7</v>
      </c>
      <c r="H60">
        <v>6</v>
      </c>
      <c r="I60">
        <v>4</v>
      </c>
      <c r="J60">
        <v>7.32</v>
      </c>
      <c r="K60">
        <v>7.47</v>
      </c>
      <c r="L60">
        <v>1</v>
      </c>
      <c r="M60" t="s">
        <v>20</v>
      </c>
      <c r="N60" t="s">
        <v>21</v>
      </c>
      <c r="O60">
        <v>14.7</v>
      </c>
      <c r="P60" s="1">
        <v>45566</v>
      </c>
      <c r="Q60" t="str">
        <f t="shared" si="0"/>
        <v>Medium Performance</v>
      </c>
      <c r="R60" s="2">
        <f>Table1_1[[#This Row],[tasks_completed]]/Table1_1[[#This Row],[monthly_hours_worked]]</f>
        <v>2.4183796856106408E-2</v>
      </c>
    </row>
    <row r="61" spans="1:18" x14ac:dyDescent="0.3">
      <c r="A61" t="s">
        <v>49</v>
      </c>
      <c r="B61" t="s">
        <v>23</v>
      </c>
      <c r="C61" t="s">
        <v>31</v>
      </c>
      <c r="D61" t="s">
        <v>29</v>
      </c>
      <c r="E61">
        <v>2</v>
      </c>
      <c r="F61">
        <v>155.19999999999999</v>
      </c>
      <c r="G61">
        <v>100</v>
      </c>
      <c r="H61">
        <v>2.5</v>
      </c>
      <c r="I61">
        <v>5</v>
      </c>
      <c r="J61">
        <v>5.51</v>
      </c>
      <c r="K61">
        <v>8.9700000000000006</v>
      </c>
      <c r="L61">
        <v>2</v>
      </c>
      <c r="M61" t="s">
        <v>20</v>
      </c>
      <c r="N61" t="s">
        <v>35</v>
      </c>
      <c r="O61">
        <v>10.55</v>
      </c>
      <c r="P61" s="1">
        <v>45597</v>
      </c>
      <c r="Q61" t="str">
        <f t="shared" si="0"/>
        <v>Medium Performance</v>
      </c>
      <c r="R61" s="2">
        <f>Table1_1[[#This Row],[tasks_completed]]/Table1_1[[#This Row],[monthly_hours_worked]]</f>
        <v>3.2216494845360828E-2</v>
      </c>
    </row>
    <row r="62" spans="1:18" x14ac:dyDescent="0.3">
      <c r="A62" t="s">
        <v>50</v>
      </c>
      <c r="B62" t="s">
        <v>43</v>
      </c>
      <c r="C62" t="s">
        <v>37</v>
      </c>
      <c r="D62" t="s">
        <v>39</v>
      </c>
      <c r="E62">
        <v>1</v>
      </c>
      <c r="F62">
        <v>159.30000000000001</v>
      </c>
      <c r="G62">
        <v>98.1</v>
      </c>
      <c r="I62">
        <v>11</v>
      </c>
      <c r="J62">
        <v>5.5</v>
      </c>
      <c r="K62">
        <v>7.86</v>
      </c>
      <c r="L62">
        <v>0</v>
      </c>
      <c r="M62" t="s">
        <v>34</v>
      </c>
      <c r="N62" t="s">
        <v>26</v>
      </c>
      <c r="O62">
        <v>15.64</v>
      </c>
      <c r="P62" s="1">
        <v>45292</v>
      </c>
      <c r="Q62" t="str">
        <f t="shared" si="0"/>
        <v>High Performance</v>
      </c>
      <c r="R62" s="2">
        <f>Table1_1[[#This Row],[tasks_completed]]/Table1_1[[#This Row],[monthly_hours_worked]]</f>
        <v>6.9052102950408034E-2</v>
      </c>
    </row>
    <row r="63" spans="1:18" x14ac:dyDescent="0.3">
      <c r="A63" t="s">
        <v>50</v>
      </c>
      <c r="B63" t="s">
        <v>27</v>
      </c>
      <c r="C63" t="s">
        <v>31</v>
      </c>
      <c r="D63" t="s">
        <v>29</v>
      </c>
      <c r="E63">
        <v>5</v>
      </c>
      <c r="F63">
        <v>140.5</v>
      </c>
      <c r="G63">
        <v>93.6</v>
      </c>
      <c r="H63">
        <v>5.7</v>
      </c>
      <c r="I63">
        <v>5</v>
      </c>
      <c r="K63">
        <v>9.7100000000000009</v>
      </c>
      <c r="L63">
        <v>1</v>
      </c>
      <c r="M63" t="s">
        <v>25</v>
      </c>
      <c r="N63" t="s">
        <v>35</v>
      </c>
      <c r="O63">
        <v>7.0000000000000007E-2</v>
      </c>
      <c r="P63" s="1">
        <v>45292</v>
      </c>
      <c r="Q63" t="str">
        <f t="shared" si="0"/>
        <v>Low Performance</v>
      </c>
      <c r="R63" s="2">
        <f>Table1_1[[#This Row],[tasks_completed]]/Table1_1[[#This Row],[monthly_hours_worked]]</f>
        <v>3.5587188612099648E-2</v>
      </c>
    </row>
    <row r="64" spans="1:18" x14ac:dyDescent="0.3">
      <c r="A64" t="s">
        <v>50</v>
      </c>
      <c r="B64" t="s">
        <v>23</v>
      </c>
      <c r="C64" t="s">
        <v>18</v>
      </c>
      <c r="D64" t="s">
        <v>19</v>
      </c>
      <c r="E64">
        <v>8</v>
      </c>
      <c r="F64">
        <v>155.69999999999999</v>
      </c>
      <c r="G64">
        <v>93.5</v>
      </c>
      <c r="H64">
        <v>5.4</v>
      </c>
      <c r="I64">
        <v>5</v>
      </c>
      <c r="K64">
        <v>9.06</v>
      </c>
      <c r="L64">
        <v>1</v>
      </c>
      <c r="M64" t="s">
        <v>34</v>
      </c>
      <c r="N64" t="s">
        <v>26</v>
      </c>
      <c r="O64">
        <v>6.24</v>
      </c>
      <c r="P64" s="1">
        <v>45352</v>
      </c>
      <c r="Q64" t="str">
        <f t="shared" si="0"/>
        <v>Low Performance</v>
      </c>
      <c r="R64" s="2">
        <f>Table1_1[[#This Row],[tasks_completed]]/Table1_1[[#This Row],[monthly_hours_worked]]</f>
        <v>3.2113037893384717E-2</v>
      </c>
    </row>
    <row r="65" spans="1:18" x14ac:dyDescent="0.3">
      <c r="A65" t="s">
        <v>50</v>
      </c>
      <c r="B65" t="s">
        <v>17</v>
      </c>
      <c r="C65" t="s">
        <v>37</v>
      </c>
      <c r="D65" t="s">
        <v>29</v>
      </c>
      <c r="E65">
        <v>10</v>
      </c>
      <c r="F65">
        <v>157.80000000000001</v>
      </c>
      <c r="G65">
        <v>100</v>
      </c>
      <c r="H65">
        <v>5.5</v>
      </c>
      <c r="I65">
        <v>0</v>
      </c>
      <c r="J65">
        <v>7.47</v>
      </c>
      <c r="K65">
        <v>6.12</v>
      </c>
      <c r="L65">
        <v>1</v>
      </c>
      <c r="M65" t="s">
        <v>25</v>
      </c>
      <c r="N65" t="s">
        <v>26</v>
      </c>
      <c r="O65">
        <v>7.16</v>
      </c>
      <c r="P65" s="1">
        <v>45352</v>
      </c>
      <c r="Q65" t="str">
        <f t="shared" si="0"/>
        <v>Low Performance</v>
      </c>
      <c r="R65" s="2">
        <f>Table1_1[[#This Row],[tasks_completed]]/Table1_1[[#This Row],[monthly_hours_worked]]</f>
        <v>0</v>
      </c>
    </row>
    <row r="66" spans="1:18" x14ac:dyDescent="0.3">
      <c r="A66" t="s">
        <v>50</v>
      </c>
      <c r="B66" t="s">
        <v>43</v>
      </c>
      <c r="C66" t="s">
        <v>41</v>
      </c>
      <c r="D66" t="s">
        <v>19</v>
      </c>
      <c r="E66">
        <v>7</v>
      </c>
      <c r="F66">
        <v>186</v>
      </c>
      <c r="G66">
        <v>91.7</v>
      </c>
      <c r="H66">
        <v>3.6</v>
      </c>
      <c r="I66">
        <v>4</v>
      </c>
      <c r="J66">
        <v>5.22</v>
      </c>
      <c r="K66">
        <v>3.28</v>
      </c>
      <c r="L66">
        <v>1</v>
      </c>
      <c r="M66" t="s">
        <v>25</v>
      </c>
      <c r="N66" t="s">
        <v>21</v>
      </c>
      <c r="O66">
        <v>10.46</v>
      </c>
      <c r="P66" s="1">
        <v>45383</v>
      </c>
      <c r="Q66" t="str">
        <f t="shared" ref="Q66:Q129" si="1">IF(O66&gt;=15, "High Performance", IF(O66&gt;=10, "Medium Performance", "Low Performance"))</f>
        <v>Medium Performance</v>
      </c>
      <c r="R66" s="2">
        <f>Table1_1[[#This Row],[tasks_completed]]/Table1_1[[#This Row],[monthly_hours_worked]]</f>
        <v>2.1505376344086023E-2</v>
      </c>
    </row>
    <row r="67" spans="1:18" x14ac:dyDescent="0.3">
      <c r="A67" t="s">
        <v>50</v>
      </c>
      <c r="B67" t="s">
        <v>27</v>
      </c>
      <c r="C67" t="s">
        <v>18</v>
      </c>
      <c r="D67" t="s">
        <v>29</v>
      </c>
      <c r="E67">
        <v>2</v>
      </c>
      <c r="F67">
        <v>140.69999999999999</v>
      </c>
      <c r="G67">
        <v>89</v>
      </c>
      <c r="H67">
        <v>2.9</v>
      </c>
      <c r="I67">
        <v>8</v>
      </c>
      <c r="J67">
        <v>8.52</v>
      </c>
      <c r="K67">
        <v>7.33</v>
      </c>
      <c r="L67">
        <v>0</v>
      </c>
      <c r="M67" t="s">
        <v>25</v>
      </c>
      <c r="N67" t="s">
        <v>26</v>
      </c>
      <c r="O67">
        <v>15.72</v>
      </c>
      <c r="P67" s="1">
        <v>45413</v>
      </c>
      <c r="Q67" t="str">
        <f t="shared" si="1"/>
        <v>High Performance</v>
      </c>
      <c r="R67" s="2">
        <f>Table1_1[[#This Row],[tasks_completed]]/Table1_1[[#This Row],[monthly_hours_worked]]</f>
        <v>5.6858564321250894E-2</v>
      </c>
    </row>
    <row r="68" spans="1:18" x14ac:dyDescent="0.3">
      <c r="A68" t="s">
        <v>50</v>
      </c>
      <c r="B68" t="s">
        <v>17</v>
      </c>
      <c r="C68" t="s">
        <v>24</v>
      </c>
      <c r="D68" t="s">
        <v>39</v>
      </c>
      <c r="E68">
        <v>10</v>
      </c>
      <c r="F68">
        <v>158.69999999999999</v>
      </c>
      <c r="G68">
        <v>92.5</v>
      </c>
      <c r="I68">
        <v>7</v>
      </c>
      <c r="J68">
        <v>8.26</v>
      </c>
      <c r="K68">
        <v>10</v>
      </c>
      <c r="L68">
        <v>1</v>
      </c>
      <c r="M68" t="s">
        <v>25</v>
      </c>
      <c r="N68" t="s">
        <v>26</v>
      </c>
      <c r="O68">
        <v>11.15</v>
      </c>
      <c r="P68" s="1">
        <v>45444</v>
      </c>
      <c r="Q68" t="str">
        <f t="shared" si="1"/>
        <v>Medium Performance</v>
      </c>
      <c r="R68" s="2">
        <f>Table1_1[[#This Row],[tasks_completed]]/Table1_1[[#This Row],[monthly_hours_worked]]</f>
        <v>4.4108380592312542E-2</v>
      </c>
    </row>
    <row r="69" spans="1:18" x14ac:dyDescent="0.3">
      <c r="A69" t="s">
        <v>50</v>
      </c>
      <c r="B69" t="s">
        <v>23</v>
      </c>
      <c r="C69" t="s">
        <v>41</v>
      </c>
      <c r="D69" t="s">
        <v>19</v>
      </c>
      <c r="E69">
        <v>9</v>
      </c>
      <c r="F69">
        <v>175.5</v>
      </c>
      <c r="G69">
        <v>100</v>
      </c>
      <c r="H69">
        <v>3.8</v>
      </c>
      <c r="I69">
        <v>9</v>
      </c>
      <c r="J69">
        <v>6.92</v>
      </c>
      <c r="K69">
        <v>6.93</v>
      </c>
      <c r="L69">
        <v>0</v>
      </c>
      <c r="M69" t="s">
        <v>25</v>
      </c>
      <c r="N69" t="s">
        <v>26</v>
      </c>
      <c r="O69">
        <v>23.68</v>
      </c>
      <c r="P69" s="1">
        <v>45474</v>
      </c>
      <c r="Q69" t="str">
        <f t="shared" si="1"/>
        <v>High Performance</v>
      </c>
      <c r="R69" s="2">
        <f>Table1_1[[#This Row],[tasks_completed]]/Table1_1[[#This Row],[monthly_hours_worked]]</f>
        <v>5.128205128205128E-2</v>
      </c>
    </row>
    <row r="70" spans="1:18" x14ac:dyDescent="0.3">
      <c r="A70" t="s">
        <v>50</v>
      </c>
      <c r="B70" t="s">
        <v>17</v>
      </c>
      <c r="C70" t="s">
        <v>31</v>
      </c>
      <c r="D70" t="s">
        <v>19</v>
      </c>
      <c r="E70">
        <v>5</v>
      </c>
      <c r="F70">
        <v>160.4</v>
      </c>
      <c r="G70">
        <v>100</v>
      </c>
      <c r="H70">
        <v>5.3</v>
      </c>
      <c r="I70">
        <v>8</v>
      </c>
      <c r="J70">
        <v>8.7899999999999991</v>
      </c>
      <c r="K70">
        <v>4.66</v>
      </c>
      <c r="L70">
        <v>1</v>
      </c>
      <c r="M70" t="s">
        <v>34</v>
      </c>
      <c r="N70" t="s">
        <v>26</v>
      </c>
      <c r="O70">
        <v>10.69</v>
      </c>
      <c r="P70" s="1">
        <v>45505</v>
      </c>
      <c r="Q70" t="str">
        <f t="shared" si="1"/>
        <v>Medium Performance</v>
      </c>
      <c r="R70" s="2">
        <f>Table1_1[[#This Row],[tasks_completed]]/Table1_1[[#This Row],[monthly_hours_worked]]</f>
        <v>4.987531172069825E-2</v>
      </c>
    </row>
    <row r="71" spans="1:18" x14ac:dyDescent="0.3">
      <c r="A71" t="s">
        <v>50</v>
      </c>
      <c r="B71" t="s">
        <v>27</v>
      </c>
      <c r="C71" t="s">
        <v>37</v>
      </c>
      <c r="D71" t="s">
        <v>39</v>
      </c>
      <c r="E71">
        <v>4</v>
      </c>
      <c r="F71">
        <v>173.8</v>
      </c>
      <c r="G71">
        <v>98.2</v>
      </c>
      <c r="H71">
        <v>4.7</v>
      </c>
      <c r="I71">
        <v>6</v>
      </c>
      <c r="J71">
        <v>7.72</v>
      </c>
      <c r="K71">
        <v>8.64</v>
      </c>
      <c r="L71">
        <v>2</v>
      </c>
      <c r="M71" t="s">
        <v>25</v>
      </c>
      <c r="N71" t="s">
        <v>26</v>
      </c>
      <c r="O71">
        <v>6.7</v>
      </c>
      <c r="P71" s="1">
        <v>45536</v>
      </c>
      <c r="Q71" t="str">
        <f t="shared" si="1"/>
        <v>Low Performance</v>
      </c>
      <c r="R71" s="2">
        <f>Table1_1[[#This Row],[tasks_completed]]/Table1_1[[#This Row],[monthly_hours_worked]]</f>
        <v>3.4522439585730723E-2</v>
      </c>
    </row>
    <row r="72" spans="1:18" x14ac:dyDescent="0.3">
      <c r="A72" t="s">
        <v>50</v>
      </c>
      <c r="B72" t="s">
        <v>33</v>
      </c>
      <c r="C72" t="s">
        <v>24</v>
      </c>
      <c r="D72" t="s">
        <v>39</v>
      </c>
      <c r="E72">
        <v>1</v>
      </c>
      <c r="F72">
        <v>157.19999999999999</v>
      </c>
      <c r="G72">
        <v>90.6</v>
      </c>
      <c r="H72">
        <v>4.2</v>
      </c>
      <c r="I72">
        <v>4</v>
      </c>
      <c r="J72">
        <v>6.49</v>
      </c>
      <c r="K72">
        <v>8.5399999999999991</v>
      </c>
      <c r="L72">
        <v>0</v>
      </c>
      <c r="M72" t="s">
        <v>20</v>
      </c>
      <c r="N72" t="s">
        <v>21</v>
      </c>
      <c r="O72">
        <v>15.97</v>
      </c>
      <c r="P72" s="1">
        <v>45566</v>
      </c>
      <c r="Q72" t="str">
        <f t="shared" si="1"/>
        <v>High Performance</v>
      </c>
      <c r="R72" s="2">
        <f>Table1_1[[#This Row],[tasks_completed]]/Table1_1[[#This Row],[monthly_hours_worked]]</f>
        <v>2.5445292620865142E-2</v>
      </c>
    </row>
    <row r="73" spans="1:18" x14ac:dyDescent="0.3">
      <c r="A73" t="s">
        <v>50</v>
      </c>
      <c r="B73" t="s">
        <v>33</v>
      </c>
      <c r="C73" t="s">
        <v>31</v>
      </c>
      <c r="D73" t="s">
        <v>39</v>
      </c>
      <c r="E73">
        <v>4</v>
      </c>
      <c r="F73">
        <v>158.1</v>
      </c>
      <c r="G73">
        <v>93</v>
      </c>
      <c r="H73">
        <v>4.3</v>
      </c>
      <c r="I73">
        <v>8</v>
      </c>
      <c r="J73">
        <v>7.76</v>
      </c>
      <c r="K73">
        <v>10</v>
      </c>
      <c r="L73">
        <v>1</v>
      </c>
      <c r="M73" t="s">
        <v>25</v>
      </c>
      <c r="N73" t="s">
        <v>21</v>
      </c>
      <c r="O73">
        <v>13.86</v>
      </c>
      <c r="P73" s="1">
        <v>45597</v>
      </c>
      <c r="Q73" t="str">
        <f t="shared" si="1"/>
        <v>Medium Performance</v>
      </c>
      <c r="R73" s="2">
        <f>Table1_1[[#This Row],[tasks_completed]]/Table1_1[[#This Row],[monthly_hours_worked]]</f>
        <v>5.0600885515496526E-2</v>
      </c>
    </row>
    <row r="74" spans="1:18" x14ac:dyDescent="0.3">
      <c r="A74" t="s">
        <v>51</v>
      </c>
      <c r="B74" t="s">
        <v>43</v>
      </c>
      <c r="C74" t="s">
        <v>41</v>
      </c>
      <c r="D74" t="s">
        <v>19</v>
      </c>
      <c r="E74">
        <v>10</v>
      </c>
      <c r="F74">
        <v>158.9</v>
      </c>
      <c r="G74">
        <v>88.9</v>
      </c>
      <c r="H74">
        <v>5.2</v>
      </c>
      <c r="I74">
        <v>8</v>
      </c>
      <c r="J74">
        <v>9.25</v>
      </c>
      <c r="K74">
        <v>7.86</v>
      </c>
      <c r="L74">
        <v>1</v>
      </c>
      <c r="M74" t="s">
        <v>25</v>
      </c>
      <c r="N74" t="s">
        <v>21</v>
      </c>
      <c r="O74">
        <v>15.29</v>
      </c>
      <c r="P74" s="1">
        <v>45292</v>
      </c>
      <c r="Q74" t="str">
        <f t="shared" si="1"/>
        <v>High Performance</v>
      </c>
      <c r="R74" s="2">
        <f>Table1_1[[#This Row],[tasks_completed]]/Table1_1[[#This Row],[monthly_hours_worked]]</f>
        <v>5.0346129641283821E-2</v>
      </c>
    </row>
    <row r="75" spans="1:18" x14ac:dyDescent="0.3">
      <c r="A75" t="s">
        <v>51</v>
      </c>
      <c r="B75" t="s">
        <v>27</v>
      </c>
      <c r="C75" t="s">
        <v>24</v>
      </c>
      <c r="D75" t="s">
        <v>19</v>
      </c>
      <c r="E75">
        <v>4</v>
      </c>
      <c r="F75">
        <v>144.69999999999999</v>
      </c>
      <c r="G75">
        <v>91.5</v>
      </c>
      <c r="H75">
        <v>4.9000000000000004</v>
      </c>
      <c r="I75">
        <v>3</v>
      </c>
      <c r="J75">
        <v>7.87</v>
      </c>
      <c r="K75">
        <v>4.5</v>
      </c>
      <c r="L75">
        <v>1</v>
      </c>
      <c r="M75" t="s">
        <v>20</v>
      </c>
      <c r="N75" t="s">
        <v>21</v>
      </c>
      <c r="O75">
        <v>19.52</v>
      </c>
      <c r="P75" s="1">
        <v>45292</v>
      </c>
      <c r="Q75" t="str">
        <f t="shared" si="1"/>
        <v>High Performance</v>
      </c>
      <c r="R75" s="2">
        <f>Table1_1[[#This Row],[tasks_completed]]/Table1_1[[#This Row],[monthly_hours_worked]]</f>
        <v>2.0732550103662751E-2</v>
      </c>
    </row>
    <row r="76" spans="1:18" x14ac:dyDescent="0.3">
      <c r="A76" t="s">
        <v>51</v>
      </c>
      <c r="B76" t="s">
        <v>33</v>
      </c>
      <c r="C76" t="s">
        <v>18</v>
      </c>
      <c r="D76" t="s">
        <v>29</v>
      </c>
      <c r="E76">
        <v>8</v>
      </c>
      <c r="F76">
        <v>155.80000000000001</v>
      </c>
      <c r="G76">
        <v>92.6</v>
      </c>
      <c r="H76">
        <v>8.3000000000000007</v>
      </c>
      <c r="I76">
        <v>5</v>
      </c>
      <c r="J76">
        <v>3.78</v>
      </c>
      <c r="K76">
        <v>10</v>
      </c>
      <c r="L76">
        <v>0</v>
      </c>
      <c r="M76" t="s">
        <v>20</v>
      </c>
      <c r="N76" t="s">
        <v>35</v>
      </c>
      <c r="O76">
        <v>21.06</v>
      </c>
      <c r="P76" s="1">
        <v>45352</v>
      </c>
      <c r="Q76" t="str">
        <f t="shared" si="1"/>
        <v>High Performance</v>
      </c>
      <c r="R76" s="2">
        <f>Table1_1[[#This Row],[tasks_completed]]/Table1_1[[#This Row],[monthly_hours_worked]]</f>
        <v>3.2092426187419767E-2</v>
      </c>
    </row>
    <row r="77" spans="1:18" x14ac:dyDescent="0.3">
      <c r="A77" t="s">
        <v>51</v>
      </c>
      <c r="B77" t="s">
        <v>23</v>
      </c>
      <c r="C77" t="s">
        <v>31</v>
      </c>
      <c r="D77" t="s">
        <v>19</v>
      </c>
      <c r="E77">
        <v>9</v>
      </c>
      <c r="F77">
        <v>159.6</v>
      </c>
      <c r="G77">
        <v>87.8</v>
      </c>
      <c r="H77">
        <v>5.3</v>
      </c>
      <c r="I77">
        <v>4</v>
      </c>
      <c r="J77">
        <v>6.48</v>
      </c>
      <c r="K77">
        <v>6.65</v>
      </c>
      <c r="L77">
        <v>0</v>
      </c>
      <c r="M77" t="s">
        <v>34</v>
      </c>
      <c r="N77" t="s">
        <v>35</v>
      </c>
      <c r="O77">
        <v>9.09</v>
      </c>
      <c r="P77" s="1">
        <v>45352</v>
      </c>
      <c r="Q77" t="str">
        <f t="shared" si="1"/>
        <v>Low Performance</v>
      </c>
      <c r="R77" s="2">
        <f>Table1_1[[#This Row],[tasks_completed]]/Table1_1[[#This Row],[monthly_hours_worked]]</f>
        <v>2.5062656641604012E-2</v>
      </c>
    </row>
    <row r="78" spans="1:18" x14ac:dyDescent="0.3">
      <c r="A78" t="s">
        <v>51</v>
      </c>
      <c r="B78" t="s">
        <v>27</v>
      </c>
      <c r="C78" t="s">
        <v>41</v>
      </c>
      <c r="D78" t="s">
        <v>29</v>
      </c>
      <c r="E78">
        <v>6</v>
      </c>
      <c r="F78">
        <v>170.2</v>
      </c>
      <c r="G78">
        <v>89.5</v>
      </c>
      <c r="H78">
        <v>5.7</v>
      </c>
      <c r="I78">
        <v>2</v>
      </c>
      <c r="J78">
        <v>8.2200000000000006</v>
      </c>
      <c r="K78">
        <v>6.99</v>
      </c>
      <c r="L78">
        <v>0</v>
      </c>
      <c r="M78" t="s">
        <v>34</v>
      </c>
      <c r="N78" t="s">
        <v>26</v>
      </c>
      <c r="O78">
        <v>6.72</v>
      </c>
      <c r="P78" s="1">
        <v>45383</v>
      </c>
      <c r="Q78" t="str">
        <f t="shared" si="1"/>
        <v>Low Performance</v>
      </c>
      <c r="R78" s="2">
        <f>Table1_1[[#This Row],[tasks_completed]]/Table1_1[[#This Row],[monthly_hours_worked]]</f>
        <v>1.1750881316098707E-2</v>
      </c>
    </row>
    <row r="79" spans="1:18" x14ac:dyDescent="0.3">
      <c r="A79" t="s">
        <v>51</v>
      </c>
      <c r="B79" t="s">
        <v>33</v>
      </c>
      <c r="C79" t="s">
        <v>18</v>
      </c>
      <c r="D79" t="s">
        <v>29</v>
      </c>
      <c r="E79">
        <v>4</v>
      </c>
      <c r="F79">
        <v>171.8</v>
      </c>
      <c r="G79">
        <v>91.7</v>
      </c>
      <c r="H79">
        <v>7</v>
      </c>
      <c r="I79">
        <v>5</v>
      </c>
      <c r="J79">
        <v>7.64</v>
      </c>
      <c r="K79">
        <v>8.84</v>
      </c>
      <c r="L79">
        <v>0</v>
      </c>
      <c r="M79" t="s">
        <v>20</v>
      </c>
      <c r="N79" t="s">
        <v>21</v>
      </c>
      <c r="O79">
        <v>16.309999999999999</v>
      </c>
      <c r="P79" s="1">
        <v>45413</v>
      </c>
      <c r="Q79" t="str">
        <f t="shared" si="1"/>
        <v>High Performance</v>
      </c>
      <c r="R79" s="2">
        <f>Table1_1[[#This Row],[tasks_completed]]/Table1_1[[#This Row],[monthly_hours_worked]]</f>
        <v>2.9103608847497089E-2</v>
      </c>
    </row>
    <row r="80" spans="1:18" x14ac:dyDescent="0.3">
      <c r="A80" t="s">
        <v>51</v>
      </c>
      <c r="B80" t="s">
        <v>17</v>
      </c>
      <c r="C80" t="s">
        <v>41</v>
      </c>
      <c r="D80" t="s">
        <v>29</v>
      </c>
      <c r="E80">
        <v>1</v>
      </c>
      <c r="F80">
        <v>162.1</v>
      </c>
      <c r="G80">
        <v>99.4</v>
      </c>
      <c r="H80">
        <v>8</v>
      </c>
      <c r="I80">
        <v>12</v>
      </c>
      <c r="J80">
        <v>9.7899999999999991</v>
      </c>
      <c r="K80">
        <v>6.56</v>
      </c>
      <c r="L80">
        <v>1</v>
      </c>
      <c r="M80" t="s">
        <v>20</v>
      </c>
      <c r="N80" t="s">
        <v>35</v>
      </c>
      <c r="O80">
        <v>9.56</v>
      </c>
      <c r="P80" s="1">
        <v>45444</v>
      </c>
      <c r="Q80" t="str">
        <f t="shared" si="1"/>
        <v>Low Performance</v>
      </c>
      <c r="R80" s="2">
        <f>Table1_1[[#This Row],[tasks_completed]]/Table1_1[[#This Row],[monthly_hours_worked]]</f>
        <v>7.4028377544725479E-2</v>
      </c>
    </row>
    <row r="81" spans="1:18" x14ac:dyDescent="0.3">
      <c r="A81" t="s">
        <v>51</v>
      </c>
      <c r="B81" t="s">
        <v>27</v>
      </c>
      <c r="C81" t="s">
        <v>24</v>
      </c>
      <c r="D81" t="s">
        <v>19</v>
      </c>
      <c r="E81">
        <v>7</v>
      </c>
      <c r="F81">
        <v>157</v>
      </c>
      <c r="G81">
        <v>100</v>
      </c>
      <c r="H81">
        <v>1.9</v>
      </c>
      <c r="I81">
        <v>5</v>
      </c>
      <c r="J81">
        <v>9.08</v>
      </c>
      <c r="K81">
        <v>8.01</v>
      </c>
      <c r="L81">
        <v>0</v>
      </c>
      <c r="M81" t="s">
        <v>20</v>
      </c>
      <c r="N81" t="s">
        <v>21</v>
      </c>
      <c r="O81">
        <v>4.12</v>
      </c>
      <c r="P81" s="1">
        <v>45474</v>
      </c>
      <c r="Q81" t="str">
        <f t="shared" si="1"/>
        <v>Low Performance</v>
      </c>
      <c r="R81" s="2">
        <f>Table1_1[[#This Row],[tasks_completed]]/Table1_1[[#This Row],[monthly_hours_worked]]</f>
        <v>3.1847133757961783E-2</v>
      </c>
    </row>
    <row r="82" spans="1:18" x14ac:dyDescent="0.3">
      <c r="A82" t="s">
        <v>51</v>
      </c>
      <c r="B82" t="s">
        <v>33</v>
      </c>
      <c r="C82" t="s">
        <v>41</v>
      </c>
      <c r="D82" t="s">
        <v>39</v>
      </c>
      <c r="E82">
        <v>10</v>
      </c>
      <c r="F82">
        <v>146.30000000000001</v>
      </c>
      <c r="G82">
        <v>92.6</v>
      </c>
      <c r="H82">
        <v>2.2999999999999998</v>
      </c>
      <c r="I82">
        <v>10</v>
      </c>
      <c r="K82">
        <v>6.18</v>
      </c>
      <c r="L82">
        <v>0</v>
      </c>
      <c r="M82" t="s">
        <v>20</v>
      </c>
      <c r="N82" t="s">
        <v>21</v>
      </c>
      <c r="O82">
        <v>14.35</v>
      </c>
      <c r="P82" s="1">
        <v>45505</v>
      </c>
      <c r="Q82" t="str">
        <f t="shared" si="1"/>
        <v>Medium Performance</v>
      </c>
      <c r="R82" s="2">
        <f>Table1_1[[#This Row],[tasks_completed]]/Table1_1[[#This Row],[monthly_hours_worked]]</f>
        <v>6.835269993164729E-2</v>
      </c>
    </row>
    <row r="83" spans="1:18" x14ac:dyDescent="0.3">
      <c r="A83" t="s">
        <v>51</v>
      </c>
      <c r="B83" t="s">
        <v>17</v>
      </c>
      <c r="C83" t="s">
        <v>31</v>
      </c>
      <c r="D83" t="s">
        <v>39</v>
      </c>
      <c r="E83">
        <v>4</v>
      </c>
      <c r="F83">
        <v>143.69999999999999</v>
      </c>
      <c r="G83">
        <v>92.1</v>
      </c>
      <c r="H83">
        <v>6.6</v>
      </c>
      <c r="I83">
        <v>7</v>
      </c>
      <c r="J83">
        <v>7.77</v>
      </c>
      <c r="K83">
        <v>7.65</v>
      </c>
      <c r="L83">
        <v>0</v>
      </c>
      <c r="M83" t="s">
        <v>25</v>
      </c>
      <c r="N83" t="s">
        <v>21</v>
      </c>
      <c r="O83">
        <v>12.33</v>
      </c>
      <c r="P83" s="1">
        <v>45536</v>
      </c>
      <c r="Q83" t="str">
        <f t="shared" si="1"/>
        <v>Medium Performance</v>
      </c>
      <c r="R83" s="2">
        <f>Table1_1[[#This Row],[tasks_completed]]/Table1_1[[#This Row],[monthly_hours_worked]]</f>
        <v>4.8712595685455815E-2</v>
      </c>
    </row>
    <row r="84" spans="1:18" x14ac:dyDescent="0.3">
      <c r="A84" t="s">
        <v>51</v>
      </c>
      <c r="B84" t="s">
        <v>33</v>
      </c>
      <c r="C84" t="s">
        <v>24</v>
      </c>
      <c r="D84" t="s">
        <v>19</v>
      </c>
      <c r="E84">
        <v>6</v>
      </c>
      <c r="F84">
        <v>158.4</v>
      </c>
      <c r="G84">
        <v>100</v>
      </c>
      <c r="H84">
        <v>0.5</v>
      </c>
      <c r="I84">
        <v>6</v>
      </c>
      <c r="J84">
        <v>7.85</v>
      </c>
      <c r="K84">
        <v>6.06</v>
      </c>
      <c r="L84">
        <v>2</v>
      </c>
      <c r="M84" t="s">
        <v>20</v>
      </c>
      <c r="N84" t="s">
        <v>21</v>
      </c>
      <c r="O84">
        <v>15.37</v>
      </c>
      <c r="P84" s="1">
        <v>45566</v>
      </c>
      <c r="Q84" t="str">
        <f t="shared" si="1"/>
        <v>High Performance</v>
      </c>
      <c r="R84" s="2">
        <f>Table1_1[[#This Row],[tasks_completed]]/Table1_1[[#This Row],[monthly_hours_worked]]</f>
        <v>3.787878787878788E-2</v>
      </c>
    </row>
    <row r="85" spans="1:18" x14ac:dyDescent="0.3">
      <c r="A85" t="s">
        <v>51</v>
      </c>
      <c r="B85" t="s">
        <v>43</v>
      </c>
      <c r="C85" t="s">
        <v>41</v>
      </c>
      <c r="D85" t="s">
        <v>19</v>
      </c>
      <c r="E85">
        <v>10</v>
      </c>
      <c r="F85">
        <v>139</v>
      </c>
      <c r="G85">
        <v>96.3</v>
      </c>
      <c r="H85">
        <v>4.5</v>
      </c>
      <c r="I85">
        <v>5</v>
      </c>
      <c r="J85">
        <v>9.35</v>
      </c>
      <c r="K85">
        <v>8.69</v>
      </c>
      <c r="L85">
        <v>0</v>
      </c>
      <c r="M85" t="s">
        <v>20</v>
      </c>
      <c r="N85" t="s">
        <v>26</v>
      </c>
      <c r="O85">
        <v>20.39</v>
      </c>
      <c r="P85" s="1">
        <v>45597</v>
      </c>
      <c r="Q85" t="str">
        <f t="shared" si="1"/>
        <v>High Performance</v>
      </c>
      <c r="R85" s="2">
        <f>Table1_1[[#This Row],[tasks_completed]]/Table1_1[[#This Row],[monthly_hours_worked]]</f>
        <v>3.5971223021582732E-2</v>
      </c>
    </row>
    <row r="86" spans="1:18" x14ac:dyDescent="0.3">
      <c r="A86" t="s">
        <v>52</v>
      </c>
      <c r="B86" t="s">
        <v>17</v>
      </c>
      <c r="C86" t="s">
        <v>18</v>
      </c>
      <c r="D86" t="s">
        <v>29</v>
      </c>
      <c r="E86">
        <v>1</v>
      </c>
      <c r="F86">
        <v>155.30000000000001</v>
      </c>
      <c r="G86">
        <v>100</v>
      </c>
      <c r="H86">
        <v>5.3</v>
      </c>
      <c r="I86">
        <v>3</v>
      </c>
      <c r="J86">
        <v>9.1300000000000008</v>
      </c>
      <c r="K86">
        <v>4.53</v>
      </c>
      <c r="L86">
        <v>0</v>
      </c>
      <c r="M86" t="s">
        <v>34</v>
      </c>
      <c r="N86" t="s">
        <v>21</v>
      </c>
      <c r="O86">
        <v>16.38</v>
      </c>
      <c r="P86" s="1">
        <v>45292</v>
      </c>
      <c r="Q86" t="str">
        <f t="shared" si="1"/>
        <v>High Performance</v>
      </c>
      <c r="R86" s="2">
        <f>Table1_1[[#This Row],[tasks_completed]]/Table1_1[[#This Row],[monthly_hours_worked]]</f>
        <v>1.9317450096587249E-2</v>
      </c>
    </row>
    <row r="87" spans="1:18" x14ac:dyDescent="0.3">
      <c r="A87" t="s">
        <v>52</v>
      </c>
      <c r="B87" t="s">
        <v>27</v>
      </c>
      <c r="C87" t="s">
        <v>18</v>
      </c>
      <c r="D87" t="s">
        <v>39</v>
      </c>
      <c r="E87">
        <v>5</v>
      </c>
      <c r="F87">
        <v>161.9</v>
      </c>
      <c r="G87">
        <v>90.5</v>
      </c>
      <c r="H87">
        <v>3.2</v>
      </c>
      <c r="I87">
        <v>3</v>
      </c>
      <c r="J87">
        <v>9.92</v>
      </c>
      <c r="K87">
        <v>7.14</v>
      </c>
      <c r="L87">
        <v>0</v>
      </c>
      <c r="M87" t="s">
        <v>34</v>
      </c>
      <c r="N87" t="s">
        <v>26</v>
      </c>
      <c r="O87">
        <v>14.79</v>
      </c>
      <c r="P87" s="1">
        <v>45292</v>
      </c>
      <c r="Q87" t="str">
        <f t="shared" si="1"/>
        <v>Medium Performance</v>
      </c>
      <c r="R87" s="2">
        <f>Table1_1[[#This Row],[tasks_completed]]/Table1_1[[#This Row],[monthly_hours_worked]]</f>
        <v>1.8529956763434219E-2</v>
      </c>
    </row>
    <row r="88" spans="1:18" x14ac:dyDescent="0.3">
      <c r="A88" t="s">
        <v>52</v>
      </c>
      <c r="B88" t="s">
        <v>23</v>
      </c>
      <c r="C88" t="s">
        <v>31</v>
      </c>
      <c r="D88" t="s">
        <v>29</v>
      </c>
      <c r="E88">
        <v>2</v>
      </c>
      <c r="F88">
        <v>164.3</v>
      </c>
      <c r="G88">
        <v>84.6</v>
      </c>
      <c r="H88">
        <v>3.5</v>
      </c>
      <c r="I88">
        <v>5</v>
      </c>
      <c r="J88">
        <v>8.26</v>
      </c>
      <c r="K88">
        <v>6.79</v>
      </c>
      <c r="L88">
        <v>0</v>
      </c>
      <c r="M88" t="s">
        <v>25</v>
      </c>
      <c r="N88" t="s">
        <v>35</v>
      </c>
      <c r="O88">
        <v>12.03</v>
      </c>
      <c r="P88" s="1">
        <v>45352</v>
      </c>
      <c r="Q88" t="str">
        <f t="shared" si="1"/>
        <v>Medium Performance</v>
      </c>
      <c r="R88" s="2">
        <f>Table1_1[[#This Row],[tasks_completed]]/Table1_1[[#This Row],[monthly_hours_worked]]</f>
        <v>3.0432136335970784E-2</v>
      </c>
    </row>
    <row r="89" spans="1:18" x14ac:dyDescent="0.3">
      <c r="A89" t="s">
        <v>52</v>
      </c>
      <c r="B89" t="s">
        <v>33</v>
      </c>
      <c r="C89" t="s">
        <v>18</v>
      </c>
      <c r="D89" t="s">
        <v>39</v>
      </c>
      <c r="E89">
        <v>10</v>
      </c>
      <c r="F89">
        <v>162</v>
      </c>
      <c r="G89">
        <v>100</v>
      </c>
      <c r="H89">
        <v>7.2</v>
      </c>
      <c r="I89">
        <v>7</v>
      </c>
      <c r="J89">
        <v>9.2799999999999994</v>
      </c>
      <c r="K89">
        <v>6.87</v>
      </c>
      <c r="L89">
        <v>1</v>
      </c>
      <c r="M89" t="s">
        <v>25</v>
      </c>
      <c r="N89" t="s">
        <v>26</v>
      </c>
      <c r="O89">
        <v>16.690000000000001</v>
      </c>
      <c r="P89" s="1">
        <v>45352</v>
      </c>
      <c r="Q89" t="str">
        <f t="shared" si="1"/>
        <v>High Performance</v>
      </c>
      <c r="R89" s="2">
        <f>Table1_1[[#This Row],[tasks_completed]]/Table1_1[[#This Row],[monthly_hours_worked]]</f>
        <v>4.3209876543209874E-2</v>
      </c>
    </row>
    <row r="90" spans="1:18" x14ac:dyDescent="0.3">
      <c r="A90" t="s">
        <v>52</v>
      </c>
      <c r="B90" t="s">
        <v>23</v>
      </c>
      <c r="C90" t="s">
        <v>18</v>
      </c>
      <c r="D90" t="s">
        <v>39</v>
      </c>
      <c r="E90">
        <v>9</v>
      </c>
      <c r="F90">
        <v>157.4</v>
      </c>
      <c r="G90">
        <v>92.5</v>
      </c>
      <c r="H90">
        <v>5.6</v>
      </c>
      <c r="I90">
        <v>10</v>
      </c>
      <c r="J90">
        <v>6.32</v>
      </c>
      <c r="K90">
        <v>9.68</v>
      </c>
      <c r="L90">
        <v>0</v>
      </c>
      <c r="M90" t="s">
        <v>34</v>
      </c>
      <c r="N90" t="s">
        <v>35</v>
      </c>
      <c r="O90">
        <v>22.59</v>
      </c>
      <c r="P90" s="1">
        <v>45383</v>
      </c>
      <c r="Q90" t="str">
        <f t="shared" si="1"/>
        <v>High Performance</v>
      </c>
      <c r="R90" s="2">
        <f>Table1_1[[#This Row],[tasks_completed]]/Table1_1[[#This Row],[monthly_hours_worked]]</f>
        <v>6.353240152477764E-2</v>
      </c>
    </row>
    <row r="91" spans="1:18" x14ac:dyDescent="0.3">
      <c r="A91" t="s">
        <v>52</v>
      </c>
      <c r="B91" t="s">
        <v>27</v>
      </c>
      <c r="C91" t="s">
        <v>24</v>
      </c>
      <c r="D91" t="s">
        <v>29</v>
      </c>
      <c r="E91">
        <v>3</v>
      </c>
      <c r="F91">
        <v>150.1</v>
      </c>
      <c r="G91">
        <v>84.2</v>
      </c>
      <c r="H91">
        <v>3.7</v>
      </c>
      <c r="I91">
        <v>5</v>
      </c>
      <c r="J91">
        <v>5.52</v>
      </c>
      <c r="K91">
        <v>8.9600000000000009</v>
      </c>
      <c r="L91">
        <v>0</v>
      </c>
      <c r="M91" t="s">
        <v>25</v>
      </c>
      <c r="N91" t="s">
        <v>21</v>
      </c>
      <c r="O91">
        <v>10.49</v>
      </c>
      <c r="P91" s="1">
        <v>45413</v>
      </c>
      <c r="Q91" t="str">
        <f t="shared" si="1"/>
        <v>Medium Performance</v>
      </c>
      <c r="R91" s="2">
        <f>Table1_1[[#This Row],[tasks_completed]]/Table1_1[[#This Row],[monthly_hours_worked]]</f>
        <v>3.3311125916055964E-2</v>
      </c>
    </row>
    <row r="92" spans="1:18" x14ac:dyDescent="0.3">
      <c r="A92" t="s">
        <v>52</v>
      </c>
      <c r="B92" t="s">
        <v>43</v>
      </c>
      <c r="C92" t="s">
        <v>18</v>
      </c>
      <c r="D92" t="s">
        <v>29</v>
      </c>
      <c r="E92">
        <v>6</v>
      </c>
      <c r="F92">
        <v>143.69999999999999</v>
      </c>
      <c r="G92">
        <v>95.9</v>
      </c>
      <c r="H92">
        <v>0.2</v>
      </c>
      <c r="I92">
        <v>9</v>
      </c>
      <c r="J92">
        <v>6.7</v>
      </c>
      <c r="K92">
        <v>4.57</v>
      </c>
      <c r="L92">
        <v>0</v>
      </c>
      <c r="M92" t="s">
        <v>34</v>
      </c>
      <c r="N92" t="s">
        <v>35</v>
      </c>
      <c r="O92">
        <v>10.98</v>
      </c>
      <c r="P92" s="1">
        <v>45444</v>
      </c>
      <c r="Q92" t="str">
        <f t="shared" si="1"/>
        <v>Medium Performance</v>
      </c>
      <c r="R92" s="2">
        <f>Table1_1[[#This Row],[tasks_completed]]/Table1_1[[#This Row],[monthly_hours_worked]]</f>
        <v>6.2630480167014613E-2</v>
      </c>
    </row>
    <row r="93" spans="1:18" x14ac:dyDescent="0.3">
      <c r="A93" t="s">
        <v>52</v>
      </c>
      <c r="B93" t="s">
        <v>43</v>
      </c>
      <c r="C93" t="s">
        <v>24</v>
      </c>
      <c r="D93" t="s">
        <v>39</v>
      </c>
      <c r="E93">
        <v>3</v>
      </c>
      <c r="F93">
        <v>159.69999999999999</v>
      </c>
      <c r="G93">
        <v>90.2</v>
      </c>
      <c r="H93">
        <v>3.3</v>
      </c>
      <c r="I93">
        <v>7</v>
      </c>
      <c r="J93">
        <v>6.02</v>
      </c>
      <c r="K93">
        <v>6.73</v>
      </c>
      <c r="L93">
        <v>1</v>
      </c>
      <c r="M93" t="s">
        <v>25</v>
      </c>
      <c r="N93" t="s">
        <v>26</v>
      </c>
      <c r="O93">
        <v>12.02</v>
      </c>
      <c r="P93" s="1">
        <v>45474</v>
      </c>
      <c r="Q93" t="str">
        <f t="shared" si="1"/>
        <v>Medium Performance</v>
      </c>
      <c r="R93" s="2">
        <f>Table1_1[[#This Row],[tasks_completed]]/Table1_1[[#This Row],[monthly_hours_worked]]</f>
        <v>4.3832185347526614E-2</v>
      </c>
    </row>
    <row r="94" spans="1:18" x14ac:dyDescent="0.3">
      <c r="A94" t="s">
        <v>52</v>
      </c>
      <c r="B94" t="s">
        <v>17</v>
      </c>
      <c r="C94" t="s">
        <v>31</v>
      </c>
      <c r="D94" t="s">
        <v>29</v>
      </c>
      <c r="E94">
        <v>10</v>
      </c>
      <c r="F94">
        <v>154.6</v>
      </c>
      <c r="G94">
        <v>97.6</v>
      </c>
      <c r="H94">
        <v>6.9</v>
      </c>
      <c r="I94">
        <v>5</v>
      </c>
      <c r="J94">
        <v>6.51</v>
      </c>
      <c r="K94">
        <v>5</v>
      </c>
      <c r="L94">
        <v>0</v>
      </c>
      <c r="M94" t="s">
        <v>20</v>
      </c>
      <c r="N94" t="s">
        <v>21</v>
      </c>
      <c r="O94">
        <v>14.01</v>
      </c>
      <c r="P94" s="1">
        <v>45505</v>
      </c>
      <c r="Q94" t="str">
        <f t="shared" si="1"/>
        <v>Medium Performance</v>
      </c>
      <c r="R94" s="2">
        <f>Table1_1[[#This Row],[tasks_completed]]/Table1_1[[#This Row],[monthly_hours_worked]]</f>
        <v>3.2341526520051747E-2</v>
      </c>
    </row>
    <row r="95" spans="1:18" x14ac:dyDescent="0.3">
      <c r="A95" t="s">
        <v>52</v>
      </c>
      <c r="B95" t="s">
        <v>23</v>
      </c>
      <c r="C95" t="s">
        <v>31</v>
      </c>
      <c r="D95" t="s">
        <v>39</v>
      </c>
      <c r="E95">
        <v>6</v>
      </c>
      <c r="F95">
        <v>160.5</v>
      </c>
      <c r="G95">
        <v>95.2</v>
      </c>
      <c r="H95">
        <v>3.6</v>
      </c>
      <c r="I95">
        <v>9</v>
      </c>
      <c r="J95">
        <v>6.51</v>
      </c>
      <c r="K95">
        <v>5.65</v>
      </c>
      <c r="L95">
        <v>0</v>
      </c>
      <c r="M95" t="s">
        <v>20</v>
      </c>
      <c r="N95" t="s">
        <v>21</v>
      </c>
      <c r="O95">
        <v>15.2</v>
      </c>
      <c r="P95" s="1">
        <v>45536</v>
      </c>
      <c r="Q95" t="str">
        <f t="shared" si="1"/>
        <v>High Performance</v>
      </c>
      <c r="R95" s="2">
        <f>Table1_1[[#This Row],[tasks_completed]]/Table1_1[[#This Row],[monthly_hours_worked]]</f>
        <v>5.6074766355140186E-2</v>
      </c>
    </row>
    <row r="96" spans="1:18" x14ac:dyDescent="0.3">
      <c r="A96" t="s">
        <v>52</v>
      </c>
      <c r="B96" t="s">
        <v>23</v>
      </c>
      <c r="C96" t="s">
        <v>18</v>
      </c>
      <c r="D96" t="s">
        <v>19</v>
      </c>
      <c r="E96">
        <v>1</v>
      </c>
      <c r="F96">
        <v>148.6</v>
      </c>
      <c r="G96">
        <v>93.7</v>
      </c>
      <c r="H96">
        <v>6</v>
      </c>
      <c r="I96">
        <v>5</v>
      </c>
      <c r="J96">
        <v>6.96</v>
      </c>
      <c r="K96">
        <v>4.3499999999999996</v>
      </c>
      <c r="L96">
        <v>0</v>
      </c>
      <c r="M96" t="s">
        <v>25</v>
      </c>
      <c r="N96" t="s">
        <v>35</v>
      </c>
      <c r="O96">
        <v>16.48</v>
      </c>
      <c r="P96" s="1">
        <v>45566</v>
      </c>
      <c r="Q96" t="str">
        <f t="shared" si="1"/>
        <v>High Performance</v>
      </c>
      <c r="R96" s="2">
        <f>Table1_1[[#This Row],[tasks_completed]]/Table1_1[[#This Row],[monthly_hours_worked]]</f>
        <v>3.3647375504710635E-2</v>
      </c>
    </row>
    <row r="97" spans="1:18" x14ac:dyDescent="0.3">
      <c r="A97" t="s">
        <v>52</v>
      </c>
      <c r="B97" t="s">
        <v>33</v>
      </c>
      <c r="C97" t="s">
        <v>37</v>
      </c>
      <c r="D97" t="s">
        <v>29</v>
      </c>
      <c r="E97">
        <v>9</v>
      </c>
      <c r="F97">
        <v>163.1</v>
      </c>
      <c r="G97">
        <v>95</v>
      </c>
      <c r="H97">
        <v>5.8</v>
      </c>
      <c r="I97">
        <v>6</v>
      </c>
      <c r="J97">
        <v>6.34</v>
      </c>
      <c r="K97">
        <v>8.14</v>
      </c>
      <c r="L97">
        <v>0</v>
      </c>
      <c r="M97" t="s">
        <v>20</v>
      </c>
      <c r="N97" t="s">
        <v>35</v>
      </c>
      <c r="O97">
        <v>22.05</v>
      </c>
      <c r="P97" s="1">
        <v>45597</v>
      </c>
      <c r="Q97" t="str">
        <f t="shared" si="1"/>
        <v>High Performance</v>
      </c>
      <c r="R97" s="2">
        <f>Table1_1[[#This Row],[tasks_completed]]/Table1_1[[#This Row],[monthly_hours_worked]]</f>
        <v>3.6787247087676271E-2</v>
      </c>
    </row>
    <row r="98" spans="1:18" x14ac:dyDescent="0.3">
      <c r="A98" t="s">
        <v>53</v>
      </c>
      <c r="B98" t="s">
        <v>27</v>
      </c>
      <c r="C98" t="s">
        <v>31</v>
      </c>
      <c r="D98" t="s">
        <v>19</v>
      </c>
      <c r="E98">
        <v>4</v>
      </c>
      <c r="F98">
        <v>154.19999999999999</v>
      </c>
      <c r="G98">
        <v>89.9</v>
      </c>
      <c r="H98">
        <v>3.7</v>
      </c>
      <c r="I98">
        <v>2</v>
      </c>
      <c r="J98">
        <v>5.66</v>
      </c>
      <c r="K98">
        <v>5.76</v>
      </c>
      <c r="L98">
        <v>0</v>
      </c>
      <c r="M98" t="s">
        <v>34</v>
      </c>
      <c r="N98" t="s">
        <v>35</v>
      </c>
      <c r="O98">
        <v>15.18</v>
      </c>
      <c r="P98" s="1">
        <v>45292</v>
      </c>
      <c r="Q98" t="str">
        <f t="shared" si="1"/>
        <v>High Performance</v>
      </c>
      <c r="R98" s="2">
        <f>Table1_1[[#This Row],[tasks_completed]]/Table1_1[[#This Row],[monthly_hours_worked]]</f>
        <v>1.2970168612191959E-2</v>
      </c>
    </row>
    <row r="99" spans="1:18" x14ac:dyDescent="0.3">
      <c r="A99" t="s">
        <v>53</v>
      </c>
      <c r="B99" t="s">
        <v>17</v>
      </c>
      <c r="C99" t="s">
        <v>18</v>
      </c>
      <c r="D99" t="s">
        <v>39</v>
      </c>
      <c r="E99">
        <v>6</v>
      </c>
      <c r="F99">
        <v>176.9</v>
      </c>
      <c r="G99">
        <v>99.4</v>
      </c>
      <c r="H99">
        <v>4.5</v>
      </c>
      <c r="I99">
        <v>3</v>
      </c>
      <c r="J99">
        <v>5.19</v>
      </c>
      <c r="K99">
        <v>6.98</v>
      </c>
      <c r="L99">
        <v>0</v>
      </c>
      <c r="M99" t="s">
        <v>25</v>
      </c>
      <c r="N99" t="s">
        <v>26</v>
      </c>
      <c r="O99">
        <v>13.68</v>
      </c>
      <c r="P99" s="1">
        <v>45292</v>
      </c>
      <c r="Q99" t="str">
        <f t="shared" si="1"/>
        <v>Medium Performance</v>
      </c>
      <c r="R99" s="2">
        <f>Table1_1[[#This Row],[tasks_completed]]/Table1_1[[#This Row],[monthly_hours_worked]]</f>
        <v>1.6958733747880157E-2</v>
      </c>
    </row>
    <row r="100" spans="1:18" x14ac:dyDescent="0.3">
      <c r="A100" t="s">
        <v>53</v>
      </c>
      <c r="B100" t="s">
        <v>33</v>
      </c>
      <c r="C100" t="s">
        <v>18</v>
      </c>
      <c r="D100" t="s">
        <v>29</v>
      </c>
      <c r="E100">
        <v>6</v>
      </c>
      <c r="F100">
        <v>165.6</v>
      </c>
      <c r="G100">
        <v>95.4</v>
      </c>
      <c r="I100">
        <v>5</v>
      </c>
      <c r="J100">
        <v>6.12</v>
      </c>
      <c r="K100">
        <v>9.18</v>
      </c>
      <c r="L100">
        <v>1</v>
      </c>
      <c r="M100" t="s">
        <v>34</v>
      </c>
      <c r="N100" t="s">
        <v>35</v>
      </c>
      <c r="O100">
        <v>16.79</v>
      </c>
      <c r="P100" s="1">
        <v>45352</v>
      </c>
      <c r="Q100" t="str">
        <f t="shared" si="1"/>
        <v>High Performance</v>
      </c>
      <c r="R100" s="2">
        <f>Table1_1[[#This Row],[tasks_completed]]/Table1_1[[#This Row],[monthly_hours_worked]]</f>
        <v>3.0193236714975848E-2</v>
      </c>
    </row>
    <row r="101" spans="1:18" x14ac:dyDescent="0.3">
      <c r="A101" t="s">
        <v>53</v>
      </c>
      <c r="B101" t="s">
        <v>33</v>
      </c>
      <c r="C101" t="s">
        <v>37</v>
      </c>
      <c r="D101" t="s">
        <v>39</v>
      </c>
      <c r="E101">
        <v>7</v>
      </c>
      <c r="F101">
        <v>149.1</v>
      </c>
      <c r="G101">
        <v>93.4</v>
      </c>
      <c r="H101">
        <v>7.4</v>
      </c>
      <c r="I101">
        <v>5</v>
      </c>
      <c r="J101">
        <v>7.71</v>
      </c>
      <c r="K101">
        <v>8.42</v>
      </c>
      <c r="L101">
        <v>0</v>
      </c>
      <c r="M101" t="s">
        <v>34</v>
      </c>
      <c r="N101" t="s">
        <v>26</v>
      </c>
      <c r="O101">
        <v>18.64</v>
      </c>
      <c r="P101" s="1">
        <v>45352</v>
      </c>
      <c r="Q101" t="str">
        <f t="shared" si="1"/>
        <v>High Performance</v>
      </c>
      <c r="R101" s="2">
        <f>Table1_1[[#This Row],[tasks_completed]]/Table1_1[[#This Row],[monthly_hours_worked]]</f>
        <v>3.35345405767941E-2</v>
      </c>
    </row>
    <row r="102" spans="1:18" x14ac:dyDescent="0.3">
      <c r="A102" t="s">
        <v>53</v>
      </c>
      <c r="B102" t="s">
        <v>17</v>
      </c>
      <c r="C102" t="s">
        <v>31</v>
      </c>
      <c r="D102" t="s">
        <v>19</v>
      </c>
      <c r="E102">
        <v>1</v>
      </c>
      <c r="F102">
        <v>153.19999999999999</v>
      </c>
      <c r="G102">
        <v>89.1</v>
      </c>
      <c r="H102">
        <v>1.9</v>
      </c>
      <c r="I102">
        <v>8</v>
      </c>
      <c r="J102">
        <v>5.71</v>
      </c>
      <c r="K102">
        <v>3.01</v>
      </c>
      <c r="L102">
        <v>0</v>
      </c>
      <c r="M102" t="s">
        <v>25</v>
      </c>
      <c r="N102" t="s">
        <v>35</v>
      </c>
      <c r="O102">
        <v>18.16</v>
      </c>
      <c r="P102" s="1">
        <v>45383</v>
      </c>
      <c r="Q102" t="str">
        <f t="shared" si="1"/>
        <v>High Performance</v>
      </c>
      <c r="R102" s="2">
        <f>Table1_1[[#This Row],[tasks_completed]]/Table1_1[[#This Row],[monthly_hours_worked]]</f>
        <v>5.2219321148825069E-2</v>
      </c>
    </row>
    <row r="103" spans="1:18" x14ac:dyDescent="0.3">
      <c r="A103" t="s">
        <v>53</v>
      </c>
      <c r="B103" t="s">
        <v>17</v>
      </c>
      <c r="C103" t="s">
        <v>31</v>
      </c>
      <c r="D103" t="s">
        <v>29</v>
      </c>
      <c r="E103">
        <v>1</v>
      </c>
      <c r="F103">
        <v>160.80000000000001</v>
      </c>
      <c r="G103">
        <v>94.5</v>
      </c>
      <c r="H103">
        <v>6.8</v>
      </c>
      <c r="I103">
        <v>6</v>
      </c>
      <c r="J103">
        <v>7.06</v>
      </c>
      <c r="K103">
        <v>4.93</v>
      </c>
      <c r="L103">
        <v>2</v>
      </c>
      <c r="M103" t="s">
        <v>34</v>
      </c>
      <c r="N103" t="s">
        <v>26</v>
      </c>
      <c r="O103">
        <v>19.75</v>
      </c>
      <c r="P103" s="1">
        <v>45413</v>
      </c>
      <c r="Q103" t="str">
        <f t="shared" si="1"/>
        <v>High Performance</v>
      </c>
      <c r="R103" s="2">
        <f>Table1_1[[#This Row],[tasks_completed]]/Table1_1[[#This Row],[monthly_hours_worked]]</f>
        <v>3.7313432835820892E-2</v>
      </c>
    </row>
    <row r="104" spans="1:18" x14ac:dyDescent="0.3">
      <c r="A104" t="s">
        <v>53</v>
      </c>
      <c r="B104" t="s">
        <v>23</v>
      </c>
      <c r="C104" t="s">
        <v>37</v>
      </c>
      <c r="D104" t="s">
        <v>39</v>
      </c>
      <c r="E104">
        <v>10</v>
      </c>
      <c r="F104">
        <v>157.69999999999999</v>
      </c>
      <c r="G104">
        <v>96</v>
      </c>
      <c r="H104">
        <v>9.9</v>
      </c>
      <c r="I104">
        <v>5</v>
      </c>
      <c r="J104">
        <v>7.05</v>
      </c>
      <c r="K104">
        <v>8.02</v>
      </c>
      <c r="L104">
        <v>0</v>
      </c>
      <c r="M104" t="s">
        <v>25</v>
      </c>
      <c r="N104" t="s">
        <v>26</v>
      </c>
      <c r="O104">
        <v>14.62</v>
      </c>
      <c r="P104" s="1">
        <v>45444</v>
      </c>
      <c r="Q104" t="str">
        <f t="shared" si="1"/>
        <v>Medium Performance</v>
      </c>
      <c r="R104" s="2">
        <f>Table1_1[[#This Row],[tasks_completed]]/Table1_1[[#This Row],[monthly_hours_worked]]</f>
        <v>3.1705770450221944E-2</v>
      </c>
    </row>
    <row r="105" spans="1:18" x14ac:dyDescent="0.3">
      <c r="A105" t="s">
        <v>53</v>
      </c>
      <c r="B105" t="s">
        <v>33</v>
      </c>
      <c r="C105" t="s">
        <v>41</v>
      </c>
      <c r="D105" t="s">
        <v>39</v>
      </c>
      <c r="E105">
        <v>4</v>
      </c>
      <c r="F105">
        <v>150.6</v>
      </c>
      <c r="G105">
        <v>94.3</v>
      </c>
      <c r="H105">
        <v>2.6</v>
      </c>
      <c r="I105">
        <v>5</v>
      </c>
      <c r="J105">
        <v>8.4</v>
      </c>
      <c r="K105">
        <v>7.3</v>
      </c>
      <c r="L105">
        <v>2</v>
      </c>
      <c r="M105" t="s">
        <v>34</v>
      </c>
      <c r="N105" t="s">
        <v>21</v>
      </c>
      <c r="O105">
        <v>11.56</v>
      </c>
      <c r="P105" s="1">
        <v>45474</v>
      </c>
      <c r="Q105" t="str">
        <f t="shared" si="1"/>
        <v>Medium Performance</v>
      </c>
      <c r="R105" s="2">
        <f>Table1_1[[#This Row],[tasks_completed]]/Table1_1[[#This Row],[monthly_hours_worked]]</f>
        <v>3.3200531208499334E-2</v>
      </c>
    </row>
    <row r="106" spans="1:18" x14ac:dyDescent="0.3">
      <c r="A106" t="s">
        <v>53</v>
      </c>
      <c r="B106" t="s">
        <v>33</v>
      </c>
      <c r="C106" t="s">
        <v>41</v>
      </c>
      <c r="D106" t="s">
        <v>39</v>
      </c>
      <c r="E106">
        <v>3</v>
      </c>
      <c r="F106">
        <v>152.9</v>
      </c>
      <c r="G106">
        <v>99.3</v>
      </c>
      <c r="H106">
        <v>6.1</v>
      </c>
      <c r="I106">
        <v>5</v>
      </c>
      <c r="J106">
        <v>6.12</v>
      </c>
      <c r="K106">
        <v>8.9</v>
      </c>
      <c r="L106">
        <v>1</v>
      </c>
      <c r="M106" t="s">
        <v>34</v>
      </c>
      <c r="N106" t="s">
        <v>35</v>
      </c>
      <c r="O106">
        <v>16.07</v>
      </c>
      <c r="P106" s="1">
        <v>45505</v>
      </c>
      <c r="Q106" t="str">
        <f t="shared" si="1"/>
        <v>High Performance</v>
      </c>
      <c r="R106" s="2">
        <f>Table1_1[[#This Row],[tasks_completed]]/Table1_1[[#This Row],[monthly_hours_worked]]</f>
        <v>3.2701111837802485E-2</v>
      </c>
    </row>
    <row r="107" spans="1:18" x14ac:dyDescent="0.3">
      <c r="A107" t="s">
        <v>53</v>
      </c>
      <c r="B107" t="s">
        <v>33</v>
      </c>
      <c r="C107" t="s">
        <v>31</v>
      </c>
      <c r="D107" t="s">
        <v>19</v>
      </c>
      <c r="E107">
        <v>5</v>
      </c>
      <c r="F107">
        <v>158.69999999999999</v>
      </c>
      <c r="G107">
        <v>99.9</v>
      </c>
      <c r="H107">
        <v>4</v>
      </c>
      <c r="I107">
        <v>4</v>
      </c>
      <c r="J107">
        <v>5.74</v>
      </c>
      <c r="K107">
        <v>5.85</v>
      </c>
      <c r="L107">
        <v>0</v>
      </c>
      <c r="M107" t="s">
        <v>20</v>
      </c>
      <c r="N107" t="s">
        <v>26</v>
      </c>
      <c r="O107">
        <v>0.23</v>
      </c>
      <c r="P107" s="1">
        <v>45536</v>
      </c>
      <c r="Q107" t="str">
        <f t="shared" si="1"/>
        <v>Low Performance</v>
      </c>
      <c r="R107" s="2">
        <f>Table1_1[[#This Row],[tasks_completed]]/Table1_1[[#This Row],[monthly_hours_worked]]</f>
        <v>2.5204788909892882E-2</v>
      </c>
    </row>
    <row r="108" spans="1:18" x14ac:dyDescent="0.3">
      <c r="A108" t="s">
        <v>53</v>
      </c>
      <c r="B108" t="s">
        <v>23</v>
      </c>
      <c r="C108" t="s">
        <v>24</v>
      </c>
      <c r="D108" t="s">
        <v>39</v>
      </c>
      <c r="E108">
        <v>5</v>
      </c>
      <c r="F108">
        <v>154.5</v>
      </c>
      <c r="G108">
        <v>97</v>
      </c>
      <c r="H108">
        <v>2</v>
      </c>
      <c r="I108">
        <v>3</v>
      </c>
      <c r="J108">
        <v>7.78</v>
      </c>
      <c r="K108">
        <v>6.97</v>
      </c>
      <c r="L108">
        <v>0</v>
      </c>
      <c r="M108" t="s">
        <v>34</v>
      </c>
      <c r="N108" t="s">
        <v>35</v>
      </c>
      <c r="O108">
        <v>15.86</v>
      </c>
      <c r="P108" s="1">
        <v>45566</v>
      </c>
      <c r="Q108" t="str">
        <f t="shared" si="1"/>
        <v>High Performance</v>
      </c>
      <c r="R108" s="2">
        <f>Table1_1[[#This Row],[tasks_completed]]/Table1_1[[#This Row],[monthly_hours_worked]]</f>
        <v>1.9417475728155338E-2</v>
      </c>
    </row>
    <row r="109" spans="1:18" x14ac:dyDescent="0.3">
      <c r="A109" t="s">
        <v>53</v>
      </c>
      <c r="B109" t="s">
        <v>23</v>
      </c>
      <c r="C109" t="s">
        <v>41</v>
      </c>
      <c r="D109" t="s">
        <v>19</v>
      </c>
      <c r="E109">
        <v>5</v>
      </c>
      <c r="F109">
        <v>148.1</v>
      </c>
      <c r="G109">
        <v>94.8</v>
      </c>
      <c r="H109">
        <v>7.3</v>
      </c>
      <c r="I109">
        <v>10</v>
      </c>
      <c r="J109">
        <v>6.21</v>
      </c>
      <c r="K109">
        <v>8.36</v>
      </c>
      <c r="L109">
        <v>0</v>
      </c>
      <c r="M109" t="s">
        <v>20</v>
      </c>
      <c r="N109" t="s">
        <v>35</v>
      </c>
      <c r="O109">
        <v>12.21</v>
      </c>
      <c r="P109" s="1">
        <v>45597</v>
      </c>
      <c r="Q109" t="str">
        <f t="shared" si="1"/>
        <v>Medium Performance</v>
      </c>
      <c r="R109" s="2">
        <f>Table1_1[[#This Row],[tasks_completed]]/Table1_1[[#This Row],[monthly_hours_worked]]</f>
        <v>6.7521944632005407E-2</v>
      </c>
    </row>
    <row r="110" spans="1:18" x14ac:dyDescent="0.3">
      <c r="A110" t="s">
        <v>54</v>
      </c>
      <c r="B110" t="s">
        <v>27</v>
      </c>
      <c r="C110" t="s">
        <v>18</v>
      </c>
      <c r="D110" t="s">
        <v>39</v>
      </c>
      <c r="E110">
        <v>8</v>
      </c>
      <c r="F110">
        <v>181.6</v>
      </c>
      <c r="G110">
        <v>92</v>
      </c>
      <c r="H110">
        <v>6.5</v>
      </c>
      <c r="I110">
        <v>4</v>
      </c>
      <c r="J110">
        <v>7.95</v>
      </c>
      <c r="K110">
        <v>7.18</v>
      </c>
      <c r="L110">
        <v>1</v>
      </c>
      <c r="M110" t="s">
        <v>20</v>
      </c>
      <c r="N110" t="s">
        <v>21</v>
      </c>
      <c r="O110">
        <v>21.93</v>
      </c>
      <c r="P110" s="1">
        <v>45292</v>
      </c>
      <c r="Q110" t="str">
        <f t="shared" si="1"/>
        <v>High Performance</v>
      </c>
      <c r="R110" s="2">
        <f>Table1_1[[#This Row],[tasks_completed]]/Table1_1[[#This Row],[monthly_hours_worked]]</f>
        <v>2.2026431718061675E-2</v>
      </c>
    </row>
    <row r="111" spans="1:18" x14ac:dyDescent="0.3">
      <c r="A111" t="s">
        <v>54</v>
      </c>
      <c r="B111" t="s">
        <v>43</v>
      </c>
      <c r="C111" t="s">
        <v>41</v>
      </c>
      <c r="D111" t="s">
        <v>19</v>
      </c>
      <c r="E111">
        <v>8</v>
      </c>
      <c r="F111">
        <v>162.4</v>
      </c>
      <c r="G111">
        <v>92.7</v>
      </c>
      <c r="H111">
        <v>3.4</v>
      </c>
      <c r="I111">
        <v>5</v>
      </c>
      <c r="J111">
        <v>9.4499999999999993</v>
      </c>
      <c r="K111">
        <v>7.57</v>
      </c>
      <c r="L111">
        <v>1</v>
      </c>
      <c r="M111" t="s">
        <v>34</v>
      </c>
      <c r="N111" t="s">
        <v>35</v>
      </c>
      <c r="O111">
        <v>10.02</v>
      </c>
      <c r="P111" s="1">
        <v>45292</v>
      </c>
      <c r="Q111" t="str">
        <f t="shared" si="1"/>
        <v>Medium Performance</v>
      </c>
      <c r="R111" s="2">
        <f>Table1_1[[#This Row],[tasks_completed]]/Table1_1[[#This Row],[monthly_hours_worked]]</f>
        <v>3.0788177339901478E-2</v>
      </c>
    </row>
    <row r="112" spans="1:18" x14ac:dyDescent="0.3">
      <c r="A112" t="s">
        <v>54</v>
      </c>
      <c r="B112" t="s">
        <v>43</v>
      </c>
      <c r="C112" t="s">
        <v>31</v>
      </c>
      <c r="D112" t="s">
        <v>39</v>
      </c>
      <c r="E112">
        <v>10</v>
      </c>
      <c r="F112">
        <v>166.1</v>
      </c>
      <c r="G112">
        <v>100</v>
      </c>
      <c r="H112">
        <v>2.5</v>
      </c>
      <c r="I112">
        <v>5</v>
      </c>
      <c r="J112">
        <v>6.75</v>
      </c>
      <c r="K112">
        <v>9.91</v>
      </c>
      <c r="L112">
        <v>1</v>
      </c>
      <c r="M112" t="s">
        <v>34</v>
      </c>
      <c r="N112" t="s">
        <v>21</v>
      </c>
      <c r="O112">
        <v>23.24</v>
      </c>
      <c r="P112" s="1">
        <v>45352</v>
      </c>
      <c r="Q112" t="str">
        <f t="shared" si="1"/>
        <v>High Performance</v>
      </c>
      <c r="R112" s="2">
        <f>Table1_1[[#This Row],[tasks_completed]]/Table1_1[[#This Row],[monthly_hours_worked]]</f>
        <v>3.0102347983142687E-2</v>
      </c>
    </row>
    <row r="113" spans="1:18" x14ac:dyDescent="0.3">
      <c r="A113" t="s">
        <v>54</v>
      </c>
      <c r="B113" t="s">
        <v>27</v>
      </c>
      <c r="C113" t="s">
        <v>31</v>
      </c>
      <c r="D113" t="s">
        <v>19</v>
      </c>
      <c r="E113">
        <v>2</v>
      </c>
      <c r="F113">
        <v>156.4</v>
      </c>
      <c r="G113">
        <v>90.8</v>
      </c>
      <c r="H113">
        <v>2.9</v>
      </c>
      <c r="I113">
        <v>5</v>
      </c>
      <c r="J113">
        <v>4.55</v>
      </c>
      <c r="K113">
        <v>7.61</v>
      </c>
      <c r="L113">
        <v>0</v>
      </c>
      <c r="M113" t="s">
        <v>25</v>
      </c>
      <c r="N113" t="s">
        <v>26</v>
      </c>
      <c r="O113">
        <v>16.37</v>
      </c>
      <c r="P113" s="1">
        <v>45352</v>
      </c>
      <c r="Q113" t="str">
        <f t="shared" si="1"/>
        <v>High Performance</v>
      </c>
      <c r="R113" s="2">
        <f>Table1_1[[#This Row],[tasks_completed]]/Table1_1[[#This Row],[monthly_hours_worked]]</f>
        <v>3.1969309462915603E-2</v>
      </c>
    </row>
    <row r="114" spans="1:18" x14ac:dyDescent="0.3">
      <c r="A114" t="s">
        <v>54</v>
      </c>
      <c r="B114" t="s">
        <v>17</v>
      </c>
      <c r="C114" t="s">
        <v>37</v>
      </c>
      <c r="D114" t="s">
        <v>19</v>
      </c>
      <c r="E114">
        <v>7</v>
      </c>
      <c r="F114">
        <v>156.5</v>
      </c>
      <c r="G114">
        <v>97.7</v>
      </c>
      <c r="H114">
        <v>9.3000000000000007</v>
      </c>
      <c r="I114">
        <v>5</v>
      </c>
      <c r="J114">
        <v>8.5299999999999994</v>
      </c>
      <c r="K114">
        <v>9.25</v>
      </c>
      <c r="L114">
        <v>0</v>
      </c>
      <c r="M114" t="s">
        <v>34</v>
      </c>
      <c r="N114" t="s">
        <v>26</v>
      </c>
      <c r="O114">
        <v>10.72</v>
      </c>
      <c r="P114" s="1">
        <v>45383</v>
      </c>
      <c r="Q114" t="str">
        <f t="shared" si="1"/>
        <v>Medium Performance</v>
      </c>
      <c r="R114" s="2">
        <f>Table1_1[[#This Row],[tasks_completed]]/Table1_1[[#This Row],[monthly_hours_worked]]</f>
        <v>3.1948881789137379E-2</v>
      </c>
    </row>
    <row r="115" spans="1:18" x14ac:dyDescent="0.3">
      <c r="A115" t="s">
        <v>54</v>
      </c>
      <c r="B115" t="s">
        <v>27</v>
      </c>
      <c r="C115" t="s">
        <v>37</v>
      </c>
      <c r="D115" t="s">
        <v>29</v>
      </c>
      <c r="E115">
        <v>2</v>
      </c>
      <c r="F115">
        <v>163.19999999999999</v>
      </c>
      <c r="G115">
        <v>91.6</v>
      </c>
      <c r="H115">
        <v>2.6</v>
      </c>
      <c r="I115">
        <v>6</v>
      </c>
      <c r="J115">
        <v>7.44</v>
      </c>
      <c r="K115">
        <v>7.33</v>
      </c>
      <c r="L115">
        <v>1</v>
      </c>
      <c r="M115" t="s">
        <v>25</v>
      </c>
      <c r="N115" t="s">
        <v>26</v>
      </c>
      <c r="O115">
        <v>8.65</v>
      </c>
      <c r="P115" s="1">
        <v>45413</v>
      </c>
      <c r="Q115" t="str">
        <f t="shared" si="1"/>
        <v>Low Performance</v>
      </c>
      <c r="R115" s="2">
        <f>Table1_1[[#This Row],[tasks_completed]]/Table1_1[[#This Row],[monthly_hours_worked]]</f>
        <v>3.6764705882352942E-2</v>
      </c>
    </row>
    <row r="116" spans="1:18" x14ac:dyDescent="0.3">
      <c r="A116" t="s">
        <v>54</v>
      </c>
      <c r="B116" t="s">
        <v>33</v>
      </c>
      <c r="C116" t="s">
        <v>24</v>
      </c>
      <c r="D116" t="s">
        <v>29</v>
      </c>
      <c r="E116">
        <v>5</v>
      </c>
      <c r="F116">
        <v>158.6</v>
      </c>
      <c r="G116">
        <v>88.9</v>
      </c>
      <c r="H116">
        <v>4.5999999999999996</v>
      </c>
      <c r="I116">
        <v>7</v>
      </c>
      <c r="J116">
        <v>6.22</v>
      </c>
      <c r="K116">
        <v>6.73</v>
      </c>
      <c r="L116">
        <v>1</v>
      </c>
      <c r="M116" t="s">
        <v>25</v>
      </c>
      <c r="N116" t="s">
        <v>21</v>
      </c>
      <c r="O116">
        <v>13.01</v>
      </c>
      <c r="P116" s="1">
        <v>45444</v>
      </c>
      <c r="Q116" t="str">
        <f t="shared" si="1"/>
        <v>Medium Performance</v>
      </c>
      <c r="R116" s="2">
        <f>Table1_1[[#This Row],[tasks_completed]]/Table1_1[[#This Row],[monthly_hours_worked]]</f>
        <v>4.4136191677175286E-2</v>
      </c>
    </row>
    <row r="117" spans="1:18" x14ac:dyDescent="0.3">
      <c r="A117" t="s">
        <v>54</v>
      </c>
      <c r="B117" t="s">
        <v>17</v>
      </c>
      <c r="C117" t="s">
        <v>24</v>
      </c>
      <c r="D117" t="s">
        <v>39</v>
      </c>
      <c r="E117">
        <v>6</v>
      </c>
      <c r="F117">
        <v>168.3</v>
      </c>
      <c r="G117">
        <v>99</v>
      </c>
      <c r="H117">
        <v>7.3</v>
      </c>
      <c r="I117">
        <v>7</v>
      </c>
      <c r="J117">
        <v>8.68</v>
      </c>
      <c r="K117">
        <v>7.79</v>
      </c>
      <c r="L117">
        <v>0</v>
      </c>
      <c r="M117" t="s">
        <v>34</v>
      </c>
      <c r="N117" t="s">
        <v>21</v>
      </c>
      <c r="O117">
        <v>10.42</v>
      </c>
      <c r="P117" s="1">
        <v>45474</v>
      </c>
      <c r="Q117" t="str">
        <f t="shared" si="1"/>
        <v>Medium Performance</v>
      </c>
      <c r="R117" s="2">
        <f>Table1_1[[#This Row],[tasks_completed]]/Table1_1[[#This Row],[monthly_hours_worked]]</f>
        <v>4.1592394533571005E-2</v>
      </c>
    </row>
    <row r="118" spans="1:18" x14ac:dyDescent="0.3">
      <c r="A118" t="s">
        <v>54</v>
      </c>
      <c r="B118" t="s">
        <v>43</v>
      </c>
      <c r="C118" t="s">
        <v>31</v>
      </c>
      <c r="D118" t="s">
        <v>19</v>
      </c>
      <c r="E118">
        <v>7</v>
      </c>
      <c r="F118">
        <v>171.7</v>
      </c>
      <c r="G118">
        <v>92.1</v>
      </c>
      <c r="H118">
        <v>5.4</v>
      </c>
      <c r="I118">
        <v>6</v>
      </c>
      <c r="J118">
        <v>6.25</v>
      </c>
      <c r="K118">
        <v>9.0500000000000007</v>
      </c>
      <c r="L118">
        <v>0</v>
      </c>
      <c r="M118" t="s">
        <v>34</v>
      </c>
      <c r="N118" t="s">
        <v>21</v>
      </c>
      <c r="O118">
        <v>16.559999999999999</v>
      </c>
      <c r="P118" s="1">
        <v>45505</v>
      </c>
      <c r="Q118" t="str">
        <f t="shared" si="1"/>
        <v>High Performance</v>
      </c>
      <c r="R118" s="2">
        <f>Table1_1[[#This Row],[tasks_completed]]/Table1_1[[#This Row],[monthly_hours_worked]]</f>
        <v>3.4944670937682006E-2</v>
      </c>
    </row>
    <row r="119" spans="1:18" x14ac:dyDescent="0.3">
      <c r="A119" t="s">
        <v>54</v>
      </c>
      <c r="B119" t="s">
        <v>43</v>
      </c>
      <c r="C119" t="s">
        <v>31</v>
      </c>
      <c r="D119" t="s">
        <v>39</v>
      </c>
      <c r="E119">
        <v>3</v>
      </c>
      <c r="F119">
        <v>151.80000000000001</v>
      </c>
      <c r="G119">
        <v>95</v>
      </c>
      <c r="H119">
        <v>4.7</v>
      </c>
      <c r="I119">
        <v>7</v>
      </c>
      <c r="J119">
        <v>6.82</v>
      </c>
      <c r="K119">
        <v>6.83</v>
      </c>
      <c r="L119">
        <v>0</v>
      </c>
      <c r="M119" t="s">
        <v>25</v>
      </c>
      <c r="N119" t="s">
        <v>21</v>
      </c>
      <c r="O119">
        <v>12.95</v>
      </c>
      <c r="P119" s="1">
        <v>45536</v>
      </c>
      <c r="Q119" t="str">
        <f t="shared" si="1"/>
        <v>Medium Performance</v>
      </c>
      <c r="R119" s="2">
        <f>Table1_1[[#This Row],[tasks_completed]]/Table1_1[[#This Row],[monthly_hours_worked]]</f>
        <v>4.61133069828722E-2</v>
      </c>
    </row>
    <row r="120" spans="1:18" x14ac:dyDescent="0.3">
      <c r="A120" t="s">
        <v>54</v>
      </c>
      <c r="B120" t="s">
        <v>17</v>
      </c>
      <c r="C120" t="s">
        <v>18</v>
      </c>
      <c r="D120" t="s">
        <v>39</v>
      </c>
      <c r="E120">
        <v>9</v>
      </c>
      <c r="F120">
        <v>161.9</v>
      </c>
      <c r="G120">
        <v>97.9</v>
      </c>
      <c r="H120">
        <v>8.6999999999999993</v>
      </c>
      <c r="I120">
        <v>7</v>
      </c>
      <c r="J120">
        <v>5.88</v>
      </c>
      <c r="K120">
        <v>4.18</v>
      </c>
      <c r="L120">
        <v>0</v>
      </c>
      <c r="M120" t="s">
        <v>25</v>
      </c>
      <c r="N120" t="s">
        <v>21</v>
      </c>
      <c r="O120">
        <v>8.15</v>
      </c>
      <c r="P120" s="1">
        <v>45566</v>
      </c>
      <c r="Q120" t="str">
        <f t="shared" si="1"/>
        <v>Low Performance</v>
      </c>
      <c r="R120" s="2">
        <f>Table1_1[[#This Row],[tasks_completed]]/Table1_1[[#This Row],[monthly_hours_worked]]</f>
        <v>4.3236565781346506E-2</v>
      </c>
    </row>
    <row r="121" spans="1:18" x14ac:dyDescent="0.3">
      <c r="A121" t="s">
        <v>54</v>
      </c>
      <c r="B121" t="s">
        <v>27</v>
      </c>
      <c r="C121" t="s">
        <v>31</v>
      </c>
      <c r="D121" t="s">
        <v>29</v>
      </c>
      <c r="E121">
        <v>1</v>
      </c>
      <c r="F121">
        <v>176.9</v>
      </c>
      <c r="G121">
        <v>100</v>
      </c>
      <c r="H121">
        <v>5.9</v>
      </c>
      <c r="I121">
        <v>5</v>
      </c>
      <c r="J121">
        <v>7.8</v>
      </c>
      <c r="K121">
        <v>1.57</v>
      </c>
      <c r="L121">
        <v>1</v>
      </c>
      <c r="M121" t="s">
        <v>34</v>
      </c>
      <c r="N121" t="s">
        <v>21</v>
      </c>
      <c r="O121">
        <v>9.0399999999999991</v>
      </c>
      <c r="P121" s="1">
        <v>45597</v>
      </c>
      <c r="Q121" t="str">
        <f t="shared" si="1"/>
        <v>Low Performance</v>
      </c>
      <c r="R121" s="2">
        <f>Table1_1[[#This Row],[tasks_completed]]/Table1_1[[#This Row],[monthly_hours_worked]]</f>
        <v>2.826455624646693E-2</v>
      </c>
    </row>
    <row r="122" spans="1:18" x14ac:dyDescent="0.3">
      <c r="A122" t="s">
        <v>55</v>
      </c>
      <c r="B122" t="s">
        <v>17</v>
      </c>
      <c r="C122" t="s">
        <v>31</v>
      </c>
      <c r="D122" t="s">
        <v>29</v>
      </c>
      <c r="E122">
        <v>4</v>
      </c>
      <c r="F122">
        <v>159.69999999999999</v>
      </c>
      <c r="G122">
        <v>100</v>
      </c>
      <c r="H122">
        <v>8.3000000000000007</v>
      </c>
      <c r="I122">
        <v>7</v>
      </c>
      <c r="J122">
        <v>6.81</v>
      </c>
      <c r="K122">
        <v>6.8</v>
      </c>
      <c r="L122">
        <v>0</v>
      </c>
      <c r="M122" t="s">
        <v>20</v>
      </c>
      <c r="N122" t="s">
        <v>26</v>
      </c>
      <c r="O122">
        <v>13.46</v>
      </c>
      <c r="P122" s="1">
        <v>45292</v>
      </c>
      <c r="Q122" t="str">
        <f t="shared" si="1"/>
        <v>Medium Performance</v>
      </c>
      <c r="R122" s="2">
        <f>Table1_1[[#This Row],[tasks_completed]]/Table1_1[[#This Row],[monthly_hours_worked]]</f>
        <v>4.3832185347526614E-2</v>
      </c>
    </row>
    <row r="123" spans="1:18" x14ac:dyDescent="0.3">
      <c r="A123" t="s">
        <v>55</v>
      </c>
      <c r="B123" t="s">
        <v>27</v>
      </c>
      <c r="C123" t="s">
        <v>41</v>
      </c>
      <c r="D123" t="s">
        <v>19</v>
      </c>
      <c r="E123">
        <v>3</v>
      </c>
      <c r="F123">
        <v>168.9</v>
      </c>
      <c r="G123">
        <v>91.5</v>
      </c>
      <c r="H123">
        <v>4.9000000000000004</v>
      </c>
      <c r="I123">
        <v>5</v>
      </c>
      <c r="J123">
        <v>7.87</v>
      </c>
      <c r="K123">
        <v>9.11</v>
      </c>
      <c r="L123">
        <v>0</v>
      </c>
      <c r="M123" t="s">
        <v>20</v>
      </c>
      <c r="N123" t="s">
        <v>35</v>
      </c>
      <c r="O123">
        <v>23.5</v>
      </c>
      <c r="P123" s="1">
        <v>45292</v>
      </c>
      <c r="Q123" t="str">
        <f t="shared" si="1"/>
        <v>High Performance</v>
      </c>
      <c r="R123" s="2">
        <f>Table1_1[[#This Row],[tasks_completed]]/Table1_1[[#This Row],[monthly_hours_worked]]</f>
        <v>2.9603315571343991E-2</v>
      </c>
    </row>
    <row r="124" spans="1:18" x14ac:dyDescent="0.3">
      <c r="A124" t="s">
        <v>55</v>
      </c>
      <c r="B124" t="s">
        <v>27</v>
      </c>
      <c r="C124" t="s">
        <v>41</v>
      </c>
      <c r="D124" t="s">
        <v>39</v>
      </c>
      <c r="E124">
        <v>2</v>
      </c>
      <c r="F124">
        <v>142.4</v>
      </c>
      <c r="G124">
        <v>89.9</v>
      </c>
      <c r="H124">
        <v>5.5</v>
      </c>
      <c r="I124">
        <v>5</v>
      </c>
      <c r="J124">
        <v>7.63</v>
      </c>
      <c r="K124">
        <v>4.78</v>
      </c>
      <c r="L124">
        <v>0</v>
      </c>
      <c r="M124" t="s">
        <v>34</v>
      </c>
      <c r="N124" t="s">
        <v>35</v>
      </c>
      <c r="O124">
        <v>15.33</v>
      </c>
      <c r="P124" s="1">
        <v>45352</v>
      </c>
      <c r="Q124" t="str">
        <f t="shared" si="1"/>
        <v>High Performance</v>
      </c>
      <c r="R124" s="2">
        <f>Table1_1[[#This Row],[tasks_completed]]/Table1_1[[#This Row],[monthly_hours_worked]]</f>
        <v>3.5112359550561793E-2</v>
      </c>
    </row>
    <row r="125" spans="1:18" x14ac:dyDescent="0.3">
      <c r="A125" t="s">
        <v>55</v>
      </c>
      <c r="B125" t="s">
        <v>23</v>
      </c>
      <c r="C125" t="s">
        <v>31</v>
      </c>
      <c r="D125" t="s">
        <v>39</v>
      </c>
      <c r="E125">
        <v>3</v>
      </c>
      <c r="F125">
        <v>163.1</v>
      </c>
      <c r="G125">
        <v>94.3</v>
      </c>
      <c r="H125">
        <v>3.4</v>
      </c>
      <c r="I125">
        <v>9</v>
      </c>
      <c r="J125">
        <v>7.25</v>
      </c>
      <c r="K125">
        <v>6.53</v>
      </c>
      <c r="L125">
        <v>0</v>
      </c>
      <c r="M125" t="s">
        <v>20</v>
      </c>
      <c r="N125" t="s">
        <v>21</v>
      </c>
      <c r="O125">
        <v>19.54</v>
      </c>
      <c r="P125" s="1">
        <v>45352</v>
      </c>
      <c r="Q125" t="str">
        <f t="shared" si="1"/>
        <v>High Performance</v>
      </c>
      <c r="R125" s="2">
        <f>Table1_1[[#This Row],[tasks_completed]]/Table1_1[[#This Row],[monthly_hours_worked]]</f>
        <v>5.518087063151441E-2</v>
      </c>
    </row>
    <row r="126" spans="1:18" x14ac:dyDescent="0.3">
      <c r="A126" t="s">
        <v>55</v>
      </c>
      <c r="B126" t="s">
        <v>33</v>
      </c>
      <c r="C126" t="s">
        <v>41</v>
      </c>
      <c r="D126" t="s">
        <v>39</v>
      </c>
      <c r="E126">
        <v>6</v>
      </c>
      <c r="F126">
        <v>164.4</v>
      </c>
      <c r="G126">
        <v>99.5</v>
      </c>
      <c r="H126">
        <v>0.3</v>
      </c>
      <c r="I126">
        <v>6</v>
      </c>
      <c r="J126">
        <v>5.99</v>
      </c>
      <c r="K126">
        <v>5.74</v>
      </c>
      <c r="L126">
        <v>0</v>
      </c>
      <c r="M126" t="s">
        <v>34</v>
      </c>
      <c r="N126" t="s">
        <v>21</v>
      </c>
      <c r="O126">
        <v>16.25</v>
      </c>
      <c r="P126" s="1">
        <v>45383</v>
      </c>
      <c r="Q126" t="str">
        <f t="shared" si="1"/>
        <v>High Performance</v>
      </c>
      <c r="R126" s="2">
        <f>Table1_1[[#This Row],[tasks_completed]]/Table1_1[[#This Row],[monthly_hours_worked]]</f>
        <v>3.6496350364963501E-2</v>
      </c>
    </row>
    <row r="127" spans="1:18" x14ac:dyDescent="0.3">
      <c r="A127" t="s">
        <v>55</v>
      </c>
      <c r="B127" t="s">
        <v>33</v>
      </c>
      <c r="C127" t="s">
        <v>31</v>
      </c>
      <c r="D127" t="s">
        <v>29</v>
      </c>
      <c r="E127">
        <v>4</v>
      </c>
      <c r="F127">
        <v>175.8</v>
      </c>
      <c r="G127">
        <v>96.4</v>
      </c>
      <c r="H127">
        <v>5.7</v>
      </c>
      <c r="I127">
        <v>7</v>
      </c>
      <c r="J127">
        <v>6.24</v>
      </c>
      <c r="K127">
        <v>4.43</v>
      </c>
      <c r="L127">
        <v>0</v>
      </c>
      <c r="M127" t="s">
        <v>34</v>
      </c>
      <c r="N127" t="s">
        <v>35</v>
      </c>
      <c r="O127">
        <v>8.8000000000000007</v>
      </c>
      <c r="P127" s="1">
        <v>45413</v>
      </c>
      <c r="Q127" t="str">
        <f t="shared" si="1"/>
        <v>Low Performance</v>
      </c>
      <c r="R127" s="2">
        <f>Table1_1[[#This Row],[tasks_completed]]/Table1_1[[#This Row],[monthly_hours_worked]]</f>
        <v>3.981797497155859E-2</v>
      </c>
    </row>
    <row r="128" spans="1:18" x14ac:dyDescent="0.3">
      <c r="A128" t="s">
        <v>55</v>
      </c>
      <c r="B128" t="s">
        <v>23</v>
      </c>
      <c r="C128" t="s">
        <v>37</v>
      </c>
      <c r="D128" t="s">
        <v>39</v>
      </c>
      <c r="E128">
        <v>3</v>
      </c>
      <c r="F128">
        <v>163</v>
      </c>
      <c r="G128">
        <v>91.2</v>
      </c>
      <c r="H128">
        <v>4.0999999999999996</v>
      </c>
      <c r="I128">
        <v>9</v>
      </c>
      <c r="J128">
        <v>9.2200000000000006</v>
      </c>
      <c r="K128">
        <v>7.14</v>
      </c>
      <c r="L128">
        <v>0</v>
      </c>
      <c r="M128" t="s">
        <v>20</v>
      </c>
      <c r="N128" t="s">
        <v>26</v>
      </c>
      <c r="O128">
        <v>18.21</v>
      </c>
      <c r="P128" s="1">
        <v>45444</v>
      </c>
      <c r="Q128" t="str">
        <f t="shared" si="1"/>
        <v>High Performance</v>
      </c>
      <c r="R128" s="2">
        <f>Table1_1[[#This Row],[tasks_completed]]/Table1_1[[#This Row],[monthly_hours_worked]]</f>
        <v>5.5214723926380369E-2</v>
      </c>
    </row>
    <row r="129" spans="1:18" x14ac:dyDescent="0.3">
      <c r="A129" t="s">
        <v>55</v>
      </c>
      <c r="B129" t="s">
        <v>17</v>
      </c>
      <c r="C129" t="s">
        <v>24</v>
      </c>
      <c r="D129" t="s">
        <v>29</v>
      </c>
      <c r="E129">
        <v>4</v>
      </c>
      <c r="F129">
        <v>147.69999999999999</v>
      </c>
      <c r="G129">
        <v>96.1</v>
      </c>
      <c r="H129">
        <v>1.9</v>
      </c>
      <c r="I129">
        <v>4</v>
      </c>
      <c r="J129">
        <v>9.4499999999999993</v>
      </c>
      <c r="K129">
        <v>9.7100000000000009</v>
      </c>
      <c r="L129">
        <v>1</v>
      </c>
      <c r="M129" t="s">
        <v>25</v>
      </c>
      <c r="N129" t="s">
        <v>35</v>
      </c>
      <c r="O129">
        <v>9.69</v>
      </c>
      <c r="P129" s="1">
        <v>45474</v>
      </c>
      <c r="Q129" t="str">
        <f t="shared" si="1"/>
        <v>Low Performance</v>
      </c>
      <c r="R129" s="2">
        <f>Table1_1[[#This Row],[tasks_completed]]/Table1_1[[#This Row],[monthly_hours_worked]]</f>
        <v>2.7081922816519974E-2</v>
      </c>
    </row>
    <row r="130" spans="1:18" x14ac:dyDescent="0.3">
      <c r="A130" t="s">
        <v>55</v>
      </c>
      <c r="B130" t="s">
        <v>23</v>
      </c>
      <c r="C130" t="s">
        <v>24</v>
      </c>
      <c r="D130" t="s">
        <v>29</v>
      </c>
      <c r="E130">
        <v>5</v>
      </c>
      <c r="F130">
        <v>180.6</v>
      </c>
      <c r="G130">
        <v>89.7</v>
      </c>
      <c r="H130">
        <v>5</v>
      </c>
      <c r="I130">
        <v>8</v>
      </c>
      <c r="J130">
        <v>9.6199999999999992</v>
      </c>
      <c r="K130">
        <v>7.07</v>
      </c>
      <c r="L130">
        <v>0</v>
      </c>
      <c r="M130" t="s">
        <v>20</v>
      </c>
      <c r="N130" t="s">
        <v>35</v>
      </c>
      <c r="O130">
        <v>12.49</v>
      </c>
      <c r="P130" s="1">
        <v>45505</v>
      </c>
      <c r="Q130" t="str">
        <f t="shared" ref="Q130:Q193" si="2">IF(O130&gt;=15, "High Performance", IF(O130&gt;=10, "Medium Performance", "Low Performance"))</f>
        <v>Medium Performance</v>
      </c>
      <c r="R130" s="2">
        <f>Table1_1[[#This Row],[tasks_completed]]/Table1_1[[#This Row],[monthly_hours_worked]]</f>
        <v>4.4296788482834998E-2</v>
      </c>
    </row>
    <row r="131" spans="1:18" x14ac:dyDescent="0.3">
      <c r="A131" t="s">
        <v>55</v>
      </c>
      <c r="B131" t="s">
        <v>33</v>
      </c>
      <c r="C131" t="s">
        <v>41</v>
      </c>
      <c r="D131" t="s">
        <v>39</v>
      </c>
      <c r="E131">
        <v>9</v>
      </c>
      <c r="F131">
        <v>155</v>
      </c>
      <c r="G131">
        <v>97.8</v>
      </c>
      <c r="H131">
        <v>5.6</v>
      </c>
      <c r="I131">
        <v>8</v>
      </c>
      <c r="J131">
        <v>7.39</v>
      </c>
      <c r="K131">
        <v>8.4700000000000006</v>
      </c>
      <c r="L131">
        <v>1</v>
      </c>
      <c r="M131" t="s">
        <v>20</v>
      </c>
      <c r="N131" t="s">
        <v>21</v>
      </c>
      <c r="O131">
        <v>11.93</v>
      </c>
      <c r="P131" s="1">
        <v>45536</v>
      </c>
      <c r="Q131" t="str">
        <f t="shared" si="2"/>
        <v>Medium Performance</v>
      </c>
      <c r="R131" s="2">
        <f>Table1_1[[#This Row],[tasks_completed]]/Table1_1[[#This Row],[monthly_hours_worked]]</f>
        <v>5.1612903225806452E-2</v>
      </c>
    </row>
    <row r="132" spans="1:18" x14ac:dyDescent="0.3">
      <c r="A132" t="s">
        <v>55</v>
      </c>
      <c r="B132" t="s">
        <v>23</v>
      </c>
      <c r="C132" t="s">
        <v>31</v>
      </c>
      <c r="D132" t="s">
        <v>39</v>
      </c>
      <c r="E132">
        <v>10</v>
      </c>
      <c r="F132">
        <v>155.4</v>
      </c>
      <c r="G132">
        <v>93.5</v>
      </c>
      <c r="H132">
        <v>5.5</v>
      </c>
      <c r="I132">
        <v>10</v>
      </c>
      <c r="J132">
        <v>6.81</v>
      </c>
      <c r="K132">
        <v>6.36</v>
      </c>
      <c r="L132">
        <v>0</v>
      </c>
      <c r="M132" t="s">
        <v>34</v>
      </c>
      <c r="N132" t="s">
        <v>26</v>
      </c>
      <c r="O132">
        <v>11</v>
      </c>
      <c r="P132" s="1">
        <v>45566</v>
      </c>
      <c r="Q132" t="str">
        <f t="shared" si="2"/>
        <v>Medium Performance</v>
      </c>
      <c r="R132" s="2">
        <f>Table1_1[[#This Row],[tasks_completed]]/Table1_1[[#This Row],[monthly_hours_worked]]</f>
        <v>6.4350064350064351E-2</v>
      </c>
    </row>
    <row r="133" spans="1:18" x14ac:dyDescent="0.3">
      <c r="A133" t="s">
        <v>55</v>
      </c>
      <c r="B133" t="s">
        <v>17</v>
      </c>
      <c r="C133" t="s">
        <v>41</v>
      </c>
      <c r="D133" t="s">
        <v>39</v>
      </c>
      <c r="E133">
        <v>7</v>
      </c>
      <c r="F133">
        <v>164.7</v>
      </c>
      <c r="G133">
        <v>90</v>
      </c>
      <c r="H133">
        <v>4.5999999999999996</v>
      </c>
      <c r="I133">
        <v>5</v>
      </c>
      <c r="J133">
        <v>6.61</v>
      </c>
      <c r="K133">
        <v>7.69</v>
      </c>
      <c r="L133">
        <v>0</v>
      </c>
      <c r="M133" t="s">
        <v>20</v>
      </c>
      <c r="N133" t="s">
        <v>21</v>
      </c>
      <c r="O133">
        <v>14.05</v>
      </c>
      <c r="P133" s="1">
        <v>45597</v>
      </c>
      <c r="Q133" t="str">
        <f t="shared" si="2"/>
        <v>Medium Performance</v>
      </c>
      <c r="R133" s="2">
        <f>Table1_1[[#This Row],[tasks_completed]]/Table1_1[[#This Row],[monthly_hours_worked]]</f>
        <v>3.0358227079538558E-2</v>
      </c>
    </row>
    <row r="134" spans="1:18" x14ac:dyDescent="0.3">
      <c r="A134" t="s">
        <v>56</v>
      </c>
      <c r="B134" t="s">
        <v>33</v>
      </c>
      <c r="C134" t="s">
        <v>37</v>
      </c>
      <c r="D134" t="s">
        <v>39</v>
      </c>
      <c r="E134">
        <v>9</v>
      </c>
      <c r="F134">
        <v>166.3</v>
      </c>
      <c r="G134">
        <v>100</v>
      </c>
      <c r="H134">
        <v>5.8</v>
      </c>
      <c r="I134">
        <v>7</v>
      </c>
      <c r="J134">
        <v>7.14</v>
      </c>
      <c r="K134">
        <v>5.93</v>
      </c>
      <c r="L134">
        <v>1</v>
      </c>
      <c r="M134" t="s">
        <v>20</v>
      </c>
      <c r="N134" t="s">
        <v>26</v>
      </c>
      <c r="O134">
        <v>13.94</v>
      </c>
      <c r="P134" s="1">
        <v>45292</v>
      </c>
      <c r="Q134" t="str">
        <f t="shared" si="2"/>
        <v>Medium Performance</v>
      </c>
      <c r="R134" s="2">
        <f>Table1_1[[#This Row],[tasks_completed]]/Table1_1[[#This Row],[monthly_hours_worked]]</f>
        <v>4.209260372820204E-2</v>
      </c>
    </row>
    <row r="135" spans="1:18" x14ac:dyDescent="0.3">
      <c r="A135" t="s">
        <v>56</v>
      </c>
      <c r="B135" t="s">
        <v>27</v>
      </c>
      <c r="C135" t="s">
        <v>41</v>
      </c>
      <c r="D135" t="s">
        <v>29</v>
      </c>
      <c r="E135">
        <v>10</v>
      </c>
      <c r="F135">
        <v>165.4</v>
      </c>
      <c r="G135">
        <v>99.4</v>
      </c>
      <c r="H135">
        <v>7</v>
      </c>
      <c r="I135">
        <v>6</v>
      </c>
      <c r="J135">
        <v>10</v>
      </c>
      <c r="K135">
        <v>3.6</v>
      </c>
      <c r="L135">
        <v>1</v>
      </c>
      <c r="M135" t="s">
        <v>20</v>
      </c>
      <c r="N135" t="s">
        <v>21</v>
      </c>
      <c r="O135">
        <v>17.02</v>
      </c>
      <c r="P135" s="1">
        <v>45292</v>
      </c>
      <c r="Q135" t="str">
        <f t="shared" si="2"/>
        <v>High Performance</v>
      </c>
      <c r="R135" s="2">
        <f>Table1_1[[#This Row],[tasks_completed]]/Table1_1[[#This Row],[monthly_hours_worked]]</f>
        <v>3.6275695284159609E-2</v>
      </c>
    </row>
    <row r="136" spans="1:18" x14ac:dyDescent="0.3">
      <c r="A136" t="s">
        <v>56</v>
      </c>
      <c r="B136" t="s">
        <v>33</v>
      </c>
      <c r="C136" t="s">
        <v>31</v>
      </c>
      <c r="D136" t="s">
        <v>39</v>
      </c>
      <c r="E136">
        <v>5</v>
      </c>
      <c r="F136">
        <v>149.5</v>
      </c>
      <c r="G136">
        <v>89.7</v>
      </c>
      <c r="H136">
        <v>6.9</v>
      </c>
      <c r="I136">
        <v>5</v>
      </c>
      <c r="J136">
        <v>10</v>
      </c>
      <c r="K136">
        <v>7.14</v>
      </c>
      <c r="L136">
        <v>0</v>
      </c>
      <c r="M136" t="s">
        <v>25</v>
      </c>
      <c r="N136" t="s">
        <v>35</v>
      </c>
      <c r="O136">
        <v>19.29</v>
      </c>
      <c r="P136" s="1">
        <v>45352</v>
      </c>
      <c r="Q136" t="str">
        <f t="shared" si="2"/>
        <v>High Performance</v>
      </c>
      <c r="R136" s="2">
        <f>Table1_1[[#This Row],[tasks_completed]]/Table1_1[[#This Row],[monthly_hours_worked]]</f>
        <v>3.3444816053511704E-2</v>
      </c>
    </row>
    <row r="137" spans="1:18" x14ac:dyDescent="0.3">
      <c r="A137" t="s">
        <v>56</v>
      </c>
      <c r="B137" t="s">
        <v>33</v>
      </c>
      <c r="C137" t="s">
        <v>31</v>
      </c>
      <c r="D137" t="s">
        <v>19</v>
      </c>
      <c r="E137">
        <v>4</v>
      </c>
      <c r="F137">
        <v>159.4</v>
      </c>
      <c r="G137">
        <v>87.4</v>
      </c>
      <c r="H137">
        <v>5.4</v>
      </c>
      <c r="I137">
        <v>2</v>
      </c>
      <c r="J137">
        <v>10</v>
      </c>
      <c r="K137">
        <v>5.96</v>
      </c>
      <c r="L137">
        <v>1</v>
      </c>
      <c r="M137" t="s">
        <v>25</v>
      </c>
      <c r="N137" t="s">
        <v>35</v>
      </c>
      <c r="O137">
        <v>13.48</v>
      </c>
      <c r="P137" s="1">
        <v>45352</v>
      </c>
      <c r="Q137" t="str">
        <f t="shared" si="2"/>
        <v>Medium Performance</v>
      </c>
      <c r="R137" s="2">
        <f>Table1_1[[#This Row],[tasks_completed]]/Table1_1[[#This Row],[monthly_hours_worked]]</f>
        <v>1.2547051442910916E-2</v>
      </c>
    </row>
    <row r="138" spans="1:18" x14ac:dyDescent="0.3">
      <c r="A138" t="s">
        <v>56</v>
      </c>
      <c r="B138" t="s">
        <v>23</v>
      </c>
      <c r="C138" t="s">
        <v>41</v>
      </c>
      <c r="D138" t="s">
        <v>19</v>
      </c>
      <c r="E138">
        <v>9</v>
      </c>
      <c r="F138">
        <v>150.1</v>
      </c>
      <c r="G138">
        <v>92.7</v>
      </c>
      <c r="H138">
        <v>7.9</v>
      </c>
      <c r="I138">
        <v>7</v>
      </c>
      <c r="J138">
        <v>7.09</v>
      </c>
      <c r="K138">
        <v>7.71</v>
      </c>
      <c r="L138">
        <v>0</v>
      </c>
      <c r="M138" t="s">
        <v>25</v>
      </c>
      <c r="N138" t="s">
        <v>35</v>
      </c>
      <c r="O138">
        <v>14.02</v>
      </c>
      <c r="P138" s="1">
        <v>45383</v>
      </c>
      <c r="Q138" t="str">
        <f t="shared" si="2"/>
        <v>Medium Performance</v>
      </c>
      <c r="R138" s="2">
        <f>Table1_1[[#This Row],[tasks_completed]]/Table1_1[[#This Row],[monthly_hours_worked]]</f>
        <v>4.6635576282478351E-2</v>
      </c>
    </row>
    <row r="139" spans="1:18" x14ac:dyDescent="0.3">
      <c r="A139" t="s">
        <v>56</v>
      </c>
      <c r="B139" t="s">
        <v>27</v>
      </c>
      <c r="C139" t="s">
        <v>41</v>
      </c>
      <c r="D139" t="s">
        <v>19</v>
      </c>
      <c r="E139">
        <v>6</v>
      </c>
      <c r="F139">
        <v>158.9</v>
      </c>
      <c r="G139">
        <v>94.1</v>
      </c>
      <c r="H139">
        <v>4.0999999999999996</v>
      </c>
      <c r="I139">
        <v>2</v>
      </c>
      <c r="J139">
        <v>4.1900000000000004</v>
      </c>
      <c r="K139">
        <v>4.1900000000000004</v>
      </c>
      <c r="L139">
        <v>0</v>
      </c>
      <c r="M139" t="s">
        <v>25</v>
      </c>
      <c r="N139" t="s">
        <v>21</v>
      </c>
      <c r="O139">
        <v>11.36</v>
      </c>
      <c r="P139" s="1">
        <v>45413</v>
      </c>
      <c r="Q139" t="str">
        <f t="shared" si="2"/>
        <v>Medium Performance</v>
      </c>
      <c r="R139" s="2">
        <f>Table1_1[[#This Row],[tasks_completed]]/Table1_1[[#This Row],[monthly_hours_worked]]</f>
        <v>1.2586532410320955E-2</v>
      </c>
    </row>
    <row r="140" spans="1:18" x14ac:dyDescent="0.3">
      <c r="A140" t="s">
        <v>56</v>
      </c>
      <c r="B140" t="s">
        <v>43</v>
      </c>
      <c r="C140" t="s">
        <v>24</v>
      </c>
      <c r="D140" t="s">
        <v>39</v>
      </c>
      <c r="E140">
        <v>4</v>
      </c>
      <c r="F140">
        <v>160.80000000000001</v>
      </c>
      <c r="G140">
        <v>87.7</v>
      </c>
      <c r="H140">
        <v>4.4000000000000004</v>
      </c>
      <c r="I140">
        <v>6</v>
      </c>
      <c r="J140">
        <v>6.37</v>
      </c>
      <c r="K140">
        <v>5.23</v>
      </c>
      <c r="L140">
        <v>0</v>
      </c>
      <c r="M140" t="s">
        <v>25</v>
      </c>
      <c r="N140" t="s">
        <v>21</v>
      </c>
      <c r="O140">
        <v>13.69</v>
      </c>
      <c r="P140" s="1">
        <v>45444</v>
      </c>
      <c r="Q140" t="str">
        <f t="shared" si="2"/>
        <v>Medium Performance</v>
      </c>
      <c r="R140" s="2">
        <f>Table1_1[[#This Row],[tasks_completed]]/Table1_1[[#This Row],[monthly_hours_worked]]</f>
        <v>3.7313432835820892E-2</v>
      </c>
    </row>
    <row r="141" spans="1:18" x14ac:dyDescent="0.3">
      <c r="A141" t="s">
        <v>56</v>
      </c>
      <c r="B141" t="s">
        <v>33</v>
      </c>
      <c r="C141" t="s">
        <v>31</v>
      </c>
      <c r="D141" t="s">
        <v>39</v>
      </c>
      <c r="E141">
        <v>7</v>
      </c>
      <c r="F141">
        <v>155.6</v>
      </c>
      <c r="G141">
        <v>95.3</v>
      </c>
      <c r="H141">
        <v>4.4000000000000004</v>
      </c>
      <c r="I141">
        <v>8</v>
      </c>
      <c r="J141">
        <v>7.67</v>
      </c>
      <c r="K141">
        <v>9.1</v>
      </c>
      <c r="L141">
        <v>1</v>
      </c>
      <c r="M141" t="s">
        <v>25</v>
      </c>
      <c r="N141" t="s">
        <v>35</v>
      </c>
      <c r="O141">
        <v>9.5500000000000007</v>
      </c>
      <c r="P141" s="1">
        <v>45474</v>
      </c>
      <c r="Q141" t="str">
        <f t="shared" si="2"/>
        <v>Low Performance</v>
      </c>
      <c r="R141" s="2">
        <f>Table1_1[[#This Row],[tasks_completed]]/Table1_1[[#This Row],[monthly_hours_worked]]</f>
        <v>5.1413881748071981E-2</v>
      </c>
    </row>
    <row r="142" spans="1:18" x14ac:dyDescent="0.3">
      <c r="A142" t="s">
        <v>56</v>
      </c>
      <c r="B142" t="s">
        <v>33</v>
      </c>
      <c r="C142" t="s">
        <v>37</v>
      </c>
      <c r="D142" t="s">
        <v>39</v>
      </c>
      <c r="E142">
        <v>5</v>
      </c>
      <c r="F142">
        <v>161.4</v>
      </c>
      <c r="G142">
        <v>91.9</v>
      </c>
      <c r="H142">
        <v>3.6</v>
      </c>
      <c r="I142">
        <v>5</v>
      </c>
      <c r="J142">
        <v>8.01</v>
      </c>
      <c r="K142">
        <v>8.02</v>
      </c>
      <c r="L142">
        <v>1</v>
      </c>
      <c r="M142" t="s">
        <v>20</v>
      </c>
      <c r="N142" t="s">
        <v>35</v>
      </c>
      <c r="O142">
        <v>12.37</v>
      </c>
      <c r="P142" s="1">
        <v>45505</v>
      </c>
      <c r="Q142" t="str">
        <f t="shared" si="2"/>
        <v>Medium Performance</v>
      </c>
      <c r="R142" s="2">
        <f>Table1_1[[#This Row],[tasks_completed]]/Table1_1[[#This Row],[monthly_hours_worked]]</f>
        <v>3.097893432465923E-2</v>
      </c>
    </row>
    <row r="143" spans="1:18" x14ac:dyDescent="0.3">
      <c r="A143" t="s">
        <v>56</v>
      </c>
      <c r="B143" t="s">
        <v>33</v>
      </c>
      <c r="C143" t="s">
        <v>18</v>
      </c>
      <c r="D143" t="s">
        <v>39</v>
      </c>
      <c r="E143">
        <v>9</v>
      </c>
      <c r="F143">
        <v>168.1</v>
      </c>
      <c r="G143">
        <v>96.5</v>
      </c>
      <c r="H143">
        <v>5.0999999999999996</v>
      </c>
      <c r="I143">
        <v>3</v>
      </c>
      <c r="J143">
        <v>10</v>
      </c>
      <c r="K143">
        <v>9.66</v>
      </c>
      <c r="L143">
        <v>0</v>
      </c>
      <c r="M143" t="s">
        <v>25</v>
      </c>
      <c r="N143" t="s">
        <v>26</v>
      </c>
      <c r="O143">
        <v>17.97</v>
      </c>
      <c r="P143" s="1">
        <v>45536</v>
      </c>
      <c r="Q143" t="str">
        <f t="shared" si="2"/>
        <v>High Performance</v>
      </c>
      <c r="R143" s="2">
        <f>Table1_1[[#This Row],[tasks_completed]]/Table1_1[[#This Row],[monthly_hours_worked]]</f>
        <v>1.784651992861392E-2</v>
      </c>
    </row>
    <row r="144" spans="1:18" x14ac:dyDescent="0.3">
      <c r="A144" t="s">
        <v>56</v>
      </c>
      <c r="B144" t="s">
        <v>27</v>
      </c>
      <c r="C144" t="s">
        <v>18</v>
      </c>
      <c r="D144" t="s">
        <v>39</v>
      </c>
      <c r="E144">
        <v>3</v>
      </c>
      <c r="F144">
        <v>148.6</v>
      </c>
      <c r="G144">
        <v>95.5</v>
      </c>
      <c r="H144">
        <v>4.9000000000000004</v>
      </c>
      <c r="I144">
        <v>4</v>
      </c>
      <c r="J144">
        <v>7.19</v>
      </c>
      <c r="K144">
        <v>3.08</v>
      </c>
      <c r="L144">
        <v>1</v>
      </c>
      <c r="M144" t="s">
        <v>25</v>
      </c>
      <c r="N144" t="s">
        <v>26</v>
      </c>
      <c r="O144">
        <v>16.2</v>
      </c>
      <c r="P144" s="1">
        <v>45566</v>
      </c>
      <c r="Q144" t="str">
        <f t="shared" si="2"/>
        <v>High Performance</v>
      </c>
      <c r="R144" s="2">
        <f>Table1_1[[#This Row],[tasks_completed]]/Table1_1[[#This Row],[monthly_hours_worked]]</f>
        <v>2.6917900403768506E-2</v>
      </c>
    </row>
    <row r="145" spans="1:18" x14ac:dyDescent="0.3">
      <c r="A145" t="s">
        <v>56</v>
      </c>
      <c r="B145" t="s">
        <v>17</v>
      </c>
      <c r="C145" t="s">
        <v>18</v>
      </c>
      <c r="D145" t="s">
        <v>29</v>
      </c>
      <c r="E145">
        <v>9</v>
      </c>
      <c r="F145">
        <v>158.30000000000001</v>
      </c>
      <c r="G145">
        <v>91.8</v>
      </c>
      <c r="H145">
        <v>4.4000000000000004</v>
      </c>
      <c r="I145">
        <v>5</v>
      </c>
      <c r="J145">
        <v>9.1300000000000008</v>
      </c>
      <c r="K145">
        <v>10</v>
      </c>
      <c r="L145">
        <v>1</v>
      </c>
      <c r="M145" t="s">
        <v>25</v>
      </c>
      <c r="N145" t="s">
        <v>21</v>
      </c>
      <c r="O145">
        <v>7.04</v>
      </c>
      <c r="P145" s="1">
        <v>45597</v>
      </c>
      <c r="Q145" t="str">
        <f t="shared" si="2"/>
        <v>Low Performance</v>
      </c>
      <c r="R145" s="2">
        <f>Table1_1[[#This Row],[tasks_completed]]/Table1_1[[#This Row],[monthly_hours_worked]]</f>
        <v>3.1585596967782688E-2</v>
      </c>
    </row>
    <row r="146" spans="1:18" x14ac:dyDescent="0.3">
      <c r="A146" t="s">
        <v>57</v>
      </c>
      <c r="B146" t="s">
        <v>17</v>
      </c>
      <c r="C146" t="s">
        <v>41</v>
      </c>
      <c r="D146" t="s">
        <v>29</v>
      </c>
      <c r="E146">
        <v>7</v>
      </c>
      <c r="F146">
        <v>167.9</v>
      </c>
      <c r="G146">
        <v>86.3</v>
      </c>
      <c r="H146">
        <v>7.6</v>
      </c>
      <c r="I146">
        <v>5</v>
      </c>
      <c r="J146">
        <v>5.01</v>
      </c>
      <c r="K146">
        <v>6.38</v>
      </c>
      <c r="L146">
        <v>0</v>
      </c>
      <c r="M146" t="s">
        <v>25</v>
      </c>
      <c r="N146" t="s">
        <v>21</v>
      </c>
      <c r="O146">
        <v>16.34</v>
      </c>
      <c r="P146" s="1">
        <v>45292</v>
      </c>
      <c r="Q146" t="str">
        <f t="shared" si="2"/>
        <v>High Performance</v>
      </c>
      <c r="R146" s="2">
        <f>Table1_1[[#This Row],[tasks_completed]]/Table1_1[[#This Row],[monthly_hours_worked]]</f>
        <v>2.9779630732578916E-2</v>
      </c>
    </row>
    <row r="147" spans="1:18" x14ac:dyDescent="0.3">
      <c r="A147" t="s">
        <v>57</v>
      </c>
      <c r="B147" t="s">
        <v>43</v>
      </c>
      <c r="C147" t="s">
        <v>18</v>
      </c>
      <c r="D147" t="s">
        <v>19</v>
      </c>
      <c r="E147">
        <v>10</v>
      </c>
      <c r="F147">
        <v>173.1</v>
      </c>
      <c r="G147">
        <v>100</v>
      </c>
      <c r="H147">
        <v>3.9</v>
      </c>
      <c r="I147">
        <v>7</v>
      </c>
      <c r="J147">
        <v>7.19</v>
      </c>
      <c r="K147">
        <v>5.38</v>
      </c>
      <c r="L147">
        <v>0</v>
      </c>
      <c r="M147" t="s">
        <v>25</v>
      </c>
      <c r="N147" t="s">
        <v>35</v>
      </c>
      <c r="O147">
        <v>16.29</v>
      </c>
      <c r="P147" s="1">
        <v>45292</v>
      </c>
      <c r="Q147" t="str">
        <f t="shared" si="2"/>
        <v>High Performance</v>
      </c>
      <c r="R147" s="2">
        <f>Table1_1[[#This Row],[tasks_completed]]/Table1_1[[#This Row],[monthly_hours_worked]]</f>
        <v>4.0439052570768345E-2</v>
      </c>
    </row>
    <row r="148" spans="1:18" x14ac:dyDescent="0.3">
      <c r="A148" t="s">
        <v>57</v>
      </c>
      <c r="B148" t="s">
        <v>33</v>
      </c>
      <c r="C148" t="s">
        <v>37</v>
      </c>
      <c r="D148" t="s">
        <v>29</v>
      </c>
      <c r="E148">
        <v>8</v>
      </c>
      <c r="F148">
        <v>160.30000000000001</v>
      </c>
      <c r="G148">
        <v>97.1</v>
      </c>
      <c r="H148">
        <v>1.5</v>
      </c>
      <c r="I148">
        <v>4</v>
      </c>
      <c r="J148">
        <v>5.32</v>
      </c>
      <c r="K148">
        <v>4.1900000000000004</v>
      </c>
      <c r="L148">
        <v>0</v>
      </c>
      <c r="M148" t="s">
        <v>34</v>
      </c>
      <c r="N148" t="s">
        <v>26</v>
      </c>
      <c r="O148">
        <v>5.22</v>
      </c>
      <c r="P148" s="1">
        <v>45352</v>
      </c>
      <c r="Q148" t="str">
        <f t="shared" si="2"/>
        <v>Low Performance</v>
      </c>
      <c r="R148" s="2">
        <f>Table1_1[[#This Row],[tasks_completed]]/Table1_1[[#This Row],[monthly_hours_worked]]</f>
        <v>2.4953212726138489E-2</v>
      </c>
    </row>
    <row r="149" spans="1:18" x14ac:dyDescent="0.3">
      <c r="A149" t="s">
        <v>57</v>
      </c>
      <c r="B149" t="s">
        <v>17</v>
      </c>
      <c r="C149" t="s">
        <v>24</v>
      </c>
      <c r="D149" t="s">
        <v>39</v>
      </c>
      <c r="E149">
        <v>6</v>
      </c>
      <c r="F149">
        <v>171.7</v>
      </c>
      <c r="G149">
        <v>96.8</v>
      </c>
      <c r="H149">
        <v>4.8</v>
      </c>
      <c r="I149">
        <v>7</v>
      </c>
      <c r="J149">
        <v>8.17</v>
      </c>
      <c r="K149">
        <v>3.4</v>
      </c>
      <c r="L149">
        <v>0</v>
      </c>
      <c r="M149" t="s">
        <v>25</v>
      </c>
      <c r="N149" t="s">
        <v>26</v>
      </c>
      <c r="O149">
        <v>10.89</v>
      </c>
      <c r="P149" s="1">
        <v>45352</v>
      </c>
      <c r="Q149" t="str">
        <f t="shared" si="2"/>
        <v>Medium Performance</v>
      </c>
      <c r="R149" s="2">
        <f>Table1_1[[#This Row],[tasks_completed]]/Table1_1[[#This Row],[monthly_hours_worked]]</f>
        <v>4.0768782760629008E-2</v>
      </c>
    </row>
    <row r="150" spans="1:18" x14ac:dyDescent="0.3">
      <c r="A150" t="s">
        <v>57</v>
      </c>
      <c r="B150" t="s">
        <v>17</v>
      </c>
      <c r="C150" t="s">
        <v>37</v>
      </c>
      <c r="D150" t="s">
        <v>19</v>
      </c>
      <c r="E150">
        <v>3</v>
      </c>
      <c r="F150">
        <v>160.30000000000001</v>
      </c>
      <c r="G150">
        <v>88.4</v>
      </c>
      <c r="H150">
        <v>2.8</v>
      </c>
      <c r="I150">
        <v>7</v>
      </c>
      <c r="J150">
        <v>8.6199999999999992</v>
      </c>
      <c r="K150">
        <v>8.42</v>
      </c>
      <c r="L150">
        <v>0</v>
      </c>
      <c r="M150" t="s">
        <v>34</v>
      </c>
      <c r="N150" t="s">
        <v>35</v>
      </c>
      <c r="O150">
        <v>17.5</v>
      </c>
      <c r="P150" s="1">
        <v>45383</v>
      </c>
      <c r="Q150" t="str">
        <f t="shared" si="2"/>
        <v>High Performance</v>
      </c>
      <c r="R150" s="2">
        <f>Table1_1[[#This Row],[tasks_completed]]/Table1_1[[#This Row],[monthly_hours_worked]]</f>
        <v>4.3668122270742356E-2</v>
      </c>
    </row>
    <row r="151" spans="1:18" x14ac:dyDescent="0.3">
      <c r="A151" t="s">
        <v>57</v>
      </c>
      <c r="B151" t="s">
        <v>43</v>
      </c>
      <c r="C151" t="s">
        <v>24</v>
      </c>
      <c r="D151" t="s">
        <v>29</v>
      </c>
      <c r="E151">
        <v>6</v>
      </c>
      <c r="F151">
        <v>179.6</v>
      </c>
      <c r="G151">
        <v>100</v>
      </c>
      <c r="H151">
        <v>4.0999999999999996</v>
      </c>
      <c r="I151">
        <v>3</v>
      </c>
      <c r="K151">
        <v>7.53</v>
      </c>
      <c r="L151">
        <v>1</v>
      </c>
      <c r="M151" t="s">
        <v>34</v>
      </c>
      <c r="N151" t="s">
        <v>26</v>
      </c>
      <c r="O151">
        <v>22.12</v>
      </c>
      <c r="P151" s="1">
        <v>45413</v>
      </c>
      <c r="Q151" t="str">
        <f t="shared" si="2"/>
        <v>High Performance</v>
      </c>
      <c r="R151" s="2">
        <f>Table1_1[[#This Row],[tasks_completed]]/Table1_1[[#This Row],[monthly_hours_worked]]</f>
        <v>1.670378619153675E-2</v>
      </c>
    </row>
    <row r="152" spans="1:18" x14ac:dyDescent="0.3">
      <c r="A152" t="s">
        <v>57</v>
      </c>
      <c r="B152" t="s">
        <v>23</v>
      </c>
      <c r="C152" t="s">
        <v>18</v>
      </c>
      <c r="D152" t="s">
        <v>19</v>
      </c>
      <c r="E152">
        <v>5</v>
      </c>
      <c r="F152">
        <v>163.30000000000001</v>
      </c>
      <c r="G152">
        <v>100</v>
      </c>
      <c r="H152">
        <v>5.3</v>
      </c>
      <c r="I152">
        <v>5</v>
      </c>
      <c r="J152">
        <v>6.91</v>
      </c>
      <c r="K152">
        <v>6.9</v>
      </c>
      <c r="L152">
        <v>0</v>
      </c>
      <c r="M152" t="s">
        <v>20</v>
      </c>
      <c r="N152" t="s">
        <v>26</v>
      </c>
      <c r="O152">
        <v>22.06</v>
      </c>
      <c r="P152" s="1">
        <v>45444</v>
      </c>
      <c r="Q152" t="str">
        <f t="shared" si="2"/>
        <v>High Performance</v>
      </c>
      <c r="R152" s="2">
        <f>Table1_1[[#This Row],[tasks_completed]]/Table1_1[[#This Row],[monthly_hours_worked]]</f>
        <v>3.0618493570116347E-2</v>
      </c>
    </row>
    <row r="153" spans="1:18" x14ac:dyDescent="0.3">
      <c r="A153" t="s">
        <v>57</v>
      </c>
      <c r="B153" t="s">
        <v>27</v>
      </c>
      <c r="C153" t="s">
        <v>18</v>
      </c>
      <c r="D153" t="s">
        <v>19</v>
      </c>
      <c r="E153">
        <v>4</v>
      </c>
      <c r="F153">
        <v>150.9</v>
      </c>
      <c r="G153">
        <v>91.7</v>
      </c>
      <c r="H153">
        <v>3.8</v>
      </c>
      <c r="I153">
        <v>11</v>
      </c>
      <c r="J153">
        <v>9.56</v>
      </c>
      <c r="K153">
        <v>6.61</v>
      </c>
      <c r="L153">
        <v>1</v>
      </c>
      <c r="M153" t="s">
        <v>25</v>
      </c>
      <c r="N153" t="s">
        <v>35</v>
      </c>
      <c r="O153">
        <v>20.05</v>
      </c>
      <c r="P153" s="1">
        <v>45474</v>
      </c>
      <c r="Q153" t="str">
        <f t="shared" si="2"/>
        <v>High Performance</v>
      </c>
      <c r="R153" s="2">
        <f>Table1_1[[#This Row],[tasks_completed]]/Table1_1[[#This Row],[monthly_hours_worked]]</f>
        <v>7.2895957587806495E-2</v>
      </c>
    </row>
    <row r="154" spans="1:18" x14ac:dyDescent="0.3">
      <c r="A154" t="s">
        <v>57</v>
      </c>
      <c r="B154" t="s">
        <v>27</v>
      </c>
      <c r="C154" t="s">
        <v>31</v>
      </c>
      <c r="D154" t="s">
        <v>19</v>
      </c>
      <c r="E154">
        <v>8</v>
      </c>
      <c r="F154">
        <v>165.9</v>
      </c>
      <c r="G154">
        <v>80.3</v>
      </c>
      <c r="H154">
        <v>6.3</v>
      </c>
      <c r="I154">
        <v>5</v>
      </c>
      <c r="J154">
        <v>7.79</v>
      </c>
      <c r="K154">
        <v>5.0599999999999996</v>
      </c>
      <c r="L154">
        <v>1</v>
      </c>
      <c r="M154" t="s">
        <v>20</v>
      </c>
      <c r="N154" t="s">
        <v>21</v>
      </c>
      <c r="O154">
        <v>5.09</v>
      </c>
      <c r="P154" s="1">
        <v>45505</v>
      </c>
      <c r="Q154" t="str">
        <f t="shared" si="2"/>
        <v>Low Performance</v>
      </c>
      <c r="R154" s="2">
        <f>Table1_1[[#This Row],[tasks_completed]]/Table1_1[[#This Row],[monthly_hours_worked]]</f>
        <v>3.013863773357444E-2</v>
      </c>
    </row>
    <row r="155" spans="1:18" x14ac:dyDescent="0.3">
      <c r="A155" t="s">
        <v>57</v>
      </c>
      <c r="B155" t="s">
        <v>27</v>
      </c>
      <c r="C155" t="s">
        <v>37</v>
      </c>
      <c r="D155" t="s">
        <v>29</v>
      </c>
      <c r="E155">
        <v>8</v>
      </c>
      <c r="F155">
        <v>162.1</v>
      </c>
      <c r="G155">
        <v>100</v>
      </c>
      <c r="H155">
        <v>4.8</v>
      </c>
      <c r="I155">
        <v>2</v>
      </c>
      <c r="J155">
        <v>6.97</v>
      </c>
      <c r="K155">
        <v>7.36</v>
      </c>
      <c r="L155">
        <v>1</v>
      </c>
      <c r="M155" t="s">
        <v>20</v>
      </c>
      <c r="N155" t="s">
        <v>35</v>
      </c>
      <c r="O155">
        <v>14.15</v>
      </c>
      <c r="P155" s="1">
        <v>45536</v>
      </c>
      <c r="Q155" t="str">
        <f t="shared" si="2"/>
        <v>Medium Performance</v>
      </c>
      <c r="R155" s="2">
        <f>Table1_1[[#This Row],[tasks_completed]]/Table1_1[[#This Row],[monthly_hours_worked]]</f>
        <v>1.2338062924120914E-2</v>
      </c>
    </row>
    <row r="156" spans="1:18" x14ac:dyDescent="0.3">
      <c r="A156" t="s">
        <v>57</v>
      </c>
      <c r="B156" t="s">
        <v>17</v>
      </c>
      <c r="C156" t="s">
        <v>31</v>
      </c>
      <c r="D156" t="s">
        <v>39</v>
      </c>
      <c r="E156">
        <v>8</v>
      </c>
      <c r="F156">
        <v>175.4</v>
      </c>
      <c r="G156">
        <v>91.5</v>
      </c>
      <c r="H156">
        <v>6.9</v>
      </c>
      <c r="I156">
        <v>4</v>
      </c>
      <c r="J156">
        <v>5.81</v>
      </c>
      <c r="K156">
        <v>5.57</v>
      </c>
      <c r="L156">
        <v>1</v>
      </c>
      <c r="M156" t="s">
        <v>34</v>
      </c>
      <c r="N156" t="s">
        <v>35</v>
      </c>
      <c r="O156">
        <v>14.43</v>
      </c>
      <c r="P156" s="1">
        <v>45566</v>
      </c>
      <c r="Q156" t="str">
        <f t="shared" si="2"/>
        <v>Medium Performance</v>
      </c>
      <c r="R156" s="2">
        <f>Table1_1[[#This Row],[tasks_completed]]/Table1_1[[#This Row],[monthly_hours_worked]]</f>
        <v>2.2805017103762829E-2</v>
      </c>
    </row>
    <row r="157" spans="1:18" x14ac:dyDescent="0.3">
      <c r="A157" t="s">
        <v>57</v>
      </c>
      <c r="B157" t="s">
        <v>23</v>
      </c>
      <c r="C157" t="s">
        <v>31</v>
      </c>
      <c r="D157" t="s">
        <v>29</v>
      </c>
      <c r="E157">
        <v>6</v>
      </c>
      <c r="F157">
        <v>143.9</v>
      </c>
      <c r="G157">
        <v>91.2</v>
      </c>
      <c r="H157">
        <v>3.5</v>
      </c>
      <c r="I157">
        <v>10</v>
      </c>
      <c r="J157">
        <v>6.09</v>
      </c>
      <c r="K157">
        <v>5.29</v>
      </c>
      <c r="L157">
        <v>1</v>
      </c>
      <c r="M157" t="s">
        <v>34</v>
      </c>
      <c r="N157" t="s">
        <v>26</v>
      </c>
      <c r="O157">
        <v>15.15</v>
      </c>
      <c r="P157" s="1">
        <v>45597</v>
      </c>
      <c r="Q157" t="str">
        <f t="shared" si="2"/>
        <v>High Performance</v>
      </c>
      <c r="R157" s="2">
        <f>Table1_1[[#This Row],[tasks_completed]]/Table1_1[[#This Row],[monthly_hours_worked]]</f>
        <v>6.9492703266157058E-2</v>
      </c>
    </row>
    <row r="158" spans="1:18" x14ac:dyDescent="0.3">
      <c r="A158" t="s">
        <v>58</v>
      </c>
      <c r="B158" t="s">
        <v>33</v>
      </c>
      <c r="C158" t="s">
        <v>41</v>
      </c>
      <c r="D158" t="s">
        <v>19</v>
      </c>
      <c r="E158">
        <v>7</v>
      </c>
      <c r="F158">
        <v>158.6</v>
      </c>
      <c r="G158">
        <v>100</v>
      </c>
      <c r="H158">
        <v>5.4</v>
      </c>
      <c r="I158">
        <v>6</v>
      </c>
      <c r="J158">
        <v>9.43</v>
      </c>
      <c r="K158">
        <v>5.61</v>
      </c>
      <c r="L158">
        <v>0</v>
      </c>
      <c r="M158" t="s">
        <v>20</v>
      </c>
      <c r="N158" t="s">
        <v>35</v>
      </c>
      <c r="O158">
        <v>22.14</v>
      </c>
      <c r="P158" s="1">
        <v>45292</v>
      </c>
      <c r="Q158" t="str">
        <f t="shared" si="2"/>
        <v>High Performance</v>
      </c>
      <c r="R158" s="2">
        <f>Table1_1[[#This Row],[tasks_completed]]/Table1_1[[#This Row],[monthly_hours_worked]]</f>
        <v>3.7831021437578813E-2</v>
      </c>
    </row>
    <row r="159" spans="1:18" x14ac:dyDescent="0.3">
      <c r="A159" t="s">
        <v>58</v>
      </c>
      <c r="B159" t="s">
        <v>43</v>
      </c>
      <c r="C159" t="s">
        <v>41</v>
      </c>
      <c r="D159" t="s">
        <v>39</v>
      </c>
      <c r="E159">
        <v>2</v>
      </c>
      <c r="F159">
        <v>163.4</v>
      </c>
      <c r="G159">
        <v>90.3</v>
      </c>
      <c r="I159">
        <v>4</v>
      </c>
      <c r="J159">
        <v>7.52</v>
      </c>
      <c r="K159">
        <v>8.65</v>
      </c>
      <c r="L159">
        <v>0</v>
      </c>
      <c r="M159" t="s">
        <v>20</v>
      </c>
      <c r="N159" t="s">
        <v>21</v>
      </c>
      <c r="O159">
        <v>8.39</v>
      </c>
      <c r="P159" s="1">
        <v>45292</v>
      </c>
      <c r="Q159" t="str">
        <f t="shared" si="2"/>
        <v>Low Performance</v>
      </c>
      <c r="R159" s="2">
        <f>Table1_1[[#This Row],[tasks_completed]]/Table1_1[[#This Row],[monthly_hours_worked]]</f>
        <v>2.4479804161566705E-2</v>
      </c>
    </row>
    <row r="160" spans="1:18" x14ac:dyDescent="0.3">
      <c r="A160" t="s">
        <v>58</v>
      </c>
      <c r="B160" t="s">
        <v>17</v>
      </c>
      <c r="C160" t="s">
        <v>37</v>
      </c>
      <c r="D160" t="s">
        <v>39</v>
      </c>
      <c r="E160">
        <v>9</v>
      </c>
      <c r="F160">
        <v>146.5</v>
      </c>
      <c r="G160">
        <v>90.9</v>
      </c>
      <c r="H160">
        <v>4</v>
      </c>
      <c r="I160">
        <v>9</v>
      </c>
      <c r="J160">
        <v>8.81</v>
      </c>
      <c r="K160">
        <v>9.85</v>
      </c>
      <c r="L160">
        <v>0</v>
      </c>
      <c r="M160" t="s">
        <v>25</v>
      </c>
      <c r="N160" t="s">
        <v>35</v>
      </c>
      <c r="O160">
        <v>19.170000000000002</v>
      </c>
      <c r="P160" s="1">
        <v>45352</v>
      </c>
      <c r="Q160" t="str">
        <f t="shared" si="2"/>
        <v>High Performance</v>
      </c>
      <c r="R160" s="2">
        <f>Table1_1[[#This Row],[tasks_completed]]/Table1_1[[#This Row],[monthly_hours_worked]]</f>
        <v>6.1433447098976107E-2</v>
      </c>
    </row>
    <row r="161" spans="1:18" x14ac:dyDescent="0.3">
      <c r="A161" t="s">
        <v>58</v>
      </c>
      <c r="B161" t="s">
        <v>27</v>
      </c>
      <c r="C161" t="s">
        <v>41</v>
      </c>
      <c r="D161" t="s">
        <v>19</v>
      </c>
      <c r="E161">
        <v>7</v>
      </c>
      <c r="F161">
        <v>165.5</v>
      </c>
      <c r="G161">
        <v>93.2</v>
      </c>
      <c r="H161">
        <v>3.8</v>
      </c>
      <c r="I161">
        <v>7</v>
      </c>
      <c r="J161">
        <v>6.25</v>
      </c>
      <c r="K161">
        <v>2.15</v>
      </c>
      <c r="L161">
        <v>1</v>
      </c>
      <c r="M161" t="s">
        <v>20</v>
      </c>
      <c r="N161" t="s">
        <v>35</v>
      </c>
      <c r="O161">
        <v>12.56</v>
      </c>
      <c r="P161" s="1">
        <v>45352</v>
      </c>
      <c r="Q161" t="str">
        <f t="shared" si="2"/>
        <v>Medium Performance</v>
      </c>
      <c r="R161" s="2">
        <f>Table1_1[[#This Row],[tasks_completed]]/Table1_1[[#This Row],[monthly_hours_worked]]</f>
        <v>4.2296072507552872E-2</v>
      </c>
    </row>
    <row r="162" spans="1:18" x14ac:dyDescent="0.3">
      <c r="A162" t="s">
        <v>58</v>
      </c>
      <c r="B162" t="s">
        <v>17</v>
      </c>
      <c r="C162" t="s">
        <v>31</v>
      </c>
      <c r="D162" t="s">
        <v>39</v>
      </c>
      <c r="E162">
        <v>3</v>
      </c>
      <c r="F162">
        <v>145.6</v>
      </c>
      <c r="G162">
        <v>94</v>
      </c>
      <c r="H162">
        <v>2.2000000000000002</v>
      </c>
      <c r="I162">
        <v>6</v>
      </c>
      <c r="J162">
        <v>5.38</v>
      </c>
      <c r="K162">
        <v>9.08</v>
      </c>
      <c r="L162">
        <v>0</v>
      </c>
      <c r="M162" t="s">
        <v>25</v>
      </c>
      <c r="N162" t="s">
        <v>35</v>
      </c>
      <c r="O162">
        <v>12.75</v>
      </c>
      <c r="P162" s="1">
        <v>45383</v>
      </c>
      <c r="Q162" t="str">
        <f t="shared" si="2"/>
        <v>Medium Performance</v>
      </c>
      <c r="R162" s="2">
        <f>Table1_1[[#This Row],[tasks_completed]]/Table1_1[[#This Row],[monthly_hours_worked]]</f>
        <v>4.1208791208791208E-2</v>
      </c>
    </row>
    <row r="163" spans="1:18" x14ac:dyDescent="0.3">
      <c r="A163" t="s">
        <v>58</v>
      </c>
      <c r="B163" t="s">
        <v>23</v>
      </c>
      <c r="C163" t="s">
        <v>37</v>
      </c>
      <c r="D163" t="s">
        <v>39</v>
      </c>
      <c r="E163">
        <v>7</v>
      </c>
      <c r="F163">
        <v>144.5</v>
      </c>
      <c r="G163">
        <v>99.1</v>
      </c>
      <c r="H163">
        <v>5.8</v>
      </c>
      <c r="I163">
        <v>7</v>
      </c>
      <c r="J163">
        <v>6.15</v>
      </c>
      <c r="K163">
        <v>5.91</v>
      </c>
      <c r="L163">
        <v>0</v>
      </c>
      <c r="M163" t="s">
        <v>20</v>
      </c>
      <c r="N163" t="s">
        <v>35</v>
      </c>
      <c r="O163">
        <v>13.23</v>
      </c>
      <c r="P163" s="1">
        <v>45413</v>
      </c>
      <c r="Q163" t="str">
        <f t="shared" si="2"/>
        <v>Medium Performance</v>
      </c>
      <c r="R163" s="2">
        <f>Table1_1[[#This Row],[tasks_completed]]/Table1_1[[#This Row],[monthly_hours_worked]]</f>
        <v>4.8442906574394463E-2</v>
      </c>
    </row>
    <row r="164" spans="1:18" x14ac:dyDescent="0.3">
      <c r="A164" t="s">
        <v>58</v>
      </c>
      <c r="B164" t="s">
        <v>27</v>
      </c>
      <c r="C164" t="s">
        <v>37</v>
      </c>
      <c r="D164" t="s">
        <v>19</v>
      </c>
      <c r="E164">
        <v>10</v>
      </c>
      <c r="F164">
        <v>150.69999999999999</v>
      </c>
      <c r="G164">
        <v>95.5</v>
      </c>
      <c r="H164">
        <v>2.8</v>
      </c>
      <c r="I164">
        <v>8</v>
      </c>
      <c r="J164">
        <v>8.68</v>
      </c>
      <c r="K164">
        <v>8.23</v>
      </c>
      <c r="L164">
        <v>0</v>
      </c>
      <c r="M164" t="s">
        <v>25</v>
      </c>
      <c r="N164" t="s">
        <v>26</v>
      </c>
      <c r="O164">
        <v>16.309999999999999</v>
      </c>
      <c r="P164" s="1">
        <v>45444</v>
      </c>
      <c r="Q164" t="str">
        <f t="shared" si="2"/>
        <v>High Performance</v>
      </c>
      <c r="R164" s="2">
        <f>Table1_1[[#This Row],[tasks_completed]]/Table1_1[[#This Row],[monthly_hours_worked]]</f>
        <v>5.3085600530856009E-2</v>
      </c>
    </row>
    <row r="165" spans="1:18" x14ac:dyDescent="0.3">
      <c r="A165" t="s">
        <v>58</v>
      </c>
      <c r="B165" t="s">
        <v>23</v>
      </c>
      <c r="C165" t="s">
        <v>18</v>
      </c>
      <c r="D165" t="s">
        <v>29</v>
      </c>
      <c r="E165">
        <v>10</v>
      </c>
      <c r="F165">
        <v>148.19999999999999</v>
      </c>
      <c r="G165">
        <v>100</v>
      </c>
      <c r="H165">
        <v>6.4</v>
      </c>
      <c r="I165">
        <v>3</v>
      </c>
      <c r="J165">
        <v>8.58</v>
      </c>
      <c r="K165">
        <v>8.35</v>
      </c>
      <c r="L165">
        <v>0</v>
      </c>
      <c r="M165" t="s">
        <v>34</v>
      </c>
      <c r="N165" t="s">
        <v>35</v>
      </c>
      <c r="O165">
        <v>17.239999999999998</v>
      </c>
      <c r="P165" s="1">
        <v>45474</v>
      </c>
      <c r="Q165" t="str">
        <f t="shared" si="2"/>
        <v>High Performance</v>
      </c>
      <c r="R165" s="2">
        <f>Table1_1[[#This Row],[tasks_completed]]/Table1_1[[#This Row],[monthly_hours_worked]]</f>
        <v>2.0242914979757085E-2</v>
      </c>
    </row>
    <row r="166" spans="1:18" x14ac:dyDescent="0.3">
      <c r="A166" t="s">
        <v>58</v>
      </c>
      <c r="B166" t="s">
        <v>43</v>
      </c>
      <c r="C166" t="s">
        <v>41</v>
      </c>
      <c r="D166" t="s">
        <v>29</v>
      </c>
      <c r="E166">
        <v>6</v>
      </c>
      <c r="F166">
        <v>141.1</v>
      </c>
      <c r="G166">
        <v>91.4</v>
      </c>
      <c r="H166">
        <v>7.5</v>
      </c>
      <c r="I166">
        <v>11</v>
      </c>
      <c r="J166">
        <v>6.26</v>
      </c>
      <c r="K166">
        <v>6.06</v>
      </c>
      <c r="L166">
        <v>1</v>
      </c>
      <c r="M166" t="s">
        <v>34</v>
      </c>
      <c r="N166" t="s">
        <v>35</v>
      </c>
      <c r="O166">
        <v>12.25</v>
      </c>
      <c r="P166" s="1">
        <v>45505</v>
      </c>
      <c r="Q166" t="str">
        <f t="shared" si="2"/>
        <v>Medium Performance</v>
      </c>
      <c r="R166" s="2">
        <f>Table1_1[[#This Row],[tasks_completed]]/Table1_1[[#This Row],[monthly_hours_worked]]</f>
        <v>7.7958894401133946E-2</v>
      </c>
    </row>
    <row r="167" spans="1:18" x14ac:dyDescent="0.3">
      <c r="A167" t="s">
        <v>58</v>
      </c>
      <c r="B167" t="s">
        <v>43</v>
      </c>
      <c r="C167" t="s">
        <v>31</v>
      </c>
      <c r="D167" t="s">
        <v>29</v>
      </c>
      <c r="E167">
        <v>9</v>
      </c>
      <c r="F167">
        <v>161.5</v>
      </c>
      <c r="G167">
        <v>98.2</v>
      </c>
      <c r="H167">
        <v>3.6</v>
      </c>
      <c r="I167">
        <v>9</v>
      </c>
      <c r="K167">
        <v>8.5399999999999991</v>
      </c>
      <c r="L167">
        <v>1</v>
      </c>
      <c r="M167" t="s">
        <v>25</v>
      </c>
      <c r="N167" t="s">
        <v>35</v>
      </c>
      <c r="O167">
        <v>22.06</v>
      </c>
      <c r="P167" s="1">
        <v>45536</v>
      </c>
      <c r="Q167" t="str">
        <f t="shared" si="2"/>
        <v>High Performance</v>
      </c>
      <c r="R167" s="2">
        <f>Table1_1[[#This Row],[tasks_completed]]/Table1_1[[#This Row],[monthly_hours_worked]]</f>
        <v>5.5727554179566562E-2</v>
      </c>
    </row>
    <row r="168" spans="1:18" x14ac:dyDescent="0.3">
      <c r="A168" t="s">
        <v>58</v>
      </c>
      <c r="B168" t="s">
        <v>23</v>
      </c>
      <c r="C168" t="s">
        <v>31</v>
      </c>
      <c r="D168" t="s">
        <v>19</v>
      </c>
      <c r="E168">
        <v>9</v>
      </c>
      <c r="F168">
        <v>163.9</v>
      </c>
      <c r="G168">
        <v>100</v>
      </c>
      <c r="H168">
        <v>5.7</v>
      </c>
      <c r="I168">
        <v>7</v>
      </c>
      <c r="J168">
        <v>6.95</v>
      </c>
      <c r="K168">
        <v>7.66</v>
      </c>
      <c r="L168">
        <v>0</v>
      </c>
      <c r="M168" t="s">
        <v>25</v>
      </c>
      <c r="N168" t="s">
        <v>35</v>
      </c>
      <c r="O168">
        <v>17.71</v>
      </c>
      <c r="P168" s="1">
        <v>45566</v>
      </c>
      <c r="Q168" t="str">
        <f t="shared" si="2"/>
        <v>High Performance</v>
      </c>
      <c r="R168" s="2">
        <f>Table1_1[[#This Row],[tasks_completed]]/Table1_1[[#This Row],[monthly_hours_worked]]</f>
        <v>4.2708968883465523E-2</v>
      </c>
    </row>
    <row r="169" spans="1:18" x14ac:dyDescent="0.3">
      <c r="A169" t="s">
        <v>58</v>
      </c>
      <c r="B169" t="s">
        <v>27</v>
      </c>
      <c r="C169" t="s">
        <v>37</v>
      </c>
      <c r="D169" t="s">
        <v>39</v>
      </c>
      <c r="E169">
        <v>1</v>
      </c>
      <c r="F169">
        <v>160</v>
      </c>
      <c r="G169">
        <v>98.9</v>
      </c>
      <c r="H169">
        <v>1.6</v>
      </c>
      <c r="I169">
        <v>11</v>
      </c>
      <c r="K169">
        <v>8.91</v>
      </c>
      <c r="L169">
        <v>1</v>
      </c>
      <c r="M169" t="s">
        <v>34</v>
      </c>
      <c r="N169" t="s">
        <v>26</v>
      </c>
      <c r="O169">
        <v>14.37</v>
      </c>
      <c r="P169" s="1">
        <v>45597</v>
      </c>
      <c r="Q169" t="str">
        <f t="shared" si="2"/>
        <v>Medium Performance</v>
      </c>
      <c r="R169" s="2">
        <f>Table1_1[[#This Row],[tasks_completed]]/Table1_1[[#This Row],[monthly_hours_worked]]</f>
        <v>6.8750000000000006E-2</v>
      </c>
    </row>
    <row r="170" spans="1:18" x14ac:dyDescent="0.3">
      <c r="A170" t="s">
        <v>59</v>
      </c>
      <c r="B170" t="s">
        <v>33</v>
      </c>
      <c r="C170" t="s">
        <v>31</v>
      </c>
      <c r="D170" t="s">
        <v>19</v>
      </c>
      <c r="E170">
        <v>1</v>
      </c>
      <c r="F170">
        <v>155.69999999999999</v>
      </c>
      <c r="G170">
        <v>97.9</v>
      </c>
      <c r="H170">
        <v>1.8</v>
      </c>
      <c r="I170">
        <v>5</v>
      </c>
      <c r="J170">
        <v>8.19</v>
      </c>
      <c r="K170">
        <v>7.85</v>
      </c>
      <c r="L170">
        <v>1</v>
      </c>
      <c r="M170" t="s">
        <v>34</v>
      </c>
      <c r="N170" t="s">
        <v>35</v>
      </c>
      <c r="O170">
        <v>13.53</v>
      </c>
      <c r="P170" s="1">
        <v>45292</v>
      </c>
      <c r="Q170" t="str">
        <f t="shared" si="2"/>
        <v>Medium Performance</v>
      </c>
      <c r="R170" s="2">
        <f>Table1_1[[#This Row],[tasks_completed]]/Table1_1[[#This Row],[monthly_hours_worked]]</f>
        <v>3.2113037893384717E-2</v>
      </c>
    </row>
    <row r="171" spans="1:18" x14ac:dyDescent="0.3">
      <c r="A171" t="s">
        <v>59</v>
      </c>
      <c r="B171" t="s">
        <v>33</v>
      </c>
      <c r="C171" t="s">
        <v>31</v>
      </c>
      <c r="D171" t="s">
        <v>39</v>
      </c>
      <c r="E171">
        <v>10</v>
      </c>
      <c r="F171">
        <v>178</v>
      </c>
      <c r="G171">
        <v>94</v>
      </c>
      <c r="H171">
        <v>6.4</v>
      </c>
      <c r="I171">
        <v>5</v>
      </c>
      <c r="K171">
        <v>4.5</v>
      </c>
      <c r="L171">
        <v>0</v>
      </c>
      <c r="M171" t="s">
        <v>20</v>
      </c>
      <c r="N171" t="s">
        <v>35</v>
      </c>
      <c r="O171">
        <v>16.079999999999998</v>
      </c>
      <c r="P171" s="1">
        <v>45292</v>
      </c>
      <c r="Q171" t="str">
        <f t="shared" si="2"/>
        <v>High Performance</v>
      </c>
      <c r="R171" s="2">
        <f>Table1_1[[#This Row],[tasks_completed]]/Table1_1[[#This Row],[monthly_hours_worked]]</f>
        <v>2.8089887640449437E-2</v>
      </c>
    </row>
    <row r="172" spans="1:18" x14ac:dyDescent="0.3">
      <c r="A172" t="s">
        <v>59</v>
      </c>
      <c r="B172" t="s">
        <v>23</v>
      </c>
      <c r="C172" t="s">
        <v>18</v>
      </c>
      <c r="D172" t="s">
        <v>19</v>
      </c>
      <c r="E172">
        <v>2</v>
      </c>
      <c r="F172">
        <v>173.9</v>
      </c>
      <c r="G172">
        <v>95.3</v>
      </c>
      <c r="I172">
        <v>2</v>
      </c>
      <c r="J172">
        <v>6.27</v>
      </c>
      <c r="K172">
        <v>10</v>
      </c>
      <c r="L172">
        <v>0</v>
      </c>
      <c r="M172" t="s">
        <v>25</v>
      </c>
      <c r="N172" t="s">
        <v>35</v>
      </c>
      <c r="O172">
        <v>5.49</v>
      </c>
      <c r="P172" s="1">
        <v>45352</v>
      </c>
      <c r="Q172" t="str">
        <f t="shared" si="2"/>
        <v>Low Performance</v>
      </c>
      <c r="R172" s="2">
        <f>Table1_1[[#This Row],[tasks_completed]]/Table1_1[[#This Row],[monthly_hours_worked]]</f>
        <v>1.1500862564692351E-2</v>
      </c>
    </row>
    <row r="173" spans="1:18" x14ac:dyDescent="0.3">
      <c r="A173" t="s">
        <v>59</v>
      </c>
      <c r="B173" t="s">
        <v>17</v>
      </c>
      <c r="C173" t="s">
        <v>41</v>
      </c>
      <c r="D173" t="s">
        <v>19</v>
      </c>
      <c r="E173">
        <v>3</v>
      </c>
      <c r="F173">
        <v>174.2</v>
      </c>
      <c r="G173">
        <v>92</v>
      </c>
      <c r="I173">
        <v>6</v>
      </c>
      <c r="J173">
        <v>9.01</v>
      </c>
      <c r="K173">
        <v>3.95</v>
      </c>
      <c r="L173">
        <v>0</v>
      </c>
      <c r="M173" t="s">
        <v>25</v>
      </c>
      <c r="N173" t="s">
        <v>21</v>
      </c>
      <c r="O173">
        <v>12.78</v>
      </c>
      <c r="P173" s="1">
        <v>45352</v>
      </c>
      <c r="Q173" t="str">
        <f t="shared" si="2"/>
        <v>Medium Performance</v>
      </c>
      <c r="R173" s="2">
        <f>Table1_1[[#This Row],[tasks_completed]]/Table1_1[[#This Row],[monthly_hours_worked]]</f>
        <v>3.4443168771526984E-2</v>
      </c>
    </row>
    <row r="174" spans="1:18" x14ac:dyDescent="0.3">
      <c r="A174" t="s">
        <v>59</v>
      </c>
      <c r="B174" t="s">
        <v>23</v>
      </c>
      <c r="C174" t="s">
        <v>31</v>
      </c>
      <c r="D174" t="s">
        <v>39</v>
      </c>
      <c r="E174">
        <v>10</v>
      </c>
      <c r="F174">
        <v>149.1</v>
      </c>
      <c r="G174">
        <v>98.5</v>
      </c>
      <c r="H174">
        <v>8.4</v>
      </c>
      <c r="I174">
        <v>8</v>
      </c>
      <c r="J174">
        <v>6.71</v>
      </c>
      <c r="K174">
        <v>8.32</v>
      </c>
      <c r="L174">
        <v>1</v>
      </c>
      <c r="M174" t="s">
        <v>34</v>
      </c>
      <c r="N174" t="s">
        <v>26</v>
      </c>
      <c r="O174">
        <v>17.739999999999998</v>
      </c>
      <c r="P174" s="1">
        <v>45383</v>
      </c>
      <c r="Q174" t="str">
        <f t="shared" si="2"/>
        <v>High Performance</v>
      </c>
      <c r="R174" s="2">
        <f>Table1_1[[#This Row],[tasks_completed]]/Table1_1[[#This Row],[monthly_hours_worked]]</f>
        <v>5.3655264922870559E-2</v>
      </c>
    </row>
    <row r="175" spans="1:18" x14ac:dyDescent="0.3">
      <c r="A175" t="s">
        <v>59</v>
      </c>
      <c r="B175" t="s">
        <v>27</v>
      </c>
      <c r="C175" t="s">
        <v>41</v>
      </c>
      <c r="D175" t="s">
        <v>39</v>
      </c>
      <c r="E175">
        <v>2</v>
      </c>
      <c r="F175">
        <v>164.1</v>
      </c>
      <c r="G175">
        <v>88.4</v>
      </c>
      <c r="I175">
        <v>3</v>
      </c>
      <c r="J175">
        <v>5.96</v>
      </c>
      <c r="K175">
        <v>7.02</v>
      </c>
      <c r="L175">
        <v>0</v>
      </c>
      <c r="M175" t="s">
        <v>25</v>
      </c>
      <c r="N175" t="s">
        <v>21</v>
      </c>
      <c r="O175">
        <v>15.42</v>
      </c>
      <c r="P175" s="1">
        <v>45413</v>
      </c>
      <c r="Q175" t="str">
        <f t="shared" si="2"/>
        <v>High Performance</v>
      </c>
      <c r="R175" s="2">
        <f>Table1_1[[#This Row],[tasks_completed]]/Table1_1[[#This Row],[monthly_hours_worked]]</f>
        <v>1.8281535648994516E-2</v>
      </c>
    </row>
    <row r="176" spans="1:18" x14ac:dyDescent="0.3">
      <c r="A176" t="s">
        <v>59</v>
      </c>
      <c r="B176" t="s">
        <v>33</v>
      </c>
      <c r="C176" t="s">
        <v>24</v>
      </c>
      <c r="D176" t="s">
        <v>39</v>
      </c>
      <c r="E176">
        <v>8</v>
      </c>
      <c r="F176">
        <v>169</v>
      </c>
      <c r="G176">
        <v>98.7</v>
      </c>
      <c r="H176">
        <v>7.1</v>
      </c>
      <c r="I176">
        <v>5</v>
      </c>
      <c r="J176">
        <v>6.78</v>
      </c>
      <c r="K176">
        <v>10</v>
      </c>
      <c r="L176">
        <v>0</v>
      </c>
      <c r="M176" t="s">
        <v>25</v>
      </c>
      <c r="N176" t="s">
        <v>35</v>
      </c>
      <c r="O176">
        <v>26.67</v>
      </c>
      <c r="P176" s="1">
        <v>45444</v>
      </c>
      <c r="Q176" t="str">
        <f t="shared" si="2"/>
        <v>High Performance</v>
      </c>
      <c r="R176" s="2">
        <f>Table1_1[[#This Row],[tasks_completed]]/Table1_1[[#This Row],[monthly_hours_worked]]</f>
        <v>2.9585798816568046E-2</v>
      </c>
    </row>
    <row r="177" spans="1:18" x14ac:dyDescent="0.3">
      <c r="A177" t="s">
        <v>59</v>
      </c>
      <c r="B177" t="s">
        <v>17</v>
      </c>
      <c r="C177" t="s">
        <v>41</v>
      </c>
      <c r="D177" t="s">
        <v>29</v>
      </c>
      <c r="E177">
        <v>6</v>
      </c>
      <c r="F177">
        <v>173.7</v>
      </c>
      <c r="G177">
        <v>90.8</v>
      </c>
      <c r="I177">
        <v>3</v>
      </c>
      <c r="J177">
        <v>6.62</v>
      </c>
      <c r="K177">
        <v>5.81</v>
      </c>
      <c r="L177">
        <v>1</v>
      </c>
      <c r="M177" t="s">
        <v>20</v>
      </c>
      <c r="N177" t="s">
        <v>21</v>
      </c>
      <c r="O177">
        <v>7.4</v>
      </c>
      <c r="P177" s="1">
        <v>45474</v>
      </c>
      <c r="Q177" t="str">
        <f t="shared" si="2"/>
        <v>Low Performance</v>
      </c>
      <c r="R177" s="2">
        <f>Table1_1[[#This Row],[tasks_completed]]/Table1_1[[#This Row],[monthly_hours_worked]]</f>
        <v>1.7271157167530225E-2</v>
      </c>
    </row>
    <row r="178" spans="1:18" x14ac:dyDescent="0.3">
      <c r="A178" t="s">
        <v>59</v>
      </c>
      <c r="B178" t="s">
        <v>17</v>
      </c>
      <c r="C178" t="s">
        <v>41</v>
      </c>
      <c r="D178" t="s">
        <v>39</v>
      </c>
      <c r="E178">
        <v>4</v>
      </c>
      <c r="F178">
        <v>166.7</v>
      </c>
      <c r="G178">
        <v>97.3</v>
      </c>
      <c r="H178">
        <v>1.5</v>
      </c>
      <c r="I178">
        <v>10</v>
      </c>
      <c r="J178">
        <v>6.48</v>
      </c>
      <c r="K178">
        <v>5.8</v>
      </c>
      <c r="L178">
        <v>0</v>
      </c>
      <c r="M178" t="s">
        <v>34</v>
      </c>
      <c r="N178" t="s">
        <v>21</v>
      </c>
      <c r="O178">
        <v>15.07</v>
      </c>
      <c r="P178" s="1">
        <v>45505</v>
      </c>
      <c r="Q178" t="str">
        <f t="shared" si="2"/>
        <v>High Performance</v>
      </c>
      <c r="R178" s="2">
        <f>Table1_1[[#This Row],[tasks_completed]]/Table1_1[[#This Row],[monthly_hours_worked]]</f>
        <v>5.9988002399520103E-2</v>
      </c>
    </row>
    <row r="179" spans="1:18" x14ac:dyDescent="0.3">
      <c r="A179" t="s">
        <v>59</v>
      </c>
      <c r="B179" t="s">
        <v>43</v>
      </c>
      <c r="C179" t="s">
        <v>18</v>
      </c>
      <c r="D179" t="s">
        <v>29</v>
      </c>
      <c r="E179">
        <v>10</v>
      </c>
      <c r="F179">
        <v>142.5</v>
      </c>
      <c r="G179">
        <v>95.7</v>
      </c>
      <c r="H179">
        <v>4.4000000000000004</v>
      </c>
      <c r="I179">
        <v>7</v>
      </c>
      <c r="K179">
        <v>6.9</v>
      </c>
      <c r="L179">
        <v>0</v>
      </c>
      <c r="M179" t="s">
        <v>34</v>
      </c>
      <c r="N179" t="s">
        <v>35</v>
      </c>
      <c r="O179">
        <v>16.68</v>
      </c>
      <c r="P179" s="1">
        <v>45536</v>
      </c>
      <c r="Q179" t="str">
        <f t="shared" si="2"/>
        <v>High Performance</v>
      </c>
      <c r="R179" s="2">
        <f>Table1_1[[#This Row],[tasks_completed]]/Table1_1[[#This Row],[monthly_hours_worked]]</f>
        <v>4.912280701754386E-2</v>
      </c>
    </row>
    <row r="180" spans="1:18" x14ac:dyDescent="0.3">
      <c r="A180" t="s">
        <v>59</v>
      </c>
      <c r="B180" t="s">
        <v>43</v>
      </c>
      <c r="C180" t="s">
        <v>31</v>
      </c>
      <c r="D180" t="s">
        <v>39</v>
      </c>
      <c r="E180">
        <v>7</v>
      </c>
      <c r="F180">
        <v>168.2</v>
      </c>
      <c r="G180">
        <v>94.6</v>
      </c>
      <c r="H180">
        <v>7.2</v>
      </c>
      <c r="I180">
        <v>9</v>
      </c>
      <c r="J180">
        <v>8.89</v>
      </c>
      <c r="K180">
        <v>8.27</v>
      </c>
      <c r="L180">
        <v>0</v>
      </c>
      <c r="M180" t="s">
        <v>20</v>
      </c>
      <c r="N180" t="s">
        <v>21</v>
      </c>
      <c r="O180">
        <v>15.34</v>
      </c>
      <c r="P180" s="1">
        <v>45566</v>
      </c>
      <c r="Q180" t="str">
        <f t="shared" si="2"/>
        <v>High Performance</v>
      </c>
      <c r="R180" s="2">
        <f>Table1_1[[#This Row],[tasks_completed]]/Table1_1[[#This Row],[monthly_hours_worked]]</f>
        <v>5.3507728894173608E-2</v>
      </c>
    </row>
    <row r="181" spans="1:18" x14ac:dyDescent="0.3">
      <c r="A181" t="s">
        <v>59</v>
      </c>
      <c r="B181" t="s">
        <v>17</v>
      </c>
      <c r="C181" t="s">
        <v>37</v>
      </c>
      <c r="D181" t="s">
        <v>39</v>
      </c>
      <c r="E181">
        <v>3</v>
      </c>
      <c r="F181">
        <v>172.9</v>
      </c>
      <c r="G181">
        <v>78.099999999999994</v>
      </c>
      <c r="H181">
        <v>6.6</v>
      </c>
      <c r="I181">
        <v>2</v>
      </c>
      <c r="J181">
        <v>7.17</v>
      </c>
      <c r="K181">
        <v>7.97</v>
      </c>
      <c r="L181">
        <v>1</v>
      </c>
      <c r="M181" t="s">
        <v>25</v>
      </c>
      <c r="N181" t="s">
        <v>21</v>
      </c>
      <c r="O181">
        <v>17.53</v>
      </c>
      <c r="P181" s="1">
        <v>45597</v>
      </c>
      <c r="Q181" t="str">
        <f t="shared" si="2"/>
        <v>High Performance</v>
      </c>
      <c r="R181" s="2">
        <f>Table1_1[[#This Row],[tasks_completed]]/Table1_1[[#This Row],[monthly_hours_worked]]</f>
        <v>1.156737998843262E-2</v>
      </c>
    </row>
    <row r="182" spans="1:18" x14ac:dyDescent="0.3">
      <c r="A182" t="s">
        <v>60</v>
      </c>
      <c r="B182" t="s">
        <v>43</v>
      </c>
      <c r="C182" t="s">
        <v>31</v>
      </c>
      <c r="D182" t="s">
        <v>29</v>
      </c>
      <c r="E182">
        <v>7</v>
      </c>
      <c r="F182">
        <v>167.7</v>
      </c>
      <c r="G182">
        <v>90</v>
      </c>
      <c r="H182">
        <v>5.4</v>
      </c>
      <c r="I182">
        <v>6</v>
      </c>
      <c r="J182">
        <v>9.48</v>
      </c>
      <c r="K182">
        <v>2.69</v>
      </c>
      <c r="L182">
        <v>0</v>
      </c>
      <c r="M182" t="s">
        <v>34</v>
      </c>
      <c r="N182" t="s">
        <v>26</v>
      </c>
      <c r="O182">
        <v>18.399999999999999</v>
      </c>
      <c r="P182" s="1">
        <v>45292</v>
      </c>
      <c r="Q182" t="str">
        <f t="shared" si="2"/>
        <v>High Performance</v>
      </c>
      <c r="R182" s="2">
        <f>Table1_1[[#This Row],[tasks_completed]]/Table1_1[[#This Row],[monthly_hours_worked]]</f>
        <v>3.5778175313059039E-2</v>
      </c>
    </row>
    <row r="183" spans="1:18" x14ac:dyDescent="0.3">
      <c r="A183" t="s">
        <v>60</v>
      </c>
      <c r="B183" t="s">
        <v>17</v>
      </c>
      <c r="C183" t="s">
        <v>24</v>
      </c>
      <c r="D183" t="s">
        <v>29</v>
      </c>
      <c r="E183">
        <v>10</v>
      </c>
      <c r="F183">
        <v>165.8</v>
      </c>
      <c r="G183">
        <v>100</v>
      </c>
      <c r="I183">
        <v>8</v>
      </c>
      <c r="J183">
        <v>9.02</v>
      </c>
      <c r="K183">
        <v>6.22</v>
      </c>
      <c r="L183">
        <v>0</v>
      </c>
      <c r="M183" t="s">
        <v>34</v>
      </c>
      <c r="N183" t="s">
        <v>35</v>
      </c>
      <c r="O183">
        <v>12.48</v>
      </c>
      <c r="P183" s="1">
        <v>45292</v>
      </c>
      <c r="Q183" t="str">
        <f t="shared" si="2"/>
        <v>Medium Performance</v>
      </c>
      <c r="R183" s="2">
        <f>Table1_1[[#This Row],[tasks_completed]]/Table1_1[[#This Row],[monthly_hours_worked]]</f>
        <v>4.8250904704463207E-2</v>
      </c>
    </row>
    <row r="184" spans="1:18" x14ac:dyDescent="0.3">
      <c r="A184" t="s">
        <v>60</v>
      </c>
      <c r="B184" t="s">
        <v>17</v>
      </c>
      <c r="C184" t="s">
        <v>24</v>
      </c>
      <c r="D184" t="s">
        <v>29</v>
      </c>
      <c r="E184">
        <v>5</v>
      </c>
      <c r="F184">
        <v>149.69999999999999</v>
      </c>
      <c r="G184">
        <v>88.2</v>
      </c>
      <c r="H184">
        <v>2</v>
      </c>
      <c r="I184">
        <v>5</v>
      </c>
      <c r="J184">
        <v>9.17</v>
      </c>
      <c r="K184">
        <v>4.7699999999999996</v>
      </c>
      <c r="L184">
        <v>0</v>
      </c>
      <c r="M184" t="s">
        <v>34</v>
      </c>
      <c r="N184" t="s">
        <v>35</v>
      </c>
      <c r="O184">
        <v>18.54</v>
      </c>
      <c r="P184" s="1">
        <v>45352</v>
      </c>
      <c r="Q184" t="str">
        <f t="shared" si="2"/>
        <v>High Performance</v>
      </c>
      <c r="R184" s="2">
        <f>Table1_1[[#This Row],[tasks_completed]]/Table1_1[[#This Row],[monthly_hours_worked]]</f>
        <v>3.3400133600534405E-2</v>
      </c>
    </row>
    <row r="185" spans="1:18" x14ac:dyDescent="0.3">
      <c r="A185" t="s">
        <v>60</v>
      </c>
      <c r="B185" t="s">
        <v>27</v>
      </c>
      <c r="C185" t="s">
        <v>41</v>
      </c>
      <c r="D185" t="s">
        <v>19</v>
      </c>
      <c r="E185">
        <v>7</v>
      </c>
      <c r="F185">
        <v>161.6</v>
      </c>
      <c r="G185">
        <v>97.5</v>
      </c>
      <c r="H185">
        <v>7.2</v>
      </c>
      <c r="I185">
        <v>4</v>
      </c>
      <c r="J185">
        <v>9.67</v>
      </c>
      <c r="K185">
        <v>5.99</v>
      </c>
      <c r="L185">
        <v>2</v>
      </c>
      <c r="M185" t="s">
        <v>25</v>
      </c>
      <c r="N185" t="s">
        <v>26</v>
      </c>
      <c r="O185">
        <v>5.63</v>
      </c>
      <c r="P185" s="1">
        <v>45352</v>
      </c>
      <c r="Q185" t="str">
        <f t="shared" si="2"/>
        <v>Low Performance</v>
      </c>
      <c r="R185" s="2">
        <f>Table1_1[[#This Row],[tasks_completed]]/Table1_1[[#This Row],[monthly_hours_worked]]</f>
        <v>2.4752475247524754E-2</v>
      </c>
    </row>
    <row r="186" spans="1:18" x14ac:dyDescent="0.3">
      <c r="A186" t="s">
        <v>60</v>
      </c>
      <c r="B186" t="s">
        <v>43</v>
      </c>
      <c r="C186" t="s">
        <v>31</v>
      </c>
      <c r="D186" t="s">
        <v>39</v>
      </c>
      <c r="E186">
        <v>10</v>
      </c>
      <c r="F186">
        <v>164</v>
      </c>
      <c r="G186">
        <v>94.8</v>
      </c>
      <c r="H186">
        <v>5.2</v>
      </c>
      <c r="I186">
        <v>6</v>
      </c>
      <c r="J186">
        <v>6.09</v>
      </c>
      <c r="K186">
        <v>7.78</v>
      </c>
      <c r="L186">
        <v>1</v>
      </c>
      <c r="M186" t="s">
        <v>20</v>
      </c>
      <c r="N186" t="s">
        <v>26</v>
      </c>
      <c r="O186">
        <v>26.05</v>
      </c>
      <c r="P186" s="1">
        <v>45383</v>
      </c>
      <c r="Q186" t="str">
        <f t="shared" si="2"/>
        <v>High Performance</v>
      </c>
      <c r="R186" s="2">
        <f>Table1_1[[#This Row],[tasks_completed]]/Table1_1[[#This Row],[monthly_hours_worked]]</f>
        <v>3.6585365853658534E-2</v>
      </c>
    </row>
    <row r="187" spans="1:18" x14ac:dyDescent="0.3">
      <c r="A187" t="s">
        <v>60</v>
      </c>
      <c r="B187" t="s">
        <v>43</v>
      </c>
      <c r="C187" t="s">
        <v>37</v>
      </c>
      <c r="D187" t="s">
        <v>19</v>
      </c>
      <c r="E187">
        <v>2</v>
      </c>
      <c r="F187">
        <v>169.5</v>
      </c>
      <c r="G187">
        <v>88.6</v>
      </c>
      <c r="H187">
        <v>5.2</v>
      </c>
      <c r="I187">
        <v>3</v>
      </c>
      <c r="J187">
        <v>8.09</v>
      </c>
      <c r="K187">
        <v>7.39</v>
      </c>
      <c r="L187">
        <v>0</v>
      </c>
      <c r="M187" t="s">
        <v>34</v>
      </c>
      <c r="N187" t="s">
        <v>21</v>
      </c>
      <c r="O187">
        <v>8.33</v>
      </c>
      <c r="P187" s="1">
        <v>45413</v>
      </c>
      <c r="Q187" t="str">
        <f t="shared" si="2"/>
        <v>Low Performance</v>
      </c>
      <c r="R187" s="2">
        <f>Table1_1[[#This Row],[tasks_completed]]/Table1_1[[#This Row],[monthly_hours_worked]]</f>
        <v>1.7699115044247787E-2</v>
      </c>
    </row>
    <row r="188" spans="1:18" x14ac:dyDescent="0.3">
      <c r="A188" t="s">
        <v>60</v>
      </c>
      <c r="B188" t="s">
        <v>27</v>
      </c>
      <c r="C188" t="s">
        <v>18</v>
      </c>
      <c r="D188" t="s">
        <v>29</v>
      </c>
      <c r="E188">
        <v>2</v>
      </c>
      <c r="F188">
        <v>171.9</v>
      </c>
      <c r="G188">
        <v>100</v>
      </c>
      <c r="I188">
        <v>5</v>
      </c>
      <c r="J188">
        <v>8.89</v>
      </c>
      <c r="K188">
        <v>6.57</v>
      </c>
      <c r="L188">
        <v>0</v>
      </c>
      <c r="M188" t="s">
        <v>34</v>
      </c>
      <c r="N188" t="s">
        <v>21</v>
      </c>
      <c r="O188">
        <v>14.99</v>
      </c>
      <c r="P188" s="1">
        <v>45444</v>
      </c>
      <c r="Q188" t="str">
        <f t="shared" si="2"/>
        <v>Medium Performance</v>
      </c>
      <c r="R188" s="2">
        <f>Table1_1[[#This Row],[tasks_completed]]/Table1_1[[#This Row],[monthly_hours_worked]]</f>
        <v>2.9086678301337987E-2</v>
      </c>
    </row>
    <row r="189" spans="1:18" x14ac:dyDescent="0.3">
      <c r="A189" t="s">
        <v>60</v>
      </c>
      <c r="B189" t="s">
        <v>33</v>
      </c>
      <c r="C189" t="s">
        <v>18</v>
      </c>
      <c r="D189" t="s">
        <v>29</v>
      </c>
      <c r="E189">
        <v>2</v>
      </c>
      <c r="F189">
        <v>155</v>
      </c>
      <c r="G189">
        <v>94.3</v>
      </c>
      <c r="H189">
        <v>2.2000000000000002</v>
      </c>
      <c r="I189">
        <v>9</v>
      </c>
      <c r="J189">
        <v>9.81</v>
      </c>
      <c r="K189">
        <v>5.33</v>
      </c>
      <c r="L189">
        <v>1</v>
      </c>
      <c r="M189" t="s">
        <v>25</v>
      </c>
      <c r="N189" t="s">
        <v>21</v>
      </c>
      <c r="O189">
        <v>19.68</v>
      </c>
      <c r="P189" s="1">
        <v>45474</v>
      </c>
      <c r="Q189" t="str">
        <f t="shared" si="2"/>
        <v>High Performance</v>
      </c>
      <c r="R189" s="2">
        <f>Table1_1[[#This Row],[tasks_completed]]/Table1_1[[#This Row],[monthly_hours_worked]]</f>
        <v>5.8064516129032261E-2</v>
      </c>
    </row>
    <row r="190" spans="1:18" x14ac:dyDescent="0.3">
      <c r="A190" t="s">
        <v>60</v>
      </c>
      <c r="B190" t="s">
        <v>27</v>
      </c>
      <c r="C190" t="s">
        <v>18</v>
      </c>
      <c r="D190" t="s">
        <v>29</v>
      </c>
      <c r="E190">
        <v>5</v>
      </c>
      <c r="F190">
        <v>158.69999999999999</v>
      </c>
      <c r="G190">
        <v>99.1</v>
      </c>
      <c r="H190">
        <v>4.0999999999999996</v>
      </c>
      <c r="I190">
        <v>3</v>
      </c>
      <c r="J190">
        <v>5.09</v>
      </c>
      <c r="K190">
        <v>4.42</v>
      </c>
      <c r="L190">
        <v>1</v>
      </c>
      <c r="M190" t="s">
        <v>25</v>
      </c>
      <c r="N190" t="s">
        <v>35</v>
      </c>
      <c r="O190">
        <v>16.05</v>
      </c>
      <c r="P190" s="1">
        <v>45505</v>
      </c>
      <c r="Q190" t="str">
        <f t="shared" si="2"/>
        <v>High Performance</v>
      </c>
      <c r="R190" s="2">
        <f>Table1_1[[#This Row],[tasks_completed]]/Table1_1[[#This Row],[monthly_hours_worked]]</f>
        <v>1.890359168241966E-2</v>
      </c>
    </row>
    <row r="191" spans="1:18" x14ac:dyDescent="0.3">
      <c r="A191" t="s">
        <v>60</v>
      </c>
      <c r="B191" t="s">
        <v>43</v>
      </c>
      <c r="C191" t="s">
        <v>41</v>
      </c>
      <c r="D191" t="s">
        <v>39</v>
      </c>
      <c r="E191">
        <v>8</v>
      </c>
      <c r="F191">
        <v>170.6</v>
      </c>
      <c r="G191">
        <v>97.6</v>
      </c>
      <c r="H191">
        <v>4.9000000000000004</v>
      </c>
      <c r="I191">
        <v>1</v>
      </c>
      <c r="J191">
        <v>7.14</v>
      </c>
      <c r="K191">
        <v>6.51</v>
      </c>
      <c r="L191">
        <v>0</v>
      </c>
      <c r="M191" t="s">
        <v>20</v>
      </c>
      <c r="N191" t="s">
        <v>21</v>
      </c>
      <c r="O191">
        <v>16.38</v>
      </c>
      <c r="P191" s="1">
        <v>45536</v>
      </c>
      <c r="Q191" t="str">
        <f t="shared" si="2"/>
        <v>High Performance</v>
      </c>
      <c r="R191" s="2">
        <f>Table1_1[[#This Row],[tasks_completed]]/Table1_1[[#This Row],[monthly_hours_worked]]</f>
        <v>5.8616647127784291E-3</v>
      </c>
    </row>
    <row r="192" spans="1:18" x14ac:dyDescent="0.3">
      <c r="A192" t="s">
        <v>60</v>
      </c>
      <c r="B192" t="s">
        <v>23</v>
      </c>
      <c r="C192" t="s">
        <v>37</v>
      </c>
      <c r="D192" t="s">
        <v>19</v>
      </c>
      <c r="E192">
        <v>10</v>
      </c>
      <c r="F192">
        <v>176</v>
      </c>
      <c r="G192">
        <v>100</v>
      </c>
      <c r="H192">
        <v>2</v>
      </c>
      <c r="I192">
        <v>7</v>
      </c>
      <c r="J192">
        <v>5.8</v>
      </c>
      <c r="K192">
        <v>6.21</v>
      </c>
      <c r="L192">
        <v>0</v>
      </c>
      <c r="M192" t="s">
        <v>20</v>
      </c>
      <c r="N192" t="s">
        <v>26</v>
      </c>
      <c r="O192">
        <v>21.26</v>
      </c>
      <c r="P192" s="1">
        <v>45566</v>
      </c>
      <c r="Q192" t="str">
        <f t="shared" si="2"/>
        <v>High Performance</v>
      </c>
      <c r="R192" s="2">
        <f>Table1_1[[#This Row],[tasks_completed]]/Table1_1[[#This Row],[monthly_hours_worked]]</f>
        <v>3.9772727272727272E-2</v>
      </c>
    </row>
    <row r="193" spans="1:18" x14ac:dyDescent="0.3">
      <c r="A193" t="s">
        <v>60</v>
      </c>
      <c r="B193" t="s">
        <v>43</v>
      </c>
      <c r="C193" t="s">
        <v>18</v>
      </c>
      <c r="D193" t="s">
        <v>19</v>
      </c>
      <c r="E193">
        <v>9</v>
      </c>
      <c r="F193">
        <v>168.5</v>
      </c>
      <c r="G193">
        <v>93.1</v>
      </c>
      <c r="H193">
        <v>7</v>
      </c>
      <c r="I193">
        <v>9</v>
      </c>
      <c r="J193">
        <v>7.14</v>
      </c>
      <c r="K193">
        <v>7.79</v>
      </c>
      <c r="L193">
        <v>0</v>
      </c>
      <c r="M193" t="s">
        <v>25</v>
      </c>
      <c r="N193" t="s">
        <v>35</v>
      </c>
      <c r="O193">
        <v>7.93</v>
      </c>
      <c r="P193" s="1">
        <v>45597</v>
      </c>
      <c r="Q193" t="str">
        <f t="shared" si="2"/>
        <v>Low Performance</v>
      </c>
      <c r="R193" s="2">
        <f>Table1_1[[#This Row],[tasks_completed]]/Table1_1[[#This Row],[monthly_hours_worked]]</f>
        <v>5.3412462908011868E-2</v>
      </c>
    </row>
    <row r="194" spans="1:18" x14ac:dyDescent="0.3">
      <c r="A194" t="s">
        <v>61</v>
      </c>
      <c r="B194" t="s">
        <v>27</v>
      </c>
      <c r="C194" t="s">
        <v>24</v>
      </c>
      <c r="D194" t="s">
        <v>39</v>
      </c>
      <c r="E194">
        <v>6</v>
      </c>
      <c r="F194">
        <v>169.8</v>
      </c>
      <c r="G194">
        <v>90</v>
      </c>
      <c r="H194">
        <v>4.9000000000000004</v>
      </c>
      <c r="I194">
        <v>10</v>
      </c>
      <c r="J194">
        <v>7.27</v>
      </c>
      <c r="K194">
        <v>6.79</v>
      </c>
      <c r="L194">
        <v>0</v>
      </c>
      <c r="M194" t="s">
        <v>25</v>
      </c>
      <c r="N194" t="s">
        <v>26</v>
      </c>
      <c r="O194">
        <v>17.8</v>
      </c>
      <c r="P194" s="1">
        <v>45292</v>
      </c>
      <c r="Q194" t="str">
        <f t="shared" ref="Q194:Q257" si="3">IF(O194&gt;=15, "High Performance", IF(O194&gt;=10, "Medium Performance", "Low Performance"))</f>
        <v>High Performance</v>
      </c>
      <c r="R194" s="2">
        <f>Table1_1[[#This Row],[tasks_completed]]/Table1_1[[#This Row],[monthly_hours_worked]]</f>
        <v>5.8892815076560655E-2</v>
      </c>
    </row>
    <row r="195" spans="1:18" x14ac:dyDescent="0.3">
      <c r="A195" t="s">
        <v>61</v>
      </c>
      <c r="B195" t="s">
        <v>23</v>
      </c>
      <c r="C195" t="s">
        <v>24</v>
      </c>
      <c r="D195" t="s">
        <v>39</v>
      </c>
      <c r="E195">
        <v>9</v>
      </c>
      <c r="F195">
        <v>146.5</v>
      </c>
      <c r="G195">
        <v>88.4</v>
      </c>
      <c r="H195">
        <v>6</v>
      </c>
      <c r="I195">
        <v>8</v>
      </c>
      <c r="J195">
        <v>8.32</v>
      </c>
      <c r="K195">
        <v>9.1300000000000008</v>
      </c>
      <c r="L195">
        <v>0</v>
      </c>
      <c r="M195" t="s">
        <v>25</v>
      </c>
      <c r="N195" t="s">
        <v>21</v>
      </c>
      <c r="O195">
        <v>3.4</v>
      </c>
      <c r="P195" s="1">
        <v>45292</v>
      </c>
      <c r="Q195" t="str">
        <f t="shared" si="3"/>
        <v>Low Performance</v>
      </c>
      <c r="R195" s="2">
        <f>Table1_1[[#This Row],[tasks_completed]]/Table1_1[[#This Row],[monthly_hours_worked]]</f>
        <v>5.4607508532423209E-2</v>
      </c>
    </row>
    <row r="196" spans="1:18" x14ac:dyDescent="0.3">
      <c r="A196" t="s">
        <v>61</v>
      </c>
      <c r="B196" t="s">
        <v>17</v>
      </c>
      <c r="C196" t="s">
        <v>24</v>
      </c>
      <c r="D196" t="s">
        <v>39</v>
      </c>
      <c r="E196">
        <v>6</v>
      </c>
      <c r="F196">
        <v>174.5</v>
      </c>
      <c r="G196">
        <v>95.5</v>
      </c>
      <c r="H196">
        <v>4.4000000000000004</v>
      </c>
      <c r="I196">
        <v>3</v>
      </c>
      <c r="J196">
        <v>8.6999999999999993</v>
      </c>
      <c r="K196">
        <v>2.36</v>
      </c>
      <c r="L196">
        <v>1</v>
      </c>
      <c r="M196" t="s">
        <v>34</v>
      </c>
      <c r="N196" t="s">
        <v>26</v>
      </c>
      <c r="O196">
        <v>7.22</v>
      </c>
      <c r="P196" s="1">
        <v>45352</v>
      </c>
      <c r="Q196" t="str">
        <f t="shared" si="3"/>
        <v>Low Performance</v>
      </c>
      <c r="R196" s="2">
        <f>Table1_1[[#This Row],[tasks_completed]]/Table1_1[[#This Row],[monthly_hours_worked]]</f>
        <v>1.7191977077363897E-2</v>
      </c>
    </row>
    <row r="197" spans="1:18" x14ac:dyDescent="0.3">
      <c r="A197" t="s">
        <v>61</v>
      </c>
      <c r="B197" t="s">
        <v>27</v>
      </c>
      <c r="C197" t="s">
        <v>37</v>
      </c>
      <c r="D197" t="s">
        <v>39</v>
      </c>
      <c r="E197">
        <v>4</v>
      </c>
      <c r="F197">
        <v>155.80000000000001</v>
      </c>
      <c r="G197">
        <v>93.5</v>
      </c>
      <c r="H197">
        <v>7</v>
      </c>
      <c r="I197">
        <v>3</v>
      </c>
      <c r="J197">
        <v>8.8800000000000008</v>
      </c>
      <c r="K197">
        <v>5.58</v>
      </c>
      <c r="L197">
        <v>0</v>
      </c>
      <c r="M197" t="s">
        <v>25</v>
      </c>
      <c r="N197" t="s">
        <v>35</v>
      </c>
      <c r="O197">
        <v>6.72</v>
      </c>
      <c r="P197" s="1">
        <v>45352</v>
      </c>
      <c r="Q197" t="str">
        <f t="shared" si="3"/>
        <v>Low Performance</v>
      </c>
      <c r="R197" s="2">
        <f>Table1_1[[#This Row],[tasks_completed]]/Table1_1[[#This Row],[monthly_hours_worked]]</f>
        <v>1.9255455712451859E-2</v>
      </c>
    </row>
    <row r="198" spans="1:18" x14ac:dyDescent="0.3">
      <c r="A198" t="s">
        <v>61</v>
      </c>
      <c r="B198" t="s">
        <v>33</v>
      </c>
      <c r="C198" t="s">
        <v>31</v>
      </c>
      <c r="D198" t="s">
        <v>39</v>
      </c>
      <c r="E198">
        <v>4</v>
      </c>
      <c r="F198">
        <v>157.5</v>
      </c>
      <c r="G198">
        <v>93.3</v>
      </c>
      <c r="H198">
        <v>3.2</v>
      </c>
      <c r="I198">
        <v>9</v>
      </c>
      <c r="J198">
        <v>6.74</v>
      </c>
      <c r="K198">
        <v>9.98</v>
      </c>
      <c r="L198">
        <v>0</v>
      </c>
      <c r="M198" t="s">
        <v>34</v>
      </c>
      <c r="N198" t="s">
        <v>26</v>
      </c>
      <c r="O198">
        <v>11.57</v>
      </c>
      <c r="P198" s="1">
        <v>45383</v>
      </c>
      <c r="Q198" t="str">
        <f t="shared" si="3"/>
        <v>Medium Performance</v>
      </c>
      <c r="R198" s="2">
        <f>Table1_1[[#This Row],[tasks_completed]]/Table1_1[[#This Row],[monthly_hours_worked]]</f>
        <v>5.7142857142857141E-2</v>
      </c>
    </row>
    <row r="199" spans="1:18" x14ac:dyDescent="0.3">
      <c r="A199" t="s">
        <v>61</v>
      </c>
      <c r="B199" t="s">
        <v>43</v>
      </c>
      <c r="C199" t="s">
        <v>31</v>
      </c>
      <c r="D199" t="s">
        <v>29</v>
      </c>
      <c r="E199">
        <v>2</v>
      </c>
      <c r="F199">
        <v>170.2</v>
      </c>
      <c r="G199">
        <v>93.8</v>
      </c>
      <c r="H199">
        <v>6.1</v>
      </c>
      <c r="I199">
        <v>4</v>
      </c>
      <c r="J199">
        <v>10</v>
      </c>
      <c r="K199">
        <v>5.01</v>
      </c>
      <c r="L199">
        <v>0</v>
      </c>
      <c r="M199" t="s">
        <v>34</v>
      </c>
      <c r="N199" t="s">
        <v>21</v>
      </c>
      <c r="O199">
        <v>16.399999999999999</v>
      </c>
      <c r="P199" s="1">
        <v>45413</v>
      </c>
      <c r="Q199" t="str">
        <f t="shared" si="3"/>
        <v>High Performance</v>
      </c>
      <c r="R199" s="2">
        <f>Table1_1[[#This Row],[tasks_completed]]/Table1_1[[#This Row],[monthly_hours_worked]]</f>
        <v>2.3501762632197415E-2</v>
      </c>
    </row>
    <row r="200" spans="1:18" x14ac:dyDescent="0.3">
      <c r="A200" t="s">
        <v>61</v>
      </c>
      <c r="B200" t="s">
        <v>43</v>
      </c>
      <c r="C200" t="s">
        <v>37</v>
      </c>
      <c r="D200" t="s">
        <v>19</v>
      </c>
      <c r="E200">
        <v>1</v>
      </c>
      <c r="F200">
        <v>170.9</v>
      </c>
      <c r="G200">
        <v>98.6</v>
      </c>
      <c r="H200">
        <v>7.1</v>
      </c>
      <c r="I200">
        <v>11</v>
      </c>
      <c r="J200">
        <v>7.98</v>
      </c>
      <c r="K200">
        <v>6.22</v>
      </c>
      <c r="L200">
        <v>0</v>
      </c>
      <c r="M200" t="s">
        <v>20</v>
      </c>
      <c r="N200" t="s">
        <v>21</v>
      </c>
      <c r="O200">
        <v>11.58</v>
      </c>
      <c r="P200" s="1">
        <v>45444</v>
      </c>
      <c r="Q200" t="str">
        <f t="shared" si="3"/>
        <v>Medium Performance</v>
      </c>
      <c r="R200" s="2">
        <f>Table1_1[[#This Row],[tasks_completed]]/Table1_1[[#This Row],[monthly_hours_worked]]</f>
        <v>6.4365125804564077E-2</v>
      </c>
    </row>
    <row r="201" spans="1:18" x14ac:dyDescent="0.3">
      <c r="A201" t="s">
        <v>61</v>
      </c>
      <c r="B201" t="s">
        <v>17</v>
      </c>
      <c r="C201" t="s">
        <v>24</v>
      </c>
      <c r="D201" t="s">
        <v>19</v>
      </c>
      <c r="E201">
        <v>3</v>
      </c>
      <c r="F201">
        <v>156.4</v>
      </c>
      <c r="G201">
        <v>100</v>
      </c>
      <c r="H201">
        <v>4.3</v>
      </c>
      <c r="I201">
        <v>3</v>
      </c>
      <c r="J201">
        <v>7.48</v>
      </c>
      <c r="K201">
        <v>4.32</v>
      </c>
      <c r="L201">
        <v>1</v>
      </c>
      <c r="M201" t="s">
        <v>34</v>
      </c>
      <c r="N201" t="s">
        <v>26</v>
      </c>
      <c r="O201">
        <v>12.52</v>
      </c>
      <c r="P201" s="1">
        <v>45474</v>
      </c>
      <c r="Q201" t="str">
        <f t="shared" si="3"/>
        <v>Medium Performance</v>
      </c>
      <c r="R201" s="2">
        <f>Table1_1[[#This Row],[tasks_completed]]/Table1_1[[#This Row],[monthly_hours_worked]]</f>
        <v>1.9181585677749361E-2</v>
      </c>
    </row>
    <row r="202" spans="1:18" x14ac:dyDescent="0.3">
      <c r="A202" t="s">
        <v>61</v>
      </c>
      <c r="B202" t="s">
        <v>17</v>
      </c>
      <c r="C202" t="s">
        <v>37</v>
      </c>
      <c r="D202" t="s">
        <v>19</v>
      </c>
      <c r="E202">
        <v>4</v>
      </c>
      <c r="F202">
        <v>153.9</v>
      </c>
      <c r="G202">
        <v>96.1</v>
      </c>
      <c r="I202">
        <v>6</v>
      </c>
      <c r="J202">
        <v>6.76</v>
      </c>
      <c r="K202">
        <v>6.63</v>
      </c>
      <c r="L202">
        <v>0</v>
      </c>
      <c r="M202" t="s">
        <v>25</v>
      </c>
      <c r="N202" t="s">
        <v>21</v>
      </c>
      <c r="O202">
        <v>10.67</v>
      </c>
      <c r="P202" s="1">
        <v>45505</v>
      </c>
      <c r="Q202" t="str">
        <f t="shared" si="3"/>
        <v>Medium Performance</v>
      </c>
      <c r="R202" s="2">
        <f>Table1_1[[#This Row],[tasks_completed]]/Table1_1[[#This Row],[monthly_hours_worked]]</f>
        <v>3.8986354775828458E-2</v>
      </c>
    </row>
    <row r="203" spans="1:18" x14ac:dyDescent="0.3">
      <c r="A203" t="s">
        <v>61</v>
      </c>
      <c r="B203" t="s">
        <v>43</v>
      </c>
      <c r="C203" t="s">
        <v>41</v>
      </c>
      <c r="D203" t="s">
        <v>19</v>
      </c>
      <c r="E203">
        <v>4</v>
      </c>
      <c r="F203">
        <v>158.69999999999999</v>
      </c>
      <c r="G203">
        <v>93</v>
      </c>
      <c r="H203">
        <v>4.5999999999999996</v>
      </c>
      <c r="I203">
        <v>5</v>
      </c>
      <c r="J203">
        <v>8.48</v>
      </c>
      <c r="K203">
        <v>7.21</v>
      </c>
      <c r="L203">
        <v>0</v>
      </c>
      <c r="M203" t="s">
        <v>20</v>
      </c>
      <c r="N203" t="s">
        <v>35</v>
      </c>
      <c r="O203">
        <v>10.42</v>
      </c>
      <c r="P203" s="1">
        <v>45536</v>
      </c>
      <c r="Q203" t="str">
        <f t="shared" si="3"/>
        <v>Medium Performance</v>
      </c>
      <c r="R203" s="2">
        <f>Table1_1[[#This Row],[tasks_completed]]/Table1_1[[#This Row],[monthly_hours_worked]]</f>
        <v>3.1505986137366104E-2</v>
      </c>
    </row>
    <row r="204" spans="1:18" x14ac:dyDescent="0.3">
      <c r="A204" t="s">
        <v>61</v>
      </c>
      <c r="B204" t="s">
        <v>23</v>
      </c>
      <c r="C204" t="s">
        <v>41</v>
      </c>
      <c r="D204" t="s">
        <v>39</v>
      </c>
      <c r="E204">
        <v>10</v>
      </c>
      <c r="F204">
        <v>167</v>
      </c>
      <c r="G204">
        <v>98.9</v>
      </c>
      <c r="H204">
        <v>5.2</v>
      </c>
      <c r="I204">
        <v>5</v>
      </c>
      <c r="J204">
        <v>9.6199999999999992</v>
      </c>
      <c r="K204">
        <v>7.59</v>
      </c>
      <c r="L204">
        <v>1</v>
      </c>
      <c r="M204" t="s">
        <v>34</v>
      </c>
      <c r="N204" t="s">
        <v>35</v>
      </c>
      <c r="O204">
        <v>16.809999999999999</v>
      </c>
      <c r="P204" s="1">
        <v>45566</v>
      </c>
      <c r="Q204" t="str">
        <f t="shared" si="3"/>
        <v>High Performance</v>
      </c>
      <c r="R204" s="2">
        <f>Table1_1[[#This Row],[tasks_completed]]/Table1_1[[#This Row],[monthly_hours_worked]]</f>
        <v>2.9940119760479042E-2</v>
      </c>
    </row>
    <row r="205" spans="1:18" x14ac:dyDescent="0.3">
      <c r="A205" t="s">
        <v>61</v>
      </c>
      <c r="B205" t="s">
        <v>17</v>
      </c>
      <c r="C205" t="s">
        <v>31</v>
      </c>
      <c r="D205" t="s">
        <v>39</v>
      </c>
      <c r="E205">
        <v>7</v>
      </c>
      <c r="F205">
        <v>147.4</v>
      </c>
      <c r="G205">
        <v>100</v>
      </c>
      <c r="H205">
        <v>6.1</v>
      </c>
      <c r="I205">
        <v>7</v>
      </c>
      <c r="J205">
        <v>8.1199999999999992</v>
      </c>
      <c r="K205">
        <v>9.07</v>
      </c>
      <c r="L205">
        <v>1</v>
      </c>
      <c r="M205" t="s">
        <v>20</v>
      </c>
      <c r="N205" t="s">
        <v>35</v>
      </c>
      <c r="O205">
        <v>16.36</v>
      </c>
      <c r="P205" s="1">
        <v>45597</v>
      </c>
      <c r="Q205" t="str">
        <f t="shared" si="3"/>
        <v>High Performance</v>
      </c>
      <c r="R205" s="2">
        <f>Table1_1[[#This Row],[tasks_completed]]/Table1_1[[#This Row],[monthly_hours_worked]]</f>
        <v>4.7489823609226593E-2</v>
      </c>
    </row>
    <row r="206" spans="1:18" x14ac:dyDescent="0.3">
      <c r="A206" t="s">
        <v>62</v>
      </c>
      <c r="B206" t="s">
        <v>33</v>
      </c>
      <c r="C206" t="s">
        <v>18</v>
      </c>
      <c r="D206" t="s">
        <v>29</v>
      </c>
      <c r="E206">
        <v>10</v>
      </c>
      <c r="F206">
        <v>146.30000000000001</v>
      </c>
      <c r="G206">
        <v>95.2</v>
      </c>
      <c r="H206">
        <v>5.4</v>
      </c>
      <c r="I206">
        <v>9</v>
      </c>
      <c r="J206">
        <v>6.78</v>
      </c>
      <c r="K206">
        <v>5.37</v>
      </c>
      <c r="L206">
        <v>1</v>
      </c>
      <c r="M206" t="s">
        <v>20</v>
      </c>
      <c r="N206" t="s">
        <v>35</v>
      </c>
      <c r="O206">
        <v>11.13</v>
      </c>
      <c r="P206" s="1">
        <v>45292</v>
      </c>
      <c r="Q206" t="str">
        <f t="shared" si="3"/>
        <v>Medium Performance</v>
      </c>
      <c r="R206" s="2">
        <f>Table1_1[[#This Row],[tasks_completed]]/Table1_1[[#This Row],[monthly_hours_worked]]</f>
        <v>6.1517429938482568E-2</v>
      </c>
    </row>
    <row r="207" spans="1:18" x14ac:dyDescent="0.3">
      <c r="A207" t="s">
        <v>62</v>
      </c>
      <c r="B207" t="s">
        <v>43</v>
      </c>
      <c r="C207" t="s">
        <v>37</v>
      </c>
      <c r="D207" t="s">
        <v>19</v>
      </c>
      <c r="E207">
        <v>4</v>
      </c>
      <c r="F207">
        <v>166.1</v>
      </c>
      <c r="G207">
        <v>97.6</v>
      </c>
      <c r="H207">
        <v>5.7</v>
      </c>
      <c r="I207">
        <v>6</v>
      </c>
      <c r="J207">
        <v>7.46</v>
      </c>
      <c r="K207">
        <v>8.8699999999999992</v>
      </c>
      <c r="L207">
        <v>1</v>
      </c>
      <c r="M207" t="s">
        <v>20</v>
      </c>
      <c r="N207" t="s">
        <v>26</v>
      </c>
      <c r="O207">
        <v>13.16</v>
      </c>
      <c r="P207" s="1">
        <v>45292</v>
      </c>
      <c r="Q207" t="str">
        <f t="shared" si="3"/>
        <v>Medium Performance</v>
      </c>
      <c r="R207" s="2">
        <f>Table1_1[[#This Row],[tasks_completed]]/Table1_1[[#This Row],[monthly_hours_worked]]</f>
        <v>3.6122817579771226E-2</v>
      </c>
    </row>
    <row r="208" spans="1:18" x14ac:dyDescent="0.3">
      <c r="A208" t="s">
        <v>62</v>
      </c>
      <c r="B208" t="s">
        <v>17</v>
      </c>
      <c r="C208" t="s">
        <v>31</v>
      </c>
      <c r="D208" t="s">
        <v>29</v>
      </c>
      <c r="E208">
        <v>8</v>
      </c>
      <c r="F208">
        <v>163.69999999999999</v>
      </c>
      <c r="G208">
        <v>97.4</v>
      </c>
      <c r="H208">
        <v>2.2999999999999998</v>
      </c>
      <c r="I208">
        <v>12</v>
      </c>
      <c r="J208">
        <v>7.02</v>
      </c>
      <c r="K208">
        <v>10</v>
      </c>
      <c r="L208">
        <v>0</v>
      </c>
      <c r="M208" t="s">
        <v>20</v>
      </c>
      <c r="N208" t="s">
        <v>35</v>
      </c>
      <c r="O208">
        <v>9.43</v>
      </c>
      <c r="P208" s="1">
        <v>45352</v>
      </c>
      <c r="Q208" t="str">
        <f t="shared" si="3"/>
        <v>Low Performance</v>
      </c>
      <c r="R208" s="2">
        <f>Table1_1[[#This Row],[tasks_completed]]/Table1_1[[#This Row],[monthly_hours_worked]]</f>
        <v>7.3304825901038484E-2</v>
      </c>
    </row>
    <row r="209" spans="1:18" x14ac:dyDescent="0.3">
      <c r="A209" t="s">
        <v>62</v>
      </c>
      <c r="B209" t="s">
        <v>33</v>
      </c>
      <c r="C209" t="s">
        <v>18</v>
      </c>
      <c r="D209" t="s">
        <v>39</v>
      </c>
      <c r="E209">
        <v>1</v>
      </c>
      <c r="F209">
        <v>157</v>
      </c>
      <c r="G209">
        <v>100</v>
      </c>
      <c r="I209">
        <v>2</v>
      </c>
      <c r="J209">
        <v>9.17</v>
      </c>
      <c r="K209">
        <v>6.74</v>
      </c>
      <c r="L209">
        <v>0</v>
      </c>
      <c r="M209" t="s">
        <v>34</v>
      </c>
      <c r="N209" t="s">
        <v>21</v>
      </c>
      <c r="O209">
        <v>16.43</v>
      </c>
      <c r="P209" s="1">
        <v>45352</v>
      </c>
      <c r="Q209" t="str">
        <f t="shared" si="3"/>
        <v>High Performance</v>
      </c>
      <c r="R209" s="2">
        <f>Table1_1[[#This Row],[tasks_completed]]/Table1_1[[#This Row],[monthly_hours_worked]]</f>
        <v>1.2738853503184714E-2</v>
      </c>
    </row>
    <row r="210" spans="1:18" x14ac:dyDescent="0.3">
      <c r="A210" t="s">
        <v>62</v>
      </c>
      <c r="B210" t="s">
        <v>27</v>
      </c>
      <c r="C210" t="s">
        <v>31</v>
      </c>
      <c r="D210" t="s">
        <v>39</v>
      </c>
      <c r="E210">
        <v>3</v>
      </c>
      <c r="F210">
        <v>161.4</v>
      </c>
      <c r="G210">
        <v>95.1</v>
      </c>
      <c r="H210">
        <v>4.3</v>
      </c>
      <c r="I210">
        <v>8</v>
      </c>
      <c r="J210">
        <v>9.85</v>
      </c>
      <c r="K210">
        <v>9.24</v>
      </c>
      <c r="L210">
        <v>1</v>
      </c>
      <c r="M210" t="s">
        <v>25</v>
      </c>
      <c r="N210" t="s">
        <v>21</v>
      </c>
      <c r="O210">
        <v>17.3</v>
      </c>
      <c r="P210" s="1">
        <v>45383</v>
      </c>
      <c r="Q210" t="str">
        <f t="shared" si="3"/>
        <v>High Performance</v>
      </c>
      <c r="R210" s="2">
        <f>Table1_1[[#This Row],[tasks_completed]]/Table1_1[[#This Row],[monthly_hours_worked]]</f>
        <v>4.9566294919454766E-2</v>
      </c>
    </row>
    <row r="211" spans="1:18" x14ac:dyDescent="0.3">
      <c r="A211" t="s">
        <v>62</v>
      </c>
      <c r="B211" t="s">
        <v>27</v>
      </c>
      <c r="C211" t="s">
        <v>37</v>
      </c>
      <c r="D211" t="s">
        <v>19</v>
      </c>
      <c r="E211">
        <v>9</v>
      </c>
      <c r="F211">
        <v>166.5</v>
      </c>
      <c r="G211">
        <v>95</v>
      </c>
      <c r="H211">
        <v>4.0999999999999996</v>
      </c>
      <c r="I211">
        <v>5</v>
      </c>
      <c r="J211">
        <v>9.09</v>
      </c>
      <c r="K211">
        <v>10</v>
      </c>
      <c r="L211">
        <v>1</v>
      </c>
      <c r="M211" t="s">
        <v>20</v>
      </c>
      <c r="N211" t="s">
        <v>26</v>
      </c>
      <c r="O211">
        <v>16</v>
      </c>
      <c r="P211" s="1">
        <v>45413</v>
      </c>
      <c r="Q211" t="str">
        <f t="shared" si="3"/>
        <v>High Performance</v>
      </c>
      <c r="R211" s="2">
        <f>Table1_1[[#This Row],[tasks_completed]]/Table1_1[[#This Row],[monthly_hours_worked]]</f>
        <v>3.003003003003003E-2</v>
      </c>
    </row>
    <row r="212" spans="1:18" x14ac:dyDescent="0.3">
      <c r="A212" t="s">
        <v>62</v>
      </c>
      <c r="B212" t="s">
        <v>43</v>
      </c>
      <c r="C212" t="s">
        <v>18</v>
      </c>
      <c r="D212" t="s">
        <v>29</v>
      </c>
      <c r="E212">
        <v>1</v>
      </c>
      <c r="F212">
        <v>165.6</v>
      </c>
      <c r="G212">
        <v>90.6</v>
      </c>
      <c r="H212">
        <v>9</v>
      </c>
      <c r="I212">
        <v>3</v>
      </c>
      <c r="J212">
        <v>6.7</v>
      </c>
      <c r="K212">
        <v>10</v>
      </c>
      <c r="L212">
        <v>1</v>
      </c>
      <c r="M212" t="s">
        <v>20</v>
      </c>
      <c r="N212" t="s">
        <v>26</v>
      </c>
      <c r="O212">
        <v>17.38</v>
      </c>
      <c r="P212" s="1">
        <v>45444</v>
      </c>
      <c r="Q212" t="str">
        <f t="shared" si="3"/>
        <v>High Performance</v>
      </c>
      <c r="R212" s="2">
        <f>Table1_1[[#This Row],[tasks_completed]]/Table1_1[[#This Row],[monthly_hours_worked]]</f>
        <v>1.8115942028985508E-2</v>
      </c>
    </row>
    <row r="213" spans="1:18" x14ac:dyDescent="0.3">
      <c r="A213" t="s">
        <v>62</v>
      </c>
      <c r="B213" t="s">
        <v>23</v>
      </c>
      <c r="C213" t="s">
        <v>37</v>
      </c>
      <c r="D213" t="s">
        <v>39</v>
      </c>
      <c r="E213">
        <v>6</v>
      </c>
      <c r="F213">
        <v>165.9</v>
      </c>
      <c r="G213">
        <v>96.3</v>
      </c>
      <c r="H213">
        <v>5.9</v>
      </c>
      <c r="I213">
        <v>6</v>
      </c>
      <c r="J213">
        <v>7.7</v>
      </c>
      <c r="K213">
        <v>10</v>
      </c>
      <c r="L213">
        <v>0</v>
      </c>
      <c r="M213" t="s">
        <v>34</v>
      </c>
      <c r="N213" t="s">
        <v>35</v>
      </c>
      <c r="O213">
        <v>18.16</v>
      </c>
      <c r="P213" s="1">
        <v>45474</v>
      </c>
      <c r="Q213" t="str">
        <f t="shared" si="3"/>
        <v>High Performance</v>
      </c>
      <c r="R213" s="2">
        <f>Table1_1[[#This Row],[tasks_completed]]/Table1_1[[#This Row],[monthly_hours_worked]]</f>
        <v>3.6166365280289332E-2</v>
      </c>
    </row>
    <row r="214" spans="1:18" x14ac:dyDescent="0.3">
      <c r="A214" t="s">
        <v>62</v>
      </c>
      <c r="B214" t="s">
        <v>17</v>
      </c>
      <c r="C214" t="s">
        <v>18</v>
      </c>
      <c r="D214" t="s">
        <v>19</v>
      </c>
      <c r="E214">
        <v>10</v>
      </c>
      <c r="F214">
        <v>162</v>
      </c>
      <c r="G214">
        <v>91.2</v>
      </c>
      <c r="H214">
        <v>2.7</v>
      </c>
      <c r="I214">
        <v>7</v>
      </c>
      <c r="J214">
        <v>8.43</v>
      </c>
      <c r="K214">
        <v>7.51</v>
      </c>
      <c r="L214">
        <v>2</v>
      </c>
      <c r="M214" t="s">
        <v>34</v>
      </c>
      <c r="N214" t="s">
        <v>21</v>
      </c>
      <c r="O214">
        <v>17.79</v>
      </c>
      <c r="P214" s="1">
        <v>45505</v>
      </c>
      <c r="Q214" t="str">
        <f t="shared" si="3"/>
        <v>High Performance</v>
      </c>
      <c r="R214" s="2">
        <f>Table1_1[[#This Row],[tasks_completed]]/Table1_1[[#This Row],[monthly_hours_worked]]</f>
        <v>4.3209876543209874E-2</v>
      </c>
    </row>
    <row r="215" spans="1:18" x14ac:dyDescent="0.3">
      <c r="A215" t="s">
        <v>62</v>
      </c>
      <c r="B215" t="s">
        <v>23</v>
      </c>
      <c r="C215" t="s">
        <v>37</v>
      </c>
      <c r="D215" t="s">
        <v>19</v>
      </c>
      <c r="E215">
        <v>8</v>
      </c>
      <c r="F215">
        <v>156.5</v>
      </c>
      <c r="G215">
        <v>90.7</v>
      </c>
      <c r="H215">
        <v>1</v>
      </c>
      <c r="I215">
        <v>8</v>
      </c>
      <c r="J215">
        <v>5.62</v>
      </c>
      <c r="K215">
        <v>9.4600000000000009</v>
      </c>
      <c r="L215">
        <v>2</v>
      </c>
      <c r="M215" t="s">
        <v>25</v>
      </c>
      <c r="N215" t="s">
        <v>26</v>
      </c>
      <c r="O215">
        <v>0.74</v>
      </c>
      <c r="P215" s="1">
        <v>45536</v>
      </c>
      <c r="Q215" t="str">
        <f t="shared" si="3"/>
        <v>Low Performance</v>
      </c>
      <c r="R215" s="2">
        <f>Table1_1[[#This Row],[tasks_completed]]/Table1_1[[#This Row],[monthly_hours_worked]]</f>
        <v>5.1118210862619806E-2</v>
      </c>
    </row>
    <row r="216" spans="1:18" x14ac:dyDescent="0.3">
      <c r="A216" t="s">
        <v>62</v>
      </c>
      <c r="B216" t="s">
        <v>43</v>
      </c>
      <c r="C216" t="s">
        <v>18</v>
      </c>
      <c r="D216" t="s">
        <v>29</v>
      </c>
      <c r="E216">
        <v>9</v>
      </c>
      <c r="F216">
        <v>159.4</v>
      </c>
      <c r="G216">
        <v>97.4</v>
      </c>
      <c r="I216">
        <v>4</v>
      </c>
      <c r="J216">
        <v>6.53</v>
      </c>
      <c r="K216">
        <v>9.74</v>
      </c>
      <c r="L216">
        <v>0</v>
      </c>
      <c r="M216" t="s">
        <v>25</v>
      </c>
      <c r="N216" t="s">
        <v>35</v>
      </c>
      <c r="O216">
        <v>8.41</v>
      </c>
      <c r="P216" s="1">
        <v>45566</v>
      </c>
      <c r="Q216" t="str">
        <f t="shared" si="3"/>
        <v>Low Performance</v>
      </c>
      <c r="R216" s="2">
        <f>Table1_1[[#This Row],[tasks_completed]]/Table1_1[[#This Row],[monthly_hours_worked]]</f>
        <v>2.5094102885821833E-2</v>
      </c>
    </row>
    <row r="217" spans="1:18" x14ac:dyDescent="0.3">
      <c r="A217" t="s">
        <v>62</v>
      </c>
      <c r="B217" t="s">
        <v>17</v>
      </c>
      <c r="C217" t="s">
        <v>24</v>
      </c>
      <c r="D217" t="s">
        <v>39</v>
      </c>
      <c r="E217">
        <v>5</v>
      </c>
      <c r="F217">
        <v>168.5</v>
      </c>
      <c r="G217">
        <v>100</v>
      </c>
      <c r="H217">
        <v>4.8</v>
      </c>
      <c r="I217">
        <v>3</v>
      </c>
      <c r="J217">
        <v>5.67</v>
      </c>
      <c r="K217">
        <v>7.23</v>
      </c>
      <c r="L217">
        <v>0</v>
      </c>
      <c r="M217" t="s">
        <v>34</v>
      </c>
      <c r="N217" t="s">
        <v>35</v>
      </c>
      <c r="O217">
        <v>12.77</v>
      </c>
      <c r="P217" s="1">
        <v>45597</v>
      </c>
      <c r="Q217" t="str">
        <f t="shared" si="3"/>
        <v>Medium Performance</v>
      </c>
      <c r="R217" s="2">
        <f>Table1_1[[#This Row],[tasks_completed]]/Table1_1[[#This Row],[monthly_hours_worked]]</f>
        <v>1.7804154302670624E-2</v>
      </c>
    </row>
    <row r="218" spans="1:18" x14ac:dyDescent="0.3">
      <c r="A218" t="s">
        <v>63</v>
      </c>
      <c r="B218" t="s">
        <v>27</v>
      </c>
      <c r="C218" t="s">
        <v>37</v>
      </c>
      <c r="D218" t="s">
        <v>39</v>
      </c>
      <c r="E218">
        <v>10</v>
      </c>
      <c r="F218">
        <v>148.1</v>
      </c>
      <c r="G218">
        <v>83.4</v>
      </c>
      <c r="H218">
        <v>6.1</v>
      </c>
      <c r="I218">
        <v>10</v>
      </c>
      <c r="J218">
        <v>9.9600000000000009</v>
      </c>
      <c r="K218">
        <v>6.9</v>
      </c>
      <c r="L218">
        <v>0</v>
      </c>
      <c r="M218" t="s">
        <v>20</v>
      </c>
      <c r="N218" t="s">
        <v>35</v>
      </c>
      <c r="O218">
        <v>22.5</v>
      </c>
      <c r="P218" s="1">
        <v>45292</v>
      </c>
      <c r="Q218" t="str">
        <f t="shared" si="3"/>
        <v>High Performance</v>
      </c>
      <c r="R218" s="2">
        <f>Table1_1[[#This Row],[tasks_completed]]/Table1_1[[#This Row],[monthly_hours_worked]]</f>
        <v>6.7521944632005407E-2</v>
      </c>
    </row>
    <row r="219" spans="1:18" x14ac:dyDescent="0.3">
      <c r="A219" t="s">
        <v>63</v>
      </c>
      <c r="B219" t="s">
        <v>23</v>
      </c>
      <c r="C219" t="s">
        <v>31</v>
      </c>
      <c r="D219" t="s">
        <v>19</v>
      </c>
      <c r="E219">
        <v>3</v>
      </c>
      <c r="F219">
        <v>152</v>
      </c>
      <c r="G219">
        <v>96.7</v>
      </c>
      <c r="H219">
        <v>4.4000000000000004</v>
      </c>
      <c r="I219">
        <v>14</v>
      </c>
      <c r="J219">
        <v>7.86</v>
      </c>
      <c r="K219">
        <v>7.47</v>
      </c>
      <c r="L219">
        <v>0</v>
      </c>
      <c r="M219" t="s">
        <v>25</v>
      </c>
      <c r="N219" t="s">
        <v>35</v>
      </c>
      <c r="O219">
        <v>14.26</v>
      </c>
      <c r="P219" s="1">
        <v>45292</v>
      </c>
      <c r="Q219" t="str">
        <f t="shared" si="3"/>
        <v>Medium Performance</v>
      </c>
      <c r="R219" s="2">
        <f>Table1_1[[#This Row],[tasks_completed]]/Table1_1[[#This Row],[monthly_hours_worked]]</f>
        <v>9.2105263157894732E-2</v>
      </c>
    </row>
    <row r="220" spans="1:18" x14ac:dyDescent="0.3">
      <c r="A220" t="s">
        <v>63</v>
      </c>
      <c r="B220" t="s">
        <v>23</v>
      </c>
      <c r="C220" t="s">
        <v>41</v>
      </c>
      <c r="D220" t="s">
        <v>19</v>
      </c>
      <c r="E220">
        <v>6</v>
      </c>
      <c r="F220">
        <v>154.5</v>
      </c>
      <c r="G220">
        <v>99.2</v>
      </c>
      <c r="H220">
        <v>2.8</v>
      </c>
      <c r="I220">
        <v>7</v>
      </c>
      <c r="J220">
        <v>7.83</v>
      </c>
      <c r="K220">
        <v>4.8</v>
      </c>
      <c r="L220">
        <v>0</v>
      </c>
      <c r="M220" t="s">
        <v>34</v>
      </c>
      <c r="N220" t="s">
        <v>21</v>
      </c>
      <c r="O220">
        <v>17.2</v>
      </c>
      <c r="P220" s="1">
        <v>45352</v>
      </c>
      <c r="Q220" t="str">
        <f t="shared" si="3"/>
        <v>High Performance</v>
      </c>
      <c r="R220" s="2">
        <f>Table1_1[[#This Row],[tasks_completed]]/Table1_1[[#This Row],[monthly_hours_worked]]</f>
        <v>4.5307443365695796E-2</v>
      </c>
    </row>
    <row r="221" spans="1:18" x14ac:dyDescent="0.3">
      <c r="A221" t="s">
        <v>63</v>
      </c>
      <c r="B221" t="s">
        <v>17</v>
      </c>
      <c r="C221" t="s">
        <v>37</v>
      </c>
      <c r="D221" t="s">
        <v>39</v>
      </c>
      <c r="E221">
        <v>10</v>
      </c>
      <c r="F221">
        <v>185.3</v>
      </c>
      <c r="G221">
        <v>98.1</v>
      </c>
      <c r="H221">
        <v>6.3</v>
      </c>
      <c r="I221">
        <v>4</v>
      </c>
      <c r="J221">
        <v>9.5500000000000007</v>
      </c>
      <c r="K221">
        <v>4.24</v>
      </c>
      <c r="L221">
        <v>0</v>
      </c>
      <c r="M221" t="s">
        <v>20</v>
      </c>
      <c r="N221" t="s">
        <v>26</v>
      </c>
      <c r="O221">
        <v>15.06</v>
      </c>
      <c r="P221" s="1">
        <v>45352</v>
      </c>
      <c r="Q221" t="str">
        <f t="shared" si="3"/>
        <v>High Performance</v>
      </c>
      <c r="R221" s="2">
        <f>Table1_1[[#This Row],[tasks_completed]]/Table1_1[[#This Row],[monthly_hours_worked]]</f>
        <v>2.1586616297895305E-2</v>
      </c>
    </row>
    <row r="222" spans="1:18" x14ac:dyDescent="0.3">
      <c r="A222" t="s">
        <v>63</v>
      </c>
      <c r="B222" t="s">
        <v>33</v>
      </c>
      <c r="C222" t="s">
        <v>18</v>
      </c>
      <c r="D222" t="s">
        <v>39</v>
      </c>
      <c r="E222">
        <v>8</v>
      </c>
      <c r="F222">
        <v>150.6</v>
      </c>
      <c r="G222">
        <v>91.7</v>
      </c>
      <c r="H222">
        <v>5.6</v>
      </c>
      <c r="I222">
        <v>8</v>
      </c>
      <c r="J222">
        <v>7.22</v>
      </c>
      <c r="K222">
        <v>9.34</v>
      </c>
      <c r="L222">
        <v>0</v>
      </c>
      <c r="M222" t="s">
        <v>34</v>
      </c>
      <c r="N222" t="s">
        <v>35</v>
      </c>
      <c r="O222">
        <v>12.38</v>
      </c>
      <c r="P222" s="1">
        <v>45383</v>
      </c>
      <c r="Q222" t="str">
        <f t="shared" si="3"/>
        <v>Medium Performance</v>
      </c>
      <c r="R222" s="2">
        <f>Table1_1[[#This Row],[tasks_completed]]/Table1_1[[#This Row],[monthly_hours_worked]]</f>
        <v>5.3120849933598939E-2</v>
      </c>
    </row>
    <row r="223" spans="1:18" x14ac:dyDescent="0.3">
      <c r="A223" t="s">
        <v>63</v>
      </c>
      <c r="B223" t="s">
        <v>27</v>
      </c>
      <c r="C223" t="s">
        <v>41</v>
      </c>
      <c r="D223" t="s">
        <v>19</v>
      </c>
      <c r="E223">
        <v>5</v>
      </c>
      <c r="F223">
        <v>147.80000000000001</v>
      </c>
      <c r="G223">
        <v>98.3</v>
      </c>
      <c r="H223">
        <v>4.2</v>
      </c>
      <c r="I223">
        <v>9</v>
      </c>
      <c r="J223">
        <v>10</v>
      </c>
      <c r="K223">
        <v>6.14</v>
      </c>
      <c r="L223">
        <v>1</v>
      </c>
      <c r="M223" t="s">
        <v>20</v>
      </c>
      <c r="N223" t="s">
        <v>21</v>
      </c>
      <c r="O223">
        <v>4.49</v>
      </c>
      <c r="P223" s="1">
        <v>45413</v>
      </c>
      <c r="Q223" t="str">
        <f t="shared" si="3"/>
        <v>Low Performance</v>
      </c>
      <c r="R223" s="2">
        <f>Table1_1[[#This Row],[tasks_completed]]/Table1_1[[#This Row],[monthly_hours_worked]]</f>
        <v>6.0893098782138021E-2</v>
      </c>
    </row>
    <row r="224" spans="1:18" x14ac:dyDescent="0.3">
      <c r="A224" t="s">
        <v>63</v>
      </c>
      <c r="B224" t="s">
        <v>43</v>
      </c>
      <c r="C224" t="s">
        <v>41</v>
      </c>
      <c r="D224" t="s">
        <v>39</v>
      </c>
      <c r="E224">
        <v>9</v>
      </c>
      <c r="F224">
        <v>144.80000000000001</v>
      </c>
      <c r="G224">
        <v>98.8</v>
      </c>
      <c r="H224">
        <v>4.2</v>
      </c>
      <c r="I224">
        <v>7</v>
      </c>
      <c r="J224">
        <v>5.8</v>
      </c>
      <c r="K224">
        <v>6.65</v>
      </c>
      <c r="L224">
        <v>0</v>
      </c>
      <c r="M224" t="s">
        <v>20</v>
      </c>
      <c r="N224" t="s">
        <v>35</v>
      </c>
      <c r="O224">
        <v>17.350000000000001</v>
      </c>
      <c r="P224" s="1">
        <v>45444</v>
      </c>
      <c r="Q224" t="str">
        <f t="shared" si="3"/>
        <v>High Performance</v>
      </c>
      <c r="R224" s="2">
        <f>Table1_1[[#This Row],[tasks_completed]]/Table1_1[[#This Row],[monthly_hours_worked]]</f>
        <v>4.8342541436464083E-2</v>
      </c>
    </row>
    <row r="225" spans="1:18" x14ac:dyDescent="0.3">
      <c r="A225" t="s">
        <v>63</v>
      </c>
      <c r="B225" t="s">
        <v>27</v>
      </c>
      <c r="C225" t="s">
        <v>41</v>
      </c>
      <c r="D225" t="s">
        <v>39</v>
      </c>
      <c r="E225">
        <v>5</v>
      </c>
      <c r="F225">
        <v>155.69999999999999</v>
      </c>
      <c r="G225">
        <v>100</v>
      </c>
      <c r="H225">
        <v>4.5</v>
      </c>
      <c r="I225">
        <v>4</v>
      </c>
      <c r="J225">
        <v>6.8</v>
      </c>
      <c r="K225">
        <v>9.42</v>
      </c>
      <c r="L225">
        <v>1</v>
      </c>
      <c r="M225" t="s">
        <v>20</v>
      </c>
      <c r="N225" t="s">
        <v>35</v>
      </c>
      <c r="O225">
        <v>22.45</v>
      </c>
      <c r="P225" s="1">
        <v>45474</v>
      </c>
      <c r="Q225" t="str">
        <f t="shared" si="3"/>
        <v>High Performance</v>
      </c>
      <c r="R225" s="2">
        <f>Table1_1[[#This Row],[tasks_completed]]/Table1_1[[#This Row],[monthly_hours_worked]]</f>
        <v>2.5690430314707774E-2</v>
      </c>
    </row>
    <row r="226" spans="1:18" x14ac:dyDescent="0.3">
      <c r="A226" t="s">
        <v>63</v>
      </c>
      <c r="B226" t="s">
        <v>23</v>
      </c>
      <c r="C226" t="s">
        <v>24</v>
      </c>
      <c r="D226" t="s">
        <v>19</v>
      </c>
      <c r="E226">
        <v>8</v>
      </c>
      <c r="F226">
        <v>168.7</v>
      </c>
      <c r="G226">
        <v>92.7</v>
      </c>
      <c r="H226">
        <v>3.2</v>
      </c>
      <c r="I226">
        <v>3</v>
      </c>
      <c r="J226">
        <v>8.93</v>
      </c>
      <c r="K226">
        <v>8.75</v>
      </c>
      <c r="L226">
        <v>2</v>
      </c>
      <c r="M226" t="s">
        <v>20</v>
      </c>
      <c r="N226" t="s">
        <v>21</v>
      </c>
      <c r="O226">
        <v>20.61</v>
      </c>
      <c r="P226" s="1">
        <v>45505</v>
      </c>
      <c r="Q226" t="str">
        <f t="shared" si="3"/>
        <v>High Performance</v>
      </c>
      <c r="R226" s="2">
        <f>Table1_1[[#This Row],[tasks_completed]]/Table1_1[[#This Row],[monthly_hours_worked]]</f>
        <v>1.7783046828689985E-2</v>
      </c>
    </row>
    <row r="227" spans="1:18" x14ac:dyDescent="0.3">
      <c r="A227" t="s">
        <v>63</v>
      </c>
      <c r="B227" t="s">
        <v>43</v>
      </c>
      <c r="C227" t="s">
        <v>18</v>
      </c>
      <c r="D227" t="s">
        <v>39</v>
      </c>
      <c r="E227">
        <v>10</v>
      </c>
      <c r="F227">
        <v>152.9</v>
      </c>
      <c r="G227">
        <v>92.8</v>
      </c>
      <c r="H227">
        <v>6.7</v>
      </c>
      <c r="I227">
        <v>7</v>
      </c>
      <c r="K227">
        <v>8.6</v>
      </c>
      <c r="L227">
        <v>0</v>
      </c>
      <c r="M227" t="s">
        <v>34</v>
      </c>
      <c r="N227" t="s">
        <v>35</v>
      </c>
      <c r="O227">
        <v>9.23</v>
      </c>
      <c r="P227" s="1">
        <v>45536</v>
      </c>
      <c r="Q227" t="str">
        <f t="shared" si="3"/>
        <v>Low Performance</v>
      </c>
      <c r="R227" s="2">
        <f>Table1_1[[#This Row],[tasks_completed]]/Table1_1[[#This Row],[monthly_hours_worked]]</f>
        <v>4.5781556572923481E-2</v>
      </c>
    </row>
    <row r="228" spans="1:18" x14ac:dyDescent="0.3">
      <c r="A228" t="s">
        <v>63</v>
      </c>
      <c r="B228" t="s">
        <v>43</v>
      </c>
      <c r="C228" t="s">
        <v>31</v>
      </c>
      <c r="D228" t="s">
        <v>19</v>
      </c>
      <c r="E228">
        <v>7</v>
      </c>
      <c r="F228">
        <v>159.4</v>
      </c>
      <c r="G228">
        <v>97.4</v>
      </c>
      <c r="H228">
        <v>1.7</v>
      </c>
      <c r="I228">
        <v>9</v>
      </c>
      <c r="J228">
        <v>7.51</v>
      </c>
      <c r="K228">
        <v>8.27</v>
      </c>
      <c r="L228">
        <v>0</v>
      </c>
      <c r="M228" t="s">
        <v>34</v>
      </c>
      <c r="N228" t="s">
        <v>21</v>
      </c>
      <c r="O228">
        <v>8.84</v>
      </c>
      <c r="P228" s="1">
        <v>45566</v>
      </c>
      <c r="Q228" t="str">
        <f t="shared" si="3"/>
        <v>Low Performance</v>
      </c>
      <c r="R228" s="2">
        <f>Table1_1[[#This Row],[tasks_completed]]/Table1_1[[#This Row],[monthly_hours_worked]]</f>
        <v>5.6461731493099118E-2</v>
      </c>
    </row>
    <row r="229" spans="1:18" x14ac:dyDescent="0.3">
      <c r="A229" t="s">
        <v>63</v>
      </c>
      <c r="B229" t="s">
        <v>43</v>
      </c>
      <c r="C229" t="s">
        <v>18</v>
      </c>
      <c r="D229" t="s">
        <v>29</v>
      </c>
      <c r="E229">
        <v>2</v>
      </c>
      <c r="F229">
        <v>156.19999999999999</v>
      </c>
      <c r="G229">
        <v>99.8</v>
      </c>
      <c r="H229">
        <v>3.4</v>
      </c>
      <c r="I229">
        <v>8</v>
      </c>
      <c r="J229">
        <v>9.02</v>
      </c>
      <c r="K229">
        <v>4.9400000000000004</v>
      </c>
      <c r="L229">
        <v>1</v>
      </c>
      <c r="M229" t="s">
        <v>34</v>
      </c>
      <c r="N229" t="s">
        <v>26</v>
      </c>
      <c r="O229">
        <v>13.92</v>
      </c>
      <c r="P229" s="1">
        <v>45597</v>
      </c>
      <c r="Q229" t="str">
        <f t="shared" si="3"/>
        <v>Medium Performance</v>
      </c>
      <c r="R229" s="2">
        <f>Table1_1[[#This Row],[tasks_completed]]/Table1_1[[#This Row],[monthly_hours_worked]]</f>
        <v>5.1216389244558264E-2</v>
      </c>
    </row>
    <row r="230" spans="1:18" x14ac:dyDescent="0.3">
      <c r="A230" t="s">
        <v>64</v>
      </c>
      <c r="B230" t="s">
        <v>33</v>
      </c>
      <c r="C230" t="s">
        <v>18</v>
      </c>
      <c r="D230" t="s">
        <v>39</v>
      </c>
      <c r="E230">
        <v>10</v>
      </c>
      <c r="F230">
        <v>167.8</v>
      </c>
      <c r="G230">
        <v>86.9</v>
      </c>
      <c r="H230">
        <v>2.6</v>
      </c>
      <c r="I230">
        <v>10</v>
      </c>
      <c r="J230">
        <v>7.14</v>
      </c>
      <c r="K230">
        <v>3.69</v>
      </c>
      <c r="L230">
        <v>0</v>
      </c>
      <c r="M230" t="s">
        <v>25</v>
      </c>
      <c r="N230" t="s">
        <v>26</v>
      </c>
      <c r="O230">
        <v>8.27</v>
      </c>
      <c r="P230" s="1">
        <v>45292</v>
      </c>
      <c r="Q230" t="str">
        <f t="shared" si="3"/>
        <v>Low Performance</v>
      </c>
      <c r="R230" s="2">
        <f>Table1_1[[#This Row],[tasks_completed]]/Table1_1[[#This Row],[monthly_hours_worked]]</f>
        <v>5.9594755661501783E-2</v>
      </c>
    </row>
    <row r="231" spans="1:18" x14ac:dyDescent="0.3">
      <c r="A231" t="s">
        <v>64</v>
      </c>
      <c r="B231" t="s">
        <v>43</v>
      </c>
      <c r="C231" t="s">
        <v>18</v>
      </c>
      <c r="D231" t="s">
        <v>19</v>
      </c>
      <c r="E231">
        <v>7</v>
      </c>
      <c r="F231">
        <v>168.1</v>
      </c>
      <c r="G231">
        <v>91.4</v>
      </c>
      <c r="H231">
        <v>3.5</v>
      </c>
      <c r="I231">
        <v>11</v>
      </c>
      <c r="J231">
        <v>7.13</v>
      </c>
      <c r="K231">
        <v>6.08</v>
      </c>
      <c r="L231">
        <v>1</v>
      </c>
      <c r="M231" t="s">
        <v>25</v>
      </c>
      <c r="N231" t="s">
        <v>35</v>
      </c>
      <c r="O231">
        <v>6.4</v>
      </c>
      <c r="P231" s="1">
        <v>45292</v>
      </c>
      <c r="Q231" t="str">
        <f t="shared" si="3"/>
        <v>Low Performance</v>
      </c>
      <c r="R231" s="2">
        <f>Table1_1[[#This Row],[tasks_completed]]/Table1_1[[#This Row],[monthly_hours_worked]]</f>
        <v>6.5437239738251038E-2</v>
      </c>
    </row>
    <row r="232" spans="1:18" x14ac:dyDescent="0.3">
      <c r="A232" t="s">
        <v>64</v>
      </c>
      <c r="B232" t="s">
        <v>23</v>
      </c>
      <c r="C232" t="s">
        <v>18</v>
      </c>
      <c r="D232" t="s">
        <v>39</v>
      </c>
      <c r="E232">
        <v>7</v>
      </c>
      <c r="F232">
        <v>159.30000000000001</v>
      </c>
      <c r="G232">
        <v>97.3</v>
      </c>
      <c r="H232">
        <v>4.0999999999999996</v>
      </c>
      <c r="I232">
        <v>4</v>
      </c>
      <c r="J232">
        <v>7.28</v>
      </c>
      <c r="K232">
        <v>7.97</v>
      </c>
      <c r="L232">
        <v>0</v>
      </c>
      <c r="M232" t="s">
        <v>20</v>
      </c>
      <c r="N232" t="s">
        <v>35</v>
      </c>
      <c r="O232">
        <v>5.84</v>
      </c>
      <c r="P232" s="1">
        <v>45352</v>
      </c>
      <c r="Q232" t="str">
        <f t="shared" si="3"/>
        <v>Low Performance</v>
      </c>
      <c r="R232" s="2">
        <f>Table1_1[[#This Row],[tasks_completed]]/Table1_1[[#This Row],[monthly_hours_worked]]</f>
        <v>2.5109855618330193E-2</v>
      </c>
    </row>
    <row r="233" spans="1:18" x14ac:dyDescent="0.3">
      <c r="A233" t="s">
        <v>64</v>
      </c>
      <c r="B233" t="s">
        <v>27</v>
      </c>
      <c r="C233" t="s">
        <v>31</v>
      </c>
      <c r="D233" t="s">
        <v>19</v>
      </c>
      <c r="E233">
        <v>5</v>
      </c>
      <c r="F233">
        <v>157.5</v>
      </c>
      <c r="G233">
        <v>95.7</v>
      </c>
      <c r="H233">
        <v>5.3</v>
      </c>
      <c r="I233">
        <v>3</v>
      </c>
      <c r="J233">
        <v>7.78</v>
      </c>
      <c r="K233">
        <v>6.12</v>
      </c>
      <c r="L233">
        <v>1</v>
      </c>
      <c r="M233" t="s">
        <v>25</v>
      </c>
      <c r="N233" t="s">
        <v>35</v>
      </c>
      <c r="O233">
        <v>18.239999999999998</v>
      </c>
      <c r="P233" s="1">
        <v>45352</v>
      </c>
      <c r="Q233" t="str">
        <f t="shared" si="3"/>
        <v>High Performance</v>
      </c>
      <c r="R233" s="2">
        <f>Table1_1[[#This Row],[tasks_completed]]/Table1_1[[#This Row],[monthly_hours_worked]]</f>
        <v>1.9047619047619049E-2</v>
      </c>
    </row>
    <row r="234" spans="1:18" x14ac:dyDescent="0.3">
      <c r="A234" t="s">
        <v>64</v>
      </c>
      <c r="B234" t="s">
        <v>27</v>
      </c>
      <c r="C234" t="s">
        <v>31</v>
      </c>
      <c r="D234" t="s">
        <v>39</v>
      </c>
      <c r="E234">
        <v>3</v>
      </c>
      <c r="F234">
        <v>154.4</v>
      </c>
      <c r="G234">
        <v>88.5</v>
      </c>
      <c r="H234">
        <v>6</v>
      </c>
      <c r="I234">
        <v>7</v>
      </c>
      <c r="J234">
        <v>8.19</v>
      </c>
      <c r="K234">
        <v>6.95</v>
      </c>
      <c r="L234">
        <v>0</v>
      </c>
      <c r="M234" t="s">
        <v>34</v>
      </c>
      <c r="N234" t="s">
        <v>26</v>
      </c>
      <c r="O234">
        <v>10.7</v>
      </c>
      <c r="P234" s="1">
        <v>45383</v>
      </c>
      <c r="Q234" t="str">
        <f t="shared" si="3"/>
        <v>Medium Performance</v>
      </c>
      <c r="R234" s="2">
        <f>Table1_1[[#This Row],[tasks_completed]]/Table1_1[[#This Row],[monthly_hours_worked]]</f>
        <v>4.5336787564766841E-2</v>
      </c>
    </row>
    <row r="235" spans="1:18" x14ac:dyDescent="0.3">
      <c r="A235" t="s">
        <v>64</v>
      </c>
      <c r="B235" t="s">
        <v>43</v>
      </c>
      <c r="C235" t="s">
        <v>41</v>
      </c>
      <c r="D235" t="s">
        <v>29</v>
      </c>
      <c r="E235">
        <v>6</v>
      </c>
      <c r="F235">
        <v>171.9</v>
      </c>
      <c r="G235">
        <v>100</v>
      </c>
      <c r="H235">
        <v>6.1</v>
      </c>
      <c r="I235">
        <v>5</v>
      </c>
      <c r="J235">
        <v>7.18</v>
      </c>
      <c r="K235">
        <v>9.06</v>
      </c>
      <c r="L235">
        <v>0</v>
      </c>
      <c r="M235" t="s">
        <v>34</v>
      </c>
      <c r="N235" t="s">
        <v>21</v>
      </c>
      <c r="O235">
        <v>21.07</v>
      </c>
      <c r="P235" s="1">
        <v>45413</v>
      </c>
      <c r="Q235" t="str">
        <f t="shared" si="3"/>
        <v>High Performance</v>
      </c>
      <c r="R235" s="2">
        <f>Table1_1[[#This Row],[tasks_completed]]/Table1_1[[#This Row],[monthly_hours_worked]]</f>
        <v>2.9086678301337987E-2</v>
      </c>
    </row>
    <row r="236" spans="1:18" x14ac:dyDescent="0.3">
      <c r="A236" t="s">
        <v>64</v>
      </c>
      <c r="B236" t="s">
        <v>23</v>
      </c>
      <c r="C236" t="s">
        <v>37</v>
      </c>
      <c r="D236" t="s">
        <v>29</v>
      </c>
      <c r="E236">
        <v>3</v>
      </c>
      <c r="F236">
        <v>171.6</v>
      </c>
      <c r="G236">
        <v>93.3</v>
      </c>
      <c r="H236">
        <v>5.9</v>
      </c>
      <c r="I236">
        <v>4</v>
      </c>
      <c r="J236">
        <v>9.3000000000000007</v>
      </c>
      <c r="K236">
        <v>9.31</v>
      </c>
      <c r="L236">
        <v>0</v>
      </c>
      <c r="M236" t="s">
        <v>34</v>
      </c>
      <c r="N236" t="s">
        <v>21</v>
      </c>
      <c r="O236">
        <v>20.09</v>
      </c>
      <c r="P236" s="1">
        <v>45444</v>
      </c>
      <c r="Q236" t="str">
        <f t="shared" si="3"/>
        <v>High Performance</v>
      </c>
      <c r="R236" s="2">
        <f>Table1_1[[#This Row],[tasks_completed]]/Table1_1[[#This Row],[monthly_hours_worked]]</f>
        <v>2.3310023310023312E-2</v>
      </c>
    </row>
    <row r="237" spans="1:18" x14ac:dyDescent="0.3">
      <c r="A237" t="s">
        <v>64</v>
      </c>
      <c r="B237" t="s">
        <v>43</v>
      </c>
      <c r="C237" t="s">
        <v>18</v>
      </c>
      <c r="D237" t="s">
        <v>19</v>
      </c>
      <c r="E237">
        <v>4</v>
      </c>
      <c r="F237">
        <v>155.4</v>
      </c>
      <c r="G237">
        <v>95.3</v>
      </c>
      <c r="H237">
        <v>5.2</v>
      </c>
      <c r="I237">
        <v>5</v>
      </c>
      <c r="J237">
        <v>5.22</v>
      </c>
      <c r="K237">
        <v>2.4900000000000002</v>
      </c>
      <c r="L237">
        <v>0</v>
      </c>
      <c r="M237" t="s">
        <v>34</v>
      </c>
      <c r="N237" t="s">
        <v>21</v>
      </c>
      <c r="O237">
        <v>9.09</v>
      </c>
      <c r="P237" s="1">
        <v>45474</v>
      </c>
      <c r="Q237" t="str">
        <f t="shared" si="3"/>
        <v>Low Performance</v>
      </c>
      <c r="R237" s="2">
        <f>Table1_1[[#This Row],[tasks_completed]]/Table1_1[[#This Row],[monthly_hours_worked]]</f>
        <v>3.2175032175032175E-2</v>
      </c>
    </row>
    <row r="238" spans="1:18" x14ac:dyDescent="0.3">
      <c r="A238" t="s">
        <v>64</v>
      </c>
      <c r="B238" t="s">
        <v>43</v>
      </c>
      <c r="C238" t="s">
        <v>24</v>
      </c>
      <c r="D238" t="s">
        <v>19</v>
      </c>
      <c r="E238">
        <v>3</v>
      </c>
      <c r="F238">
        <v>157.30000000000001</v>
      </c>
      <c r="G238">
        <v>92</v>
      </c>
      <c r="H238">
        <v>2.7</v>
      </c>
      <c r="I238">
        <v>4</v>
      </c>
      <c r="J238">
        <v>4.33</v>
      </c>
      <c r="K238">
        <v>7.51</v>
      </c>
      <c r="L238">
        <v>0</v>
      </c>
      <c r="M238" t="s">
        <v>20</v>
      </c>
      <c r="N238" t="s">
        <v>21</v>
      </c>
      <c r="O238">
        <v>10.33</v>
      </c>
      <c r="P238" s="1">
        <v>45505</v>
      </c>
      <c r="Q238" t="str">
        <f t="shared" si="3"/>
        <v>Medium Performance</v>
      </c>
      <c r="R238" s="2">
        <f>Table1_1[[#This Row],[tasks_completed]]/Table1_1[[#This Row],[monthly_hours_worked]]</f>
        <v>2.5429116338207245E-2</v>
      </c>
    </row>
    <row r="239" spans="1:18" x14ac:dyDescent="0.3">
      <c r="A239" t="s">
        <v>64</v>
      </c>
      <c r="B239" t="s">
        <v>17</v>
      </c>
      <c r="C239" t="s">
        <v>37</v>
      </c>
      <c r="D239" t="s">
        <v>29</v>
      </c>
      <c r="E239">
        <v>10</v>
      </c>
      <c r="F239">
        <v>159.4</v>
      </c>
      <c r="G239">
        <v>100</v>
      </c>
      <c r="H239">
        <v>1.1000000000000001</v>
      </c>
      <c r="I239">
        <v>3</v>
      </c>
      <c r="J239">
        <v>7.72</v>
      </c>
      <c r="K239">
        <v>6.81</v>
      </c>
      <c r="L239">
        <v>1</v>
      </c>
      <c r="M239" t="s">
        <v>20</v>
      </c>
      <c r="N239" t="s">
        <v>35</v>
      </c>
      <c r="O239">
        <v>15.49</v>
      </c>
      <c r="P239" s="1">
        <v>45536</v>
      </c>
      <c r="Q239" t="str">
        <f t="shared" si="3"/>
        <v>High Performance</v>
      </c>
      <c r="R239" s="2">
        <f>Table1_1[[#This Row],[tasks_completed]]/Table1_1[[#This Row],[monthly_hours_worked]]</f>
        <v>1.8820577164366373E-2</v>
      </c>
    </row>
    <row r="240" spans="1:18" x14ac:dyDescent="0.3">
      <c r="A240" t="s">
        <v>64</v>
      </c>
      <c r="B240" t="s">
        <v>33</v>
      </c>
      <c r="C240" t="s">
        <v>31</v>
      </c>
      <c r="D240" t="s">
        <v>29</v>
      </c>
      <c r="E240">
        <v>5</v>
      </c>
      <c r="F240">
        <v>162.69999999999999</v>
      </c>
      <c r="G240">
        <v>96.5</v>
      </c>
      <c r="H240">
        <v>2.9</v>
      </c>
      <c r="I240">
        <v>8</v>
      </c>
      <c r="J240">
        <v>7.24</v>
      </c>
      <c r="K240">
        <v>6.61</v>
      </c>
      <c r="L240">
        <v>0</v>
      </c>
      <c r="M240" t="s">
        <v>25</v>
      </c>
      <c r="N240" t="s">
        <v>26</v>
      </c>
      <c r="O240">
        <v>18.61</v>
      </c>
      <c r="P240" s="1">
        <v>45566</v>
      </c>
      <c r="Q240" t="str">
        <f t="shared" si="3"/>
        <v>High Performance</v>
      </c>
      <c r="R240" s="2">
        <f>Table1_1[[#This Row],[tasks_completed]]/Table1_1[[#This Row],[monthly_hours_worked]]</f>
        <v>4.9170251997541492E-2</v>
      </c>
    </row>
    <row r="241" spans="1:18" x14ac:dyDescent="0.3">
      <c r="A241" t="s">
        <v>64</v>
      </c>
      <c r="B241" t="s">
        <v>43</v>
      </c>
      <c r="C241" t="s">
        <v>41</v>
      </c>
      <c r="D241" t="s">
        <v>19</v>
      </c>
      <c r="E241">
        <v>7</v>
      </c>
      <c r="F241">
        <v>148.4</v>
      </c>
      <c r="G241">
        <v>93.6</v>
      </c>
      <c r="H241">
        <v>4.4000000000000004</v>
      </c>
      <c r="I241">
        <v>4</v>
      </c>
      <c r="J241">
        <v>5.69</v>
      </c>
      <c r="K241">
        <v>4.7300000000000004</v>
      </c>
      <c r="L241">
        <v>0</v>
      </c>
      <c r="M241" t="s">
        <v>25</v>
      </c>
      <c r="N241" t="s">
        <v>21</v>
      </c>
      <c r="O241">
        <v>14.23</v>
      </c>
      <c r="P241" s="1">
        <v>45597</v>
      </c>
      <c r="Q241" t="str">
        <f t="shared" si="3"/>
        <v>Medium Performance</v>
      </c>
      <c r="R241" s="2">
        <f>Table1_1[[#This Row],[tasks_completed]]/Table1_1[[#This Row],[monthly_hours_worked]]</f>
        <v>2.6954177897574122E-2</v>
      </c>
    </row>
    <row r="242" spans="1:18" x14ac:dyDescent="0.3">
      <c r="A242" t="s">
        <v>65</v>
      </c>
      <c r="B242" t="s">
        <v>23</v>
      </c>
      <c r="C242" t="s">
        <v>18</v>
      </c>
      <c r="D242" t="s">
        <v>19</v>
      </c>
      <c r="E242">
        <v>5</v>
      </c>
      <c r="F242">
        <v>156.30000000000001</v>
      </c>
      <c r="G242">
        <v>92.5</v>
      </c>
      <c r="H242">
        <v>3.8</v>
      </c>
      <c r="I242">
        <v>3</v>
      </c>
      <c r="J242">
        <v>7.34</v>
      </c>
      <c r="K242">
        <v>6.64</v>
      </c>
      <c r="L242">
        <v>1</v>
      </c>
      <c r="M242" t="s">
        <v>20</v>
      </c>
      <c r="N242" t="s">
        <v>26</v>
      </c>
      <c r="O242">
        <v>12.73</v>
      </c>
      <c r="P242" s="1">
        <v>45292</v>
      </c>
      <c r="Q242" t="str">
        <f t="shared" si="3"/>
        <v>Medium Performance</v>
      </c>
      <c r="R242" s="2">
        <f>Table1_1[[#This Row],[tasks_completed]]/Table1_1[[#This Row],[monthly_hours_worked]]</f>
        <v>1.9193857965451054E-2</v>
      </c>
    </row>
    <row r="243" spans="1:18" x14ac:dyDescent="0.3">
      <c r="A243" t="s">
        <v>65</v>
      </c>
      <c r="B243" t="s">
        <v>23</v>
      </c>
      <c r="C243" t="s">
        <v>31</v>
      </c>
      <c r="D243" t="s">
        <v>19</v>
      </c>
      <c r="E243">
        <v>10</v>
      </c>
      <c r="F243">
        <v>142.69999999999999</v>
      </c>
      <c r="G243">
        <v>100</v>
      </c>
      <c r="H243">
        <v>5.0999999999999996</v>
      </c>
      <c r="I243">
        <v>6</v>
      </c>
      <c r="J243">
        <v>8.16</v>
      </c>
      <c r="K243">
        <v>9.42</v>
      </c>
      <c r="L243">
        <v>1</v>
      </c>
      <c r="M243" t="s">
        <v>25</v>
      </c>
      <c r="N243" t="s">
        <v>21</v>
      </c>
      <c r="O243">
        <v>13.5</v>
      </c>
      <c r="P243" s="1">
        <v>45292</v>
      </c>
      <c r="Q243" t="str">
        <f t="shared" si="3"/>
        <v>Medium Performance</v>
      </c>
      <c r="R243" s="2">
        <f>Table1_1[[#This Row],[tasks_completed]]/Table1_1[[#This Row],[monthly_hours_worked]]</f>
        <v>4.2046250875963566E-2</v>
      </c>
    </row>
    <row r="244" spans="1:18" x14ac:dyDescent="0.3">
      <c r="A244" t="s">
        <v>65</v>
      </c>
      <c r="B244" t="s">
        <v>43</v>
      </c>
      <c r="C244" t="s">
        <v>37</v>
      </c>
      <c r="D244" t="s">
        <v>39</v>
      </c>
      <c r="E244">
        <v>1</v>
      </c>
      <c r="F244">
        <v>166.4</v>
      </c>
      <c r="G244">
        <v>92.3</v>
      </c>
      <c r="H244">
        <v>1</v>
      </c>
      <c r="I244">
        <v>4</v>
      </c>
      <c r="J244">
        <v>6.58</v>
      </c>
      <c r="K244">
        <v>1.19</v>
      </c>
      <c r="L244">
        <v>0</v>
      </c>
      <c r="M244" t="s">
        <v>20</v>
      </c>
      <c r="N244" t="s">
        <v>26</v>
      </c>
      <c r="O244">
        <v>9.4700000000000006</v>
      </c>
      <c r="P244" s="1">
        <v>45352</v>
      </c>
      <c r="Q244" t="str">
        <f t="shared" si="3"/>
        <v>Low Performance</v>
      </c>
      <c r="R244" s="2">
        <f>Table1_1[[#This Row],[tasks_completed]]/Table1_1[[#This Row],[monthly_hours_worked]]</f>
        <v>2.4038461538461536E-2</v>
      </c>
    </row>
    <row r="245" spans="1:18" x14ac:dyDescent="0.3">
      <c r="A245" t="s">
        <v>65</v>
      </c>
      <c r="B245" t="s">
        <v>17</v>
      </c>
      <c r="C245" t="s">
        <v>31</v>
      </c>
      <c r="D245" t="s">
        <v>39</v>
      </c>
      <c r="E245">
        <v>4</v>
      </c>
      <c r="F245">
        <v>165</v>
      </c>
      <c r="G245">
        <v>100</v>
      </c>
      <c r="H245">
        <v>3.7</v>
      </c>
      <c r="I245">
        <v>6</v>
      </c>
      <c r="J245">
        <v>6.55</v>
      </c>
      <c r="K245">
        <v>7.77</v>
      </c>
      <c r="L245">
        <v>0</v>
      </c>
      <c r="M245" t="s">
        <v>34</v>
      </c>
      <c r="N245" t="s">
        <v>26</v>
      </c>
      <c r="O245">
        <v>11.98</v>
      </c>
      <c r="P245" s="1">
        <v>45352</v>
      </c>
      <c r="Q245" t="str">
        <f t="shared" si="3"/>
        <v>Medium Performance</v>
      </c>
      <c r="R245" s="2">
        <f>Table1_1[[#This Row],[tasks_completed]]/Table1_1[[#This Row],[monthly_hours_worked]]</f>
        <v>3.6363636363636362E-2</v>
      </c>
    </row>
    <row r="246" spans="1:18" x14ac:dyDescent="0.3">
      <c r="A246" t="s">
        <v>65</v>
      </c>
      <c r="B246" t="s">
        <v>23</v>
      </c>
      <c r="C246" t="s">
        <v>18</v>
      </c>
      <c r="D246" t="s">
        <v>39</v>
      </c>
      <c r="E246">
        <v>3</v>
      </c>
      <c r="F246">
        <v>150.5</v>
      </c>
      <c r="G246">
        <v>98</v>
      </c>
      <c r="H246">
        <v>2.4</v>
      </c>
      <c r="I246">
        <v>8</v>
      </c>
      <c r="J246">
        <v>8.66</v>
      </c>
      <c r="K246">
        <v>6.25</v>
      </c>
      <c r="L246">
        <v>0</v>
      </c>
      <c r="M246" t="s">
        <v>20</v>
      </c>
      <c r="N246" t="s">
        <v>26</v>
      </c>
      <c r="O246">
        <v>19.940000000000001</v>
      </c>
      <c r="P246" s="1">
        <v>45383</v>
      </c>
      <c r="Q246" t="str">
        <f t="shared" si="3"/>
        <v>High Performance</v>
      </c>
      <c r="R246" s="2">
        <f>Table1_1[[#This Row],[tasks_completed]]/Table1_1[[#This Row],[monthly_hours_worked]]</f>
        <v>5.3156146179401995E-2</v>
      </c>
    </row>
    <row r="247" spans="1:18" x14ac:dyDescent="0.3">
      <c r="A247" t="s">
        <v>65</v>
      </c>
      <c r="B247" t="s">
        <v>33</v>
      </c>
      <c r="C247" t="s">
        <v>31</v>
      </c>
      <c r="D247" t="s">
        <v>19</v>
      </c>
      <c r="E247">
        <v>5</v>
      </c>
      <c r="F247">
        <v>162.5</v>
      </c>
      <c r="G247">
        <v>80.2</v>
      </c>
      <c r="H247">
        <v>7.5</v>
      </c>
      <c r="I247">
        <v>10</v>
      </c>
      <c r="J247">
        <v>6.45</v>
      </c>
      <c r="K247">
        <v>3.66</v>
      </c>
      <c r="L247">
        <v>0</v>
      </c>
      <c r="M247" t="s">
        <v>20</v>
      </c>
      <c r="N247" t="s">
        <v>35</v>
      </c>
      <c r="O247">
        <v>9.8800000000000008</v>
      </c>
      <c r="P247" s="1">
        <v>45413</v>
      </c>
      <c r="Q247" t="str">
        <f t="shared" si="3"/>
        <v>Low Performance</v>
      </c>
      <c r="R247" s="2">
        <f>Table1_1[[#This Row],[tasks_completed]]/Table1_1[[#This Row],[monthly_hours_worked]]</f>
        <v>6.1538461538461542E-2</v>
      </c>
    </row>
    <row r="248" spans="1:18" x14ac:dyDescent="0.3">
      <c r="A248" t="s">
        <v>65</v>
      </c>
      <c r="B248" t="s">
        <v>33</v>
      </c>
      <c r="C248" t="s">
        <v>24</v>
      </c>
      <c r="D248" t="s">
        <v>39</v>
      </c>
      <c r="E248">
        <v>5</v>
      </c>
      <c r="F248">
        <v>150.5</v>
      </c>
      <c r="G248">
        <v>91.6</v>
      </c>
      <c r="H248">
        <v>3.5</v>
      </c>
      <c r="I248">
        <v>6</v>
      </c>
      <c r="J248">
        <v>8.75</v>
      </c>
      <c r="K248">
        <v>8.8000000000000007</v>
      </c>
      <c r="L248">
        <v>0</v>
      </c>
      <c r="M248" t="s">
        <v>20</v>
      </c>
      <c r="N248" t="s">
        <v>21</v>
      </c>
      <c r="O248">
        <v>22.03</v>
      </c>
      <c r="P248" s="1">
        <v>45444</v>
      </c>
      <c r="Q248" t="str">
        <f t="shared" si="3"/>
        <v>High Performance</v>
      </c>
      <c r="R248" s="2">
        <f>Table1_1[[#This Row],[tasks_completed]]/Table1_1[[#This Row],[monthly_hours_worked]]</f>
        <v>3.9867109634551492E-2</v>
      </c>
    </row>
    <row r="249" spans="1:18" x14ac:dyDescent="0.3">
      <c r="A249" t="s">
        <v>65</v>
      </c>
      <c r="B249" t="s">
        <v>23</v>
      </c>
      <c r="C249" t="s">
        <v>31</v>
      </c>
      <c r="D249" t="s">
        <v>19</v>
      </c>
      <c r="E249">
        <v>2</v>
      </c>
      <c r="F249">
        <v>142.80000000000001</v>
      </c>
      <c r="G249">
        <v>100</v>
      </c>
      <c r="H249">
        <v>6.8</v>
      </c>
      <c r="I249">
        <v>6</v>
      </c>
      <c r="J249">
        <v>6.35</v>
      </c>
      <c r="K249">
        <v>7.57</v>
      </c>
      <c r="L249">
        <v>1</v>
      </c>
      <c r="M249" t="s">
        <v>20</v>
      </c>
      <c r="N249" t="s">
        <v>26</v>
      </c>
      <c r="O249">
        <v>9.1300000000000008</v>
      </c>
      <c r="P249" s="1">
        <v>45474</v>
      </c>
      <c r="Q249" t="str">
        <f t="shared" si="3"/>
        <v>Low Performance</v>
      </c>
      <c r="R249" s="2">
        <f>Table1_1[[#This Row],[tasks_completed]]/Table1_1[[#This Row],[monthly_hours_worked]]</f>
        <v>4.2016806722689072E-2</v>
      </c>
    </row>
    <row r="250" spans="1:18" x14ac:dyDescent="0.3">
      <c r="A250" t="s">
        <v>65</v>
      </c>
      <c r="B250" t="s">
        <v>33</v>
      </c>
      <c r="C250" t="s">
        <v>37</v>
      </c>
      <c r="D250" t="s">
        <v>29</v>
      </c>
      <c r="E250">
        <v>9</v>
      </c>
      <c r="F250">
        <v>144.1</v>
      </c>
      <c r="G250">
        <v>100</v>
      </c>
      <c r="H250">
        <v>7.4</v>
      </c>
      <c r="I250">
        <v>11</v>
      </c>
      <c r="J250">
        <v>8.2200000000000006</v>
      </c>
      <c r="K250">
        <v>6.89</v>
      </c>
      <c r="L250">
        <v>0</v>
      </c>
      <c r="M250" t="s">
        <v>34</v>
      </c>
      <c r="N250" t="s">
        <v>35</v>
      </c>
      <c r="O250">
        <v>14.67</v>
      </c>
      <c r="P250" s="1">
        <v>45505</v>
      </c>
      <c r="Q250" t="str">
        <f t="shared" si="3"/>
        <v>Medium Performance</v>
      </c>
      <c r="R250" s="2">
        <f>Table1_1[[#This Row],[tasks_completed]]/Table1_1[[#This Row],[monthly_hours_worked]]</f>
        <v>7.6335877862595422E-2</v>
      </c>
    </row>
    <row r="251" spans="1:18" x14ac:dyDescent="0.3">
      <c r="A251" t="s">
        <v>65</v>
      </c>
      <c r="B251" t="s">
        <v>33</v>
      </c>
      <c r="C251" t="s">
        <v>18</v>
      </c>
      <c r="D251" t="s">
        <v>19</v>
      </c>
      <c r="E251">
        <v>5</v>
      </c>
      <c r="F251">
        <v>143.30000000000001</v>
      </c>
      <c r="G251">
        <v>100</v>
      </c>
      <c r="H251">
        <v>4.7</v>
      </c>
      <c r="I251">
        <v>10</v>
      </c>
      <c r="K251">
        <v>8.31</v>
      </c>
      <c r="L251">
        <v>0</v>
      </c>
      <c r="M251" t="s">
        <v>34</v>
      </c>
      <c r="N251" t="s">
        <v>26</v>
      </c>
      <c r="O251">
        <v>9.57</v>
      </c>
      <c r="P251" s="1">
        <v>45536</v>
      </c>
      <c r="Q251" t="str">
        <f t="shared" si="3"/>
        <v>Low Performance</v>
      </c>
      <c r="R251" s="2">
        <f>Table1_1[[#This Row],[tasks_completed]]/Table1_1[[#This Row],[monthly_hours_worked]]</f>
        <v>6.978367062107467E-2</v>
      </c>
    </row>
    <row r="252" spans="1:18" x14ac:dyDescent="0.3">
      <c r="A252" t="s">
        <v>65</v>
      </c>
      <c r="B252" t="s">
        <v>17</v>
      </c>
      <c r="C252" t="s">
        <v>41</v>
      </c>
      <c r="D252" t="s">
        <v>19</v>
      </c>
      <c r="E252">
        <v>7</v>
      </c>
      <c r="F252">
        <v>171.7</v>
      </c>
      <c r="G252">
        <v>88.8</v>
      </c>
      <c r="H252">
        <v>1.1000000000000001</v>
      </c>
      <c r="I252">
        <v>5</v>
      </c>
      <c r="J252">
        <v>8.56</v>
      </c>
      <c r="K252">
        <v>10</v>
      </c>
      <c r="L252">
        <v>1</v>
      </c>
      <c r="M252" t="s">
        <v>20</v>
      </c>
      <c r="N252" t="s">
        <v>35</v>
      </c>
      <c r="O252">
        <v>9.83</v>
      </c>
      <c r="P252" s="1">
        <v>45566</v>
      </c>
      <c r="Q252" t="str">
        <f t="shared" si="3"/>
        <v>Low Performance</v>
      </c>
      <c r="R252" s="2">
        <f>Table1_1[[#This Row],[tasks_completed]]/Table1_1[[#This Row],[monthly_hours_worked]]</f>
        <v>2.9120559114735003E-2</v>
      </c>
    </row>
    <row r="253" spans="1:18" x14ac:dyDescent="0.3">
      <c r="A253" t="s">
        <v>65</v>
      </c>
      <c r="B253" t="s">
        <v>23</v>
      </c>
      <c r="C253" t="s">
        <v>41</v>
      </c>
      <c r="D253" t="s">
        <v>39</v>
      </c>
      <c r="E253">
        <v>1</v>
      </c>
      <c r="F253">
        <v>148.5</v>
      </c>
      <c r="G253">
        <v>95.9</v>
      </c>
      <c r="H253">
        <v>5.2</v>
      </c>
      <c r="I253">
        <v>7</v>
      </c>
      <c r="J253">
        <v>8.89</v>
      </c>
      <c r="K253">
        <v>6.87</v>
      </c>
      <c r="L253">
        <v>0</v>
      </c>
      <c r="M253" t="s">
        <v>25</v>
      </c>
      <c r="N253" t="s">
        <v>26</v>
      </c>
      <c r="O253">
        <v>15.57</v>
      </c>
      <c r="P253" s="1">
        <v>45597</v>
      </c>
      <c r="Q253" t="str">
        <f t="shared" si="3"/>
        <v>High Performance</v>
      </c>
      <c r="R253" s="2">
        <f>Table1_1[[#This Row],[tasks_completed]]/Table1_1[[#This Row],[monthly_hours_worked]]</f>
        <v>4.7138047138047139E-2</v>
      </c>
    </row>
    <row r="254" spans="1:18" x14ac:dyDescent="0.3">
      <c r="A254" t="s">
        <v>66</v>
      </c>
      <c r="B254" t="s">
        <v>23</v>
      </c>
      <c r="C254" t="s">
        <v>41</v>
      </c>
      <c r="D254" t="s">
        <v>39</v>
      </c>
      <c r="E254">
        <v>3</v>
      </c>
      <c r="F254">
        <v>159.1</v>
      </c>
      <c r="G254">
        <v>99.9</v>
      </c>
      <c r="H254">
        <v>4.5</v>
      </c>
      <c r="I254">
        <v>8</v>
      </c>
      <c r="J254">
        <v>4.51</v>
      </c>
      <c r="K254">
        <v>3.84</v>
      </c>
      <c r="L254">
        <v>1</v>
      </c>
      <c r="M254" t="s">
        <v>34</v>
      </c>
      <c r="N254" t="s">
        <v>26</v>
      </c>
      <c r="O254">
        <v>15.79</v>
      </c>
      <c r="P254" s="1">
        <v>45292</v>
      </c>
      <c r="Q254" t="str">
        <f t="shared" si="3"/>
        <v>High Performance</v>
      </c>
      <c r="R254" s="2">
        <f>Table1_1[[#This Row],[tasks_completed]]/Table1_1[[#This Row],[monthly_hours_worked]]</f>
        <v>5.02828409805154E-2</v>
      </c>
    </row>
    <row r="255" spans="1:18" x14ac:dyDescent="0.3">
      <c r="A255" t="s">
        <v>66</v>
      </c>
      <c r="B255" t="s">
        <v>23</v>
      </c>
      <c r="C255" t="s">
        <v>18</v>
      </c>
      <c r="D255" t="s">
        <v>19</v>
      </c>
      <c r="E255">
        <v>3</v>
      </c>
      <c r="F255">
        <v>177.6</v>
      </c>
      <c r="G255">
        <v>95</v>
      </c>
      <c r="H255">
        <v>2.6</v>
      </c>
      <c r="I255">
        <v>3</v>
      </c>
      <c r="J255">
        <v>8.17</v>
      </c>
      <c r="K255">
        <v>6.28</v>
      </c>
      <c r="L255">
        <v>0</v>
      </c>
      <c r="M255" t="s">
        <v>34</v>
      </c>
      <c r="N255" t="s">
        <v>21</v>
      </c>
      <c r="O255">
        <v>14.76</v>
      </c>
      <c r="P255" s="1">
        <v>45292</v>
      </c>
      <c r="Q255" t="str">
        <f t="shared" si="3"/>
        <v>Medium Performance</v>
      </c>
      <c r="R255" s="2">
        <f>Table1_1[[#This Row],[tasks_completed]]/Table1_1[[#This Row],[monthly_hours_worked]]</f>
        <v>1.6891891891891893E-2</v>
      </c>
    </row>
    <row r="256" spans="1:18" x14ac:dyDescent="0.3">
      <c r="A256" t="s">
        <v>66</v>
      </c>
      <c r="B256" t="s">
        <v>33</v>
      </c>
      <c r="C256" t="s">
        <v>31</v>
      </c>
      <c r="D256" t="s">
        <v>29</v>
      </c>
      <c r="E256">
        <v>10</v>
      </c>
      <c r="F256">
        <v>141.9</v>
      </c>
      <c r="G256">
        <v>96</v>
      </c>
      <c r="H256">
        <v>2.9</v>
      </c>
      <c r="I256">
        <v>6</v>
      </c>
      <c r="J256">
        <v>6.06</v>
      </c>
      <c r="K256">
        <v>7.76</v>
      </c>
      <c r="L256">
        <v>0</v>
      </c>
      <c r="M256" t="s">
        <v>34</v>
      </c>
      <c r="N256" t="s">
        <v>35</v>
      </c>
      <c r="O256">
        <v>12.76</v>
      </c>
      <c r="P256" s="1">
        <v>45352</v>
      </c>
      <c r="Q256" t="str">
        <f t="shared" si="3"/>
        <v>Medium Performance</v>
      </c>
      <c r="R256" s="2">
        <f>Table1_1[[#This Row],[tasks_completed]]/Table1_1[[#This Row],[monthly_hours_worked]]</f>
        <v>4.2283298097251586E-2</v>
      </c>
    </row>
    <row r="257" spans="1:18" x14ac:dyDescent="0.3">
      <c r="A257" t="s">
        <v>66</v>
      </c>
      <c r="B257" t="s">
        <v>23</v>
      </c>
      <c r="C257" t="s">
        <v>18</v>
      </c>
      <c r="D257" t="s">
        <v>39</v>
      </c>
      <c r="E257">
        <v>3</v>
      </c>
      <c r="F257">
        <v>149.1</v>
      </c>
      <c r="G257">
        <v>99.2</v>
      </c>
      <c r="H257">
        <v>6.8</v>
      </c>
      <c r="I257">
        <v>10</v>
      </c>
      <c r="J257">
        <v>5.18</v>
      </c>
      <c r="K257">
        <v>6.25</v>
      </c>
      <c r="L257">
        <v>1</v>
      </c>
      <c r="M257" t="s">
        <v>20</v>
      </c>
      <c r="N257" t="s">
        <v>26</v>
      </c>
      <c r="O257">
        <v>13.69</v>
      </c>
      <c r="P257" s="1">
        <v>45352</v>
      </c>
      <c r="Q257" t="str">
        <f t="shared" si="3"/>
        <v>Medium Performance</v>
      </c>
      <c r="R257" s="2">
        <f>Table1_1[[#This Row],[tasks_completed]]/Table1_1[[#This Row],[monthly_hours_worked]]</f>
        <v>6.70690811535882E-2</v>
      </c>
    </row>
    <row r="258" spans="1:18" x14ac:dyDescent="0.3">
      <c r="A258" t="s">
        <v>66</v>
      </c>
      <c r="B258" t="s">
        <v>43</v>
      </c>
      <c r="C258" t="s">
        <v>24</v>
      </c>
      <c r="D258" t="s">
        <v>29</v>
      </c>
      <c r="E258">
        <v>6</v>
      </c>
      <c r="F258">
        <v>166.3</v>
      </c>
      <c r="G258">
        <v>95.9</v>
      </c>
      <c r="H258">
        <v>2.6</v>
      </c>
      <c r="I258">
        <v>8</v>
      </c>
      <c r="J258">
        <v>9.1300000000000008</v>
      </c>
      <c r="K258">
        <v>5.04</v>
      </c>
      <c r="L258">
        <v>0</v>
      </c>
      <c r="M258" t="s">
        <v>25</v>
      </c>
      <c r="N258" t="s">
        <v>26</v>
      </c>
      <c r="O258">
        <v>13.87</v>
      </c>
      <c r="P258" s="1">
        <v>45383</v>
      </c>
      <c r="Q258" t="str">
        <f t="shared" ref="Q258:Q321" si="4">IF(O258&gt;=15, "High Performance", IF(O258&gt;=10, "Medium Performance", "Low Performance"))</f>
        <v>Medium Performance</v>
      </c>
      <c r="R258" s="2">
        <f>Table1_1[[#This Row],[tasks_completed]]/Table1_1[[#This Row],[monthly_hours_worked]]</f>
        <v>4.8105832832230903E-2</v>
      </c>
    </row>
    <row r="259" spans="1:18" x14ac:dyDescent="0.3">
      <c r="A259" t="s">
        <v>66</v>
      </c>
      <c r="B259" t="s">
        <v>33</v>
      </c>
      <c r="C259" t="s">
        <v>41</v>
      </c>
      <c r="D259" t="s">
        <v>19</v>
      </c>
      <c r="E259">
        <v>4</v>
      </c>
      <c r="F259">
        <v>150.69999999999999</v>
      </c>
      <c r="G259">
        <v>93.8</v>
      </c>
      <c r="H259">
        <v>4.5999999999999996</v>
      </c>
      <c r="I259">
        <v>7</v>
      </c>
      <c r="J259">
        <v>8.94</v>
      </c>
      <c r="K259">
        <v>10</v>
      </c>
      <c r="L259">
        <v>0</v>
      </c>
      <c r="M259" t="s">
        <v>20</v>
      </c>
      <c r="N259" t="s">
        <v>21</v>
      </c>
      <c r="O259">
        <v>11.57</v>
      </c>
      <c r="P259" s="1">
        <v>45413</v>
      </c>
      <c r="Q259" t="str">
        <f t="shared" si="4"/>
        <v>Medium Performance</v>
      </c>
      <c r="R259" s="2">
        <f>Table1_1[[#This Row],[tasks_completed]]/Table1_1[[#This Row],[monthly_hours_worked]]</f>
        <v>4.6449900464499011E-2</v>
      </c>
    </row>
    <row r="260" spans="1:18" x14ac:dyDescent="0.3">
      <c r="A260" t="s">
        <v>66</v>
      </c>
      <c r="B260" t="s">
        <v>33</v>
      </c>
      <c r="C260" t="s">
        <v>31</v>
      </c>
      <c r="D260" t="s">
        <v>39</v>
      </c>
      <c r="E260">
        <v>6</v>
      </c>
      <c r="F260">
        <v>156</v>
      </c>
      <c r="G260">
        <v>98.7</v>
      </c>
      <c r="H260">
        <v>6</v>
      </c>
      <c r="I260">
        <v>4</v>
      </c>
      <c r="K260">
        <v>5.46</v>
      </c>
      <c r="L260">
        <v>0</v>
      </c>
      <c r="M260" t="s">
        <v>34</v>
      </c>
      <c r="N260" t="s">
        <v>35</v>
      </c>
      <c r="O260">
        <v>11.99</v>
      </c>
      <c r="P260" s="1">
        <v>45444</v>
      </c>
      <c r="Q260" t="str">
        <f t="shared" si="4"/>
        <v>Medium Performance</v>
      </c>
      <c r="R260" s="2">
        <f>Table1_1[[#This Row],[tasks_completed]]/Table1_1[[#This Row],[monthly_hours_worked]]</f>
        <v>2.564102564102564E-2</v>
      </c>
    </row>
    <row r="261" spans="1:18" x14ac:dyDescent="0.3">
      <c r="A261" t="s">
        <v>66</v>
      </c>
      <c r="B261" t="s">
        <v>17</v>
      </c>
      <c r="C261" t="s">
        <v>31</v>
      </c>
      <c r="D261" t="s">
        <v>29</v>
      </c>
      <c r="E261">
        <v>8</v>
      </c>
      <c r="F261">
        <v>161.80000000000001</v>
      </c>
      <c r="G261">
        <v>100</v>
      </c>
      <c r="H261">
        <v>5.2</v>
      </c>
      <c r="I261">
        <v>4</v>
      </c>
      <c r="J261">
        <v>6.31</v>
      </c>
      <c r="K261">
        <v>10</v>
      </c>
      <c r="L261">
        <v>0</v>
      </c>
      <c r="M261" t="s">
        <v>25</v>
      </c>
      <c r="N261" t="s">
        <v>21</v>
      </c>
      <c r="O261">
        <v>7.24</v>
      </c>
      <c r="P261" s="1">
        <v>45474</v>
      </c>
      <c r="Q261" t="str">
        <f t="shared" si="4"/>
        <v>Low Performance</v>
      </c>
      <c r="R261" s="2">
        <f>Table1_1[[#This Row],[tasks_completed]]/Table1_1[[#This Row],[monthly_hours_worked]]</f>
        <v>2.4721878862793572E-2</v>
      </c>
    </row>
    <row r="262" spans="1:18" x14ac:dyDescent="0.3">
      <c r="A262" t="s">
        <v>66</v>
      </c>
      <c r="B262" t="s">
        <v>43</v>
      </c>
      <c r="C262" t="s">
        <v>41</v>
      </c>
      <c r="D262" t="s">
        <v>39</v>
      </c>
      <c r="E262">
        <v>10</v>
      </c>
      <c r="F262">
        <v>162.80000000000001</v>
      </c>
      <c r="G262">
        <v>78.3</v>
      </c>
      <c r="H262">
        <v>3.8</v>
      </c>
      <c r="I262">
        <v>8</v>
      </c>
      <c r="J262">
        <v>5.99</v>
      </c>
      <c r="K262">
        <v>10</v>
      </c>
      <c r="L262">
        <v>1</v>
      </c>
      <c r="M262" t="s">
        <v>25</v>
      </c>
      <c r="N262" t="s">
        <v>35</v>
      </c>
      <c r="O262">
        <v>4.8099999999999996</v>
      </c>
      <c r="P262" s="1">
        <v>45505</v>
      </c>
      <c r="Q262" t="str">
        <f t="shared" si="4"/>
        <v>Low Performance</v>
      </c>
      <c r="R262" s="2">
        <f>Table1_1[[#This Row],[tasks_completed]]/Table1_1[[#This Row],[monthly_hours_worked]]</f>
        <v>4.9140049140049137E-2</v>
      </c>
    </row>
    <row r="263" spans="1:18" x14ac:dyDescent="0.3">
      <c r="A263" t="s">
        <v>66</v>
      </c>
      <c r="B263" t="s">
        <v>17</v>
      </c>
      <c r="C263" t="s">
        <v>37</v>
      </c>
      <c r="D263" t="s">
        <v>19</v>
      </c>
      <c r="E263">
        <v>3</v>
      </c>
      <c r="F263">
        <v>186.3</v>
      </c>
      <c r="G263">
        <v>97.7</v>
      </c>
      <c r="H263">
        <v>5.4</v>
      </c>
      <c r="I263">
        <v>5</v>
      </c>
      <c r="J263">
        <v>8.2100000000000009</v>
      </c>
      <c r="K263">
        <v>5.82</v>
      </c>
      <c r="L263">
        <v>0</v>
      </c>
      <c r="M263" t="s">
        <v>25</v>
      </c>
      <c r="N263" t="s">
        <v>35</v>
      </c>
      <c r="O263">
        <v>17.78</v>
      </c>
      <c r="P263" s="1">
        <v>45536</v>
      </c>
      <c r="Q263" t="str">
        <f t="shared" si="4"/>
        <v>High Performance</v>
      </c>
      <c r="R263" s="2">
        <f>Table1_1[[#This Row],[tasks_completed]]/Table1_1[[#This Row],[monthly_hours_worked]]</f>
        <v>2.6838432635534083E-2</v>
      </c>
    </row>
    <row r="264" spans="1:18" x14ac:dyDescent="0.3">
      <c r="A264" t="s">
        <v>66</v>
      </c>
      <c r="B264" t="s">
        <v>33</v>
      </c>
      <c r="C264" t="s">
        <v>37</v>
      </c>
      <c r="D264" t="s">
        <v>19</v>
      </c>
      <c r="E264">
        <v>2</v>
      </c>
      <c r="F264">
        <v>147.4</v>
      </c>
      <c r="G264">
        <v>100</v>
      </c>
      <c r="H264">
        <v>5.3</v>
      </c>
      <c r="I264">
        <v>4</v>
      </c>
      <c r="J264">
        <v>6.62</v>
      </c>
      <c r="K264">
        <v>7.85</v>
      </c>
      <c r="L264">
        <v>0</v>
      </c>
      <c r="M264" t="s">
        <v>20</v>
      </c>
      <c r="N264" t="s">
        <v>26</v>
      </c>
      <c r="O264">
        <v>15.69</v>
      </c>
      <c r="P264" s="1">
        <v>45566</v>
      </c>
      <c r="Q264" t="str">
        <f t="shared" si="4"/>
        <v>High Performance</v>
      </c>
      <c r="R264" s="2">
        <f>Table1_1[[#This Row],[tasks_completed]]/Table1_1[[#This Row],[monthly_hours_worked]]</f>
        <v>2.7137042062415195E-2</v>
      </c>
    </row>
    <row r="265" spans="1:18" x14ac:dyDescent="0.3">
      <c r="A265" t="s">
        <v>66</v>
      </c>
      <c r="B265" t="s">
        <v>33</v>
      </c>
      <c r="C265" t="s">
        <v>18</v>
      </c>
      <c r="D265" t="s">
        <v>19</v>
      </c>
      <c r="E265">
        <v>1</v>
      </c>
      <c r="F265">
        <v>152.30000000000001</v>
      </c>
      <c r="G265">
        <v>95</v>
      </c>
      <c r="H265">
        <v>0.1</v>
      </c>
      <c r="I265">
        <v>3</v>
      </c>
      <c r="J265">
        <v>5.23</v>
      </c>
      <c r="K265">
        <v>6.53</v>
      </c>
      <c r="L265">
        <v>0</v>
      </c>
      <c r="M265" t="s">
        <v>25</v>
      </c>
      <c r="N265" t="s">
        <v>35</v>
      </c>
      <c r="O265">
        <v>11.73</v>
      </c>
      <c r="P265" s="1">
        <v>45597</v>
      </c>
      <c r="Q265" t="str">
        <f t="shared" si="4"/>
        <v>Medium Performance</v>
      </c>
      <c r="R265" s="2">
        <f>Table1_1[[#This Row],[tasks_completed]]/Table1_1[[#This Row],[monthly_hours_worked]]</f>
        <v>1.9697964543663821E-2</v>
      </c>
    </row>
    <row r="266" spans="1:18" x14ac:dyDescent="0.3">
      <c r="A266" t="s">
        <v>67</v>
      </c>
      <c r="B266" t="s">
        <v>17</v>
      </c>
      <c r="C266" t="s">
        <v>41</v>
      </c>
      <c r="D266" t="s">
        <v>19</v>
      </c>
      <c r="E266">
        <v>10</v>
      </c>
      <c r="F266">
        <v>174</v>
      </c>
      <c r="G266">
        <v>97.8</v>
      </c>
      <c r="H266">
        <v>1.9</v>
      </c>
      <c r="I266">
        <v>4</v>
      </c>
      <c r="J266">
        <v>7.7</v>
      </c>
      <c r="K266">
        <v>6.04</v>
      </c>
      <c r="L266">
        <v>0</v>
      </c>
      <c r="M266" t="s">
        <v>20</v>
      </c>
      <c r="N266" t="s">
        <v>26</v>
      </c>
      <c r="O266">
        <v>7.05</v>
      </c>
      <c r="P266" s="1">
        <v>45292</v>
      </c>
      <c r="Q266" t="str">
        <f t="shared" si="4"/>
        <v>Low Performance</v>
      </c>
      <c r="R266" s="2">
        <f>Table1_1[[#This Row],[tasks_completed]]/Table1_1[[#This Row],[monthly_hours_worked]]</f>
        <v>2.2988505747126436E-2</v>
      </c>
    </row>
    <row r="267" spans="1:18" x14ac:dyDescent="0.3">
      <c r="A267" t="s">
        <v>67</v>
      </c>
      <c r="B267" t="s">
        <v>23</v>
      </c>
      <c r="C267" t="s">
        <v>18</v>
      </c>
      <c r="D267" t="s">
        <v>19</v>
      </c>
      <c r="E267">
        <v>6</v>
      </c>
      <c r="F267">
        <v>130.69999999999999</v>
      </c>
      <c r="G267">
        <v>100</v>
      </c>
      <c r="H267">
        <v>7.2</v>
      </c>
      <c r="I267">
        <v>3</v>
      </c>
      <c r="J267">
        <v>6.94</v>
      </c>
      <c r="K267">
        <v>10</v>
      </c>
      <c r="L267">
        <v>1</v>
      </c>
      <c r="M267" t="s">
        <v>20</v>
      </c>
      <c r="N267" t="s">
        <v>26</v>
      </c>
      <c r="O267">
        <v>23.64</v>
      </c>
      <c r="P267" s="1">
        <v>45292</v>
      </c>
      <c r="Q267" t="str">
        <f t="shared" si="4"/>
        <v>High Performance</v>
      </c>
      <c r="R267" s="2">
        <f>Table1_1[[#This Row],[tasks_completed]]/Table1_1[[#This Row],[monthly_hours_worked]]</f>
        <v>2.2953328232593728E-2</v>
      </c>
    </row>
    <row r="268" spans="1:18" x14ac:dyDescent="0.3">
      <c r="A268" t="s">
        <v>67</v>
      </c>
      <c r="B268" t="s">
        <v>33</v>
      </c>
      <c r="C268" t="s">
        <v>31</v>
      </c>
      <c r="D268" t="s">
        <v>29</v>
      </c>
      <c r="E268">
        <v>5</v>
      </c>
      <c r="F268">
        <v>181</v>
      </c>
      <c r="G268">
        <v>98</v>
      </c>
      <c r="H268">
        <v>4</v>
      </c>
      <c r="I268">
        <v>2</v>
      </c>
      <c r="J268">
        <v>8.73</v>
      </c>
      <c r="K268">
        <v>7.1</v>
      </c>
      <c r="L268">
        <v>0</v>
      </c>
      <c r="M268" t="s">
        <v>25</v>
      </c>
      <c r="N268" t="s">
        <v>21</v>
      </c>
      <c r="O268">
        <v>7.92</v>
      </c>
      <c r="P268" s="1">
        <v>45352</v>
      </c>
      <c r="Q268" t="str">
        <f t="shared" si="4"/>
        <v>Low Performance</v>
      </c>
      <c r="R268" s="2">
        <f>Table1_1[[#This Row],[tasks_completed]]/Table1_1[[#This Row],[monthly_hours_worked]]</f>
        <v>1.1049723756906077E-2</v>
      </c>
    </row>
    <row r="269" spans="1:18" x14ac:dyDescent="0.3">
      <c r="A269" t="s">
        <v>67</v>
      </c>
      <c r="B269" t="s">
        <v>17</v>
      </c>
      <c r="C269" t="s">
        <v>37</v>
      </c>
      <c r="D269" t="s">
        <v>39</v>
      </c>
      <c r="E269">
        <v>9</v>
      </c>
      <c r="F269">
        <v>161.6</v>
      </c>
      <c r="G269">
        <v>93.2</v>
      </c>
      <c r="I269">
        <v>3</v>
      </c>
      <c r="J269">
        <v>5.69</v>
      </c>
      <c r="K269">
        <v>10</v>
      </c>
      <c r="L269">
        <v>0</v>
      </c>
      <c r="M269" t="s">
        <v>25</v>
      </c>
      <c r="N269" t="s">
        <v>21</v>
      </c>
      <c r="O269">
        <v>8.39</v>
      </c>
      <c r="P269" s="1">
        <v>45352</v>
      </c>
      <c r="Q269" t="str">
        <f t="shared" si="4"/>
        <v>Low Performance</v>
      </c>
      <c r="R269" s="2">
        <f>Table1_1[[#This Row],[tasks_completed]]/Table1_1[[#This Row],[monthly_hours_worked]]</f>
        <v>1.8564356435643563E-2</v>
      </c>
    </row>
    <row r="270" spans="1:18" x14ac:dyDescent="0.3">
      <c r="A270" t="s">
        <v>67</v>
      </c>
      <c r="B270" t="s">
        <v>23</v>
      </c>
      <c r="C270" t="s">
        <v>41</v>
      </c>
      <c r="D270" t="s">
        <v>29</v>
      </c>
      <c r="E270">
        <v>4</v>
      </c>
      <c r="F270">
        <v>161.1</v>
      </c>
      <c r="G270">
        <v>97.5</v>
      </c>
      <c r="H270">
        <v>3.2</v>
      </c>
      <c r="I270">
        <v>3</v>
      </c>
      <c r="J270">
        <v>9.1999999999999993</v>
      </c>
      <c r="K270">
        <v>8.24</v>
      </c>
      <c r="L270">
        <v>0</v>
      </c>
      <c r="M270" t="s">
        <v>20</v>
      </c>
      <c r="N270" t="s">
        <v>35</v>
      </c>
      <c r="O270">
        <v>18.690000000000001</v>
      </c>
      <c r="P270" s="1">
        <v>45383</v>
      </c>
      <c r="Q270" t="str">
        <f t="shared" si="4"/>
        <v>High Performance</v>
      </c>
      <c r="R270" s="2">
        <f>Table1_1[[#This Row],[tasks_completed]]/Table1_1[[#This Row],[monthly_hours_worked]]</f>
        <v>1.86219739292365E-2</v>
      </c>
    </row>
    <row r="271" spans="1:18" x14ac:dyDescent="0.3">
      <c r="A271" t="s">
        <v>67</v>
      </c>
      <c r="B271" t="s">
        <v>33</v>
      </c>
      <c r="C271" t="s">
        <v>41</v>
      </c>
      <c r="D271" t="s">
        <v>39</v>
      </c>
      <c r="E271">
        <v>2</v>
      </c>
      <c r="F271">
        <v>171.2</v>
      </c>
      <c r="G271">
        <v>91.7</v>
      </c>
      <c r="H271">
        <v>9</v>
      </c>
      <c r="I271">
        <v>10</v>
      </c>
      <c r="J271">
        <v>6.01</v>
      </c>
      <c r="K271">
        <v>8.06</v>
      </c>
      <c r="L271">
        <v>0</v>
      </c>
      <c r="M271" t="s">
        <v>34</v>
      </c>
      <c r="N271" t="s">
        <v>26</v>
      </c>
      <c r="O271">
        <v>11.67</v>
      </c>
      <c r="P271" s="1">
        <v>45413</v>
      </c>
      <c r="Q271" t="str">
        <f t="shared" si="4"/>
        <v>Medium Performance</v>
      </c>
      <c r="R271" s="2">
        <f>Table1_1[[#This Row],[tasks_completed]]/Table1_1[[#This Row],[monthly_hours_worked]]</f>
        <v>5.8411214953271035E-2</v>
      </c>
    </row>
    <row r="272" spans="1:18" x14ac:dyDescent="0.3">
      <c r="A272" t="s">
        <v>67</v>
      </c>
      <c r="B272" t="s">
        <v>23</v>
      </c>
      <c r="C272" t="s">
        <v>31</v>
      </c>
      <c r="D272" t="s">
        <v>19</v>
      </c>
      <c r="E272">
        <v>1</v>
      </c>
      <c r="F272">
        <v>164.3</v>
      </c>
      <c r="G272">
        <v>97.4</v>
      </c>
      <c r="H272">
        <v>3.4</v>
      </c>
      <c r="I272">
        <v>7</v>
      </c>
      <c r="J272">
        <v>8.14</v>
      </c>
      <c r="K272">
        <v>5.84</v>
      </c>
      <c r="L272">
        <v>1</v>
      </c>
      <c r="M272" t="s">
        <v>25</v>
      </c>
      <c r="N272" t="s">
        <v>35</v>
      </c>
      <c r="O272">
        <v>7.76</v>
      </c>
      <c r="P272" s="1">
        <v>45444</v>
      </c>
      <c r="Q272" t="str">
        <f t="shared" si="4"/>
        <v>Low Performance</v>
      </c>
      <c r="R272" s="2">
        <f>Table1_1[[#This Row],[tasks_completed]]/Table1_1[[#This Row],[monthly_hours_worked]]</f>
        <v>4.26049908703591E-2</v>
      </c>
    </row>
    <row r="273" spans="1:18" x14ac:dyDescent="0.3">
      <c r="A273" t="s">
        <v>67</v>
      </c>
      <c r="B273" t="s">
        <v>27</v>
      </c>
      <c r="C273" t="s">
        <v>31</v>
      </c>
      <c r="D273" t="s">
        <v>39</v>
      </c>
      <c r="E273">
        <v>7</v>
      </c>
      <c r="F273">
        <v>166.5</v>
      </c>
      <c r="G273">
        <v>95.7</v>
      </c>
      <c r="H273">
        <v>2.5</v>
      </c>
      <c r="I273">
        <v>4</v>
      </c>
      <c r="J273">
        <v>6.41</v>
      </c>
      <c r="K273">
        <v>5.93</v>
      </c>
      <c r="L273">
        <v>0</v>
      </c>
      <c r="M273" t="s">
        <v>25</v>
      </c>
      <c r="N273" t="s">
        <v>26</v>
      </c>
      <c r="O273">
        <v>16.399999999999999</v>
      </c>
      <c r="P273" s="1">
        <v>45474</v>
      </c>
      <c r="Q273" t="str">
        <f t="shared" si="4"/>
        <v>High Performance</v>
      </c>
      <c r="R273" s="2">
        <f>Table1_1[[#This Row],[tasks_completed]]/Table1_1[[#This Row],[monthly_hours_worked]]</f>
        <v>2.4024024024024024E-2</v>
      </c>
    </row>
    <row r="274" spans="1:18" x14ac:dyDescent="0.3">
      <c r="A274" t="s">
        <v>67</v>
      </c>
      <c r="B274" t="s">
        <v>33</v>
      </c>
      <c r="C274" t="s">
        <v>24</v>
      </c>
      <c r="D274" t="s">
        <v>39</v>
      </c>
      <c r="E274">
        <v>4</v>
      </c>
      <c r="F274">
        <v>149.6</v>
      </c>
      <c r="G274">
        <v>100</v>
      </c>
      <c r="H274">
        <v>3.9</v>
      </c>
      <c r="I274">
        <v>4</v>
      </c>
      <c r="J274">
        <v>9.7799999999999994</v>
      </c>
      <c r="K274">
        <v>5.14</v>
      </c>
      <c r="L274">
        <v>0</v>
      </c>
      <c r="M274" t="s">
        <v>20</v>
      </c>
      <c r="N274" t="s">
        <v>21</v>
      </c>
      <c r="O274">
        <v>16.47</v>
      </c>
      <c r="P274" s="1">
        <v>45505</v>
      </c>
      <c r="Q274" t="str">
        <f t="shared" si="4"/>
        <v>High Performance</v>
      </c>
      <c r="R274" s="2">
        <f>Table1_1[[#This Row],[tasks_completed]]/Table1_1[[#This Row],[monthly_hours_worked]]</f>
        <v>2.6737967914438502E-2</v>
      </c>
    </row>
    <row r="275" spans="1:18" x14ac:dyDescent="0.3">
      <c r="A275" t="s">
        <v>67</v>
      </c>
      <c r="B275" t="s">
        <v>33</v>
      </c>
      <c r="C275" t="s">
        <v>18</v>
      </c>
      <c r="D275" t="s">
        <v>19</v>
      </c>
      <c r="E275">
        <v>9</v>
      </c>
      <c r="F275">
        <v>141.6</v>
      </c>
      <c r="G275">
        <v>94.8</v>
      </c>
      <c r="H275">
        <v>6.3</v>
      </c>
      <c r="I275">
        <v>5</v>
      </c>
      <c r="J275">
        <v>7.68</v>
      </c>
      <c r="K275">
        <v>8.92</v>
      </c>
      <c r="L275">
        <v>0</v>
      </c>
      <c r="M275" t="s">
        <v>20</v>
      </c>
      <c r="N275" t="s">
        <v>26</v>
      </c>
      <c r="O275">
        <v>14.31</v>
      </c>
      <c r="P275" s="1">
        <v>45536</v>
      </c>
      <c r="Q275" t="str">
        <f t="shared" si="4"/>
        <v>Medium Performance</v>
      </c>
      <c r="R275" s="2">
        <f>Table1_1[[#This Row],[tasks_completed]]/Table1_1[[#This Row],[monthly_hours_worked]]</f>
        <v>3.5310734463276837E-2</v>
      </c>
    </row>
    <row r="276" spans="1:18" x14ac:dyDescent="0.3">
      <c r="A276" t="s">
        <v>67</v>
      </c>
      <c r="B276" t="s">
        <v>33</v>
      </c>
      <c r="C276" t="s">
        <v>18</v>
      </c>
      <c r="D276" t="s">
        <v>39</v>
      </c>
      <c r="E276">
        <v>1</v>
      </c>
      <c r="F276">
        <v>162.30000000000001</v>
      </c>
      <c r="G276">
        <v>100</v>
      </c>
      <c r="H276">
        <v>5.4</v>
      </c>
      <c r="I276">
        <v>7</v>
      </c>
      <c r="J276">
        <v>8.86</v>
      </c>
      <c r="K276">
        <v>5.37</v>
      </c>
      <c r="L276">
        <v>0</v>
      </c>
      <c r="M276" t="s">
        <v>20</v>
      </c>
      <c r="N276" t="s">
        <v>21</v>
      </c>
      <c r="O276">
        <v>8.8000000000000007</v>
      </c>
      <c r="P276" s="1">
        <v>45566</v>
      </c>
      <c r="Q276" t="str">
        <f t="shared" si="4"/>
        <v>Low Performance</v>
      </c>
      <c r="R276" s="2">
        <f>Table1_1[[#This Row],[tasks_completed]]/Table1_1[[#This Row],[monthly_hours_worked]]</f>
        <v>4.3130006161429452E-2</v>
      </c>
    </row>
    <row r="277" spans="1:18" x14ac:dyDescent="0.3">
      <c r="A277" t="s">
        <v>67</v>
      </c>
      <c r="B277" t="s">
        <v>17</v>
      </c>
      <c r="C277" t="s">
        <v>31</v>
      </c>
      <c r="D277" t="s">
        <v>29</v>
      </c>
      <c r="E277">
        <v>6</v>
      </c>
      <c r="F277">
        <v>153.1</v>
      </c>
      <c r="G277">
        <v>95.7</v>
      </c>
      <c r="H277">
        <v>4.2</v>
      </c>
      <c r="I277">
        <v>5</v>
      </c>
      <c r="J277">
        <v>8.1</v>
      </c>
      <c r="K277">
        <v>3.82</v>
      </c>
      <c r="L277">
        <v>1</v>
      </c>
      <c r="M277" t="s">
        <v>34</v>
      </c>
      <c r="N277" t="s">
        <v>21</v>
      </c>
      <c r="O277">
        <v>20.48</v>
      </c>
      <c r="P277" s="1">
        <v>45597</v>
      </c>
      <c r="Q277" t="str">
        <f t="shared" si="4"/>
        <v>High Performance</v>
      </c>
      <c r="R277" s="2">
        <f>Table1_1[[#This Row],[tasks_completed]]/Table1_1[[#This Row],[monthly_hours_worked]]</f>
        <v>3.2658393207054215E-2</v>
      </c>
    </row>
    <row r="278" spans="1:18" x14ac:dyDescent="0.3">
      <c r="A278" t="s">
        <v>68</v>
      </c>
      <c r="B278" t="s">
        <v>27</v>
      </c>
      <c r="C278" t="s">
        <v>18</v>
      </c>
      <c r="D278" t="s">
        <v>29</v>
      </c>
      <c r="E278">
        <v>9</v>
      </c>
      <c r="F278">
        <v>149.69999999999999</v>
      </c>
      <c r="G278">
        <v>90.5</v>
      </c>
      <c r="H278">
        <v>6.3</v>
      </c>
      <c r="I278">
        <v>7</v>
      </c>
      <c r="J278">
        <v>4.6100000000000003</v>
      </c>
      <c r="K278">
        <v>7.7</v>
      </c>
      <c r="L278">
        <v>0</v>
      </c>
      <c r="M278" t="s">
        <v>20</v>
      </c>
      <c r="N278" t="s">
        <v>21</v>
      </c>
      <c r="O278">
        <v>8.77</v>
      </c>
      <c r="P278" s="1">
        <v>45292</v>
      </c>
      <c r="Q278" t="str">
        <f t="shared" si="4"/>
        <v>Low Performance</v>
      </c>
      <c r="R278" s="2">
        <f>Table1_1[[#This Row],[tasks_completed]]/Table1_1[[#This Row],[monthly_hours_worked]]</f>
        <v>4.6760187040748163E-2</v>
      </c>
    </row>
    <row r="279" spans="1:18" x14ac:dyDescent="0.3">
      <c r="A279" t="s">
        <v>68</v>
      </c>
      <c r="B279" t="s">
        <v>23</v>
      </c>
      <c r="C279" t="s">
        <v>41</v>
      </c>
      <c r="D279" t="s">
        <v>29</v>
      </c>
      <c r="E279">
        <v>9</v>
      </c>
      <c r="F279">
        <v>156.1</v>
      </c>
      <c r="G279">
        <v>88.2</v>
      </c>
      <c r="H279">
        <v>6.4</v>
      </c>
      <c r="I279">
        <v>6</v>
      </c>
      <c r="J279">
        <v>7.13</v>
      </c>
      <c r="K279">
        <v>3.92</v>
      </c>
      <c r="L279">
        <v>1</v>
      </c>
      <c r="M279" t="s">
        <v>25</v>
      </c>
      <c r="N279" t="s">
        <v>26</v>
      </c>
      <c r="O279">
        <v>5.8</v>
      </c>
      <c r="P279" s="1">
        <v>45292</v>
      </c>
      <c r="Q279" t="str">
        <f t="shared" si="4"/>
        <v>Low Performance</v>
      </c>
      <c r="R279" s="2">
        <f>Table1_1[[#This Row],[tasks_completed]]/Table1_1[[#This Row],[monthly_hours_worked]]</f>
        <v>3.8436899423446511E-2</v>
      </c>
    </row>
    <row r="280" spans="1:18" x14ac:dyDescent="0.3">
      <c r="A280" t="s">
        <v>68</v>
      </c>
      <c r="B280" t="s">
        <v>23</v>
      </c>
      <c r="C280" t="s">
        <v>41</v>
      </c>
      <c r="D280" t="s">
        <v>29</v>
      </c>
      <c r="E280">
        <v>9</v>
      </c>
      <c r="F280">
        <v>155.6</v>
      </c>
      <c r="G280">
        <v>90.5</v>
      </c>
      <c r="H280">
        <v>4.9000000000000004</v>
      </c>
      <c r="I280">
        <v>5</v>
      </c>
      <c r="J280">
        <v>8.23</v>
      </c>
      <c r="K280">
        <v>4.51</v>
      </c>
      <c r="L280">
        <v>0</v>
      </c>
      <c r="M280" t="s">
        <v>25</v>
      </c>
      <c r="N280" t="s">
        <v>35</v>
      </c>
      <c r="O280">
        <v>21.22</v>
      </c>
      <c r="P280" s="1">
        <v>45352</v>
      </c>
      <c r="Q280" t="str">
        <f t="shared" si="4"/>
        <v>High Performance</v>
      </c>
      <c r="R280" s="2">
        <f>Table1_1[[#This Row],[tasks_completed]]/Table1_1[[#This Row],[monthly_hours_worked]]</f>
        <v>3.2133676092544985E-2</v>
      </c>
    </row>
    <row r="281" spans="1:18" x14ac:dyDescent="0.3">
      <c r="A281" t="s">
        <v>68</v>
      </c>
      <c r="B281" t="s">
        <v>23</v>
      </c>
      <c r="C281" t="s">
        <v>41</v>
      </c>
      <c r="D281" t="s">
        <v>29</v>
      </c>
      <c r="E281">
        <v>8</v>
      </c>
      <c r="F281">
        <v>164.8</v>
      </c>
      <c r="G281">
        <v>97.7</v>
      </c>
      <c r="H281">
        <v>7.2</v>
      </c>
      <c r="I281">
        <v>3</v>
      </c>
      <c r="K281">
        <v>7.31</v>
      </c>
      <c r="L281">
        <v>0</v>
      </c>
      <c r="M281" t="s">
        <v>20</v>
      </c>
      <c r="N281" t="s">
        <v>21</v>
      </c>
      <c r="O281">
        <v>14.1</v>
      </c>
      <c r="P281" s="1">
        <v>45352</v>
      </c>
      <c r="Q281" t="str">
        <f t="shared" si="4"/>
        <v>Medium Performance</v>
      </c>
      <c r="R281" s="2">
        <f>Table1_1[[#This Row],[tasks_completed]]/Table1_1[[#This Row],[monthly_hours_worked]]</f>
        <v>1.820388349514563E-2</v>
      </c>
    </row>
    <row r="282" spans="1:18" x14ac:dyDescent="0.3">
      <c r="A282" t="s">
        <v>68</v>
      </c>
      <c r="B282" t="s">
        <v>23</v>
      </c>
      <c r="C282" t="s">
        <v>41</v>
      </c>
      <c r="D282" t="s">
        <v>39</v>
      </c>
      <c r="E282">
        <v>3</v>
      </c>
      <c r="F282">
        <v>151.9</v>
      </c>
      <c r="G282">
        <v>89.4</v>
      </c>
      <c r="H282">
        <v>5.5</v>
      </c>
      <c r="I282">
        <v>9</v>
      </c>
      <c r="J282">
        <v>7.82</v>
      </c>
      <c r="K282">
        <v>7.32</v>
      </c>
      <c r="L282">
        <v>0</v>
      </c>
      <c r="M282" t="s">
        <v>25</v>
      </c>
      <c r="N282" t="s">
        <v>21</v>
      </c>
      <c r="O282">
        <v>24.78</v>
      </c>
      <c r="P282" s="1">
        <v>45383</v>
      </c>
      <c r="Q282" t="str">
        <f t="shared" si="4"/>
        <v>High Performance</v>
      </c>
      <c r="R282" s="2">
        <f>Table1_1[[#This Row],[tasks_completed]]/Table1_1[[#This Row],[monthly_hours_worked]]</f>
        <v>5.9249506254114549E-2</v>
      </c>
    </row>
    <row r="283" spans="1:18" x14ac:dyDescent="0.3">
      <c r="A283" t="s">
        <v>68</v>
      </c>
      <c r="B283" t="s">
        <v>17</v>
      </c>
      <c r="C283" t="s">
        <v>24</v>
      </c>
      <c r="D283" t="s">
        <v>29</v>
      </c>
      <c r="E283">
        <v>2</v>
      </c>
      <c r="F283">
        <v>159.9</v>
      </c>
      <c r="G283">
        <v>94.3</v>
      </c>
      <c r="H283">
        <v>5.5</v>
      </c>
      <c r="I283">
        <v>8</v>
      </c>
      <c r="J283">
        <v>6.65</v>
      </c>
      <c r="K283">
        <v>9.5299999999999994</v>
      </c>
      <c r="L283">
        <v>0</v>
      </c>
      <c r="M283" t="s">
        <v>20</v>
      </c>
      <c r="N283" t="s">
        <v>21</v>
      </c>
      <c r="O283">
        <v>21.54</v>
      </c>
      <c r="P283" s="1">
        <v>45413</v>
      </c>
      <c r="Q283" t="str">
        <f t="shared" si="4"/>
        <v>High Performance</v>
      </c>
      <c r="R283" s="2">
        <f>Table1_1[[#This Row],[tasks_completed]]/Table1_1[[#This Row],[monthly_hours_worked]]</f>
        <v>5.0031269543464665E-2</v>
      </c>
    </row>
    <row r="284" spans="1:18" x14ac:dyDescent="0.3">
      <c r="A284" t="s">
        <v>68</v>
      </c>
      <c r="B284" t="s">
        <v>27</v>
      </c>
      <c r="C284" t="s">
        <v>37</v>
      </c>
      <c r="D284" t="s">
        <v>29</v>
      </c>
      <c r="E284">
        <v>8</v>
      </c>
      <c r="F284">
        <v>159.4</v>
      </c>
      <c r="G284">
        <v>94.8</v>
      </c>
      <c r="H284">
        <v>6</v>
      </c>
      <c r="I284">
        <v>11</v>
      </c>
      <c r="J284">
        <v>6.78</v>
      </c>
      <c r="K284">
        <v>7.9</v>
      </c>
      <c r="L284">
        <v>0</v>
      </c>
      <c r="M284" t="s">
        <v>25</v>
      </c>
      <c r="N284" t="s">
        <v>35</v>
      </c>
      <c r="O284">
        <v>15.98</v>
      </c>
      <c r="P284" s="1">
        <v>45444</v>
      </c>
      <c r="Q284" t="str">
        <f t="shared" si="4"/>
        <v>High Performance</v>
      </c>
      <c r="R284" s="2">
        <f>Table1_1[[#This Row],[tasks_completed]]/Table1_1[[#This Row],[monthly_hours_worked]]</f>
        <v>6.9008782936010038E-2</v>
      </c>
    </row>
    <row r="285" spans="1:18" x14ac:dyDescent="0.3">
      <c r="A285" t="s">
        <v>68</v>
      </c>
      <c r="B285" t="s">
        <v>17</v>
      </c>
      <c r="C285" t="s">
        <v>24</v>
      </c>
      <c r="D285" t="s">
        <v>19</v>
      </c>
      <c r="E285">
        <v>8</v>
      </c>
      <c r="F285">
        <v>163.1</v>
      </c>
      <c r="G285">
        <v>89.9</v>
      </c>
      <c r="H285">
        <v>2.8</v>
      </c>
      <c r="I285">
        <v>5</v>
      </c>
      <c r="J285">
        <v>5.7</v>
      </c>
      <c r="K285">
        <v>7.12</v>
      </c>
      <c r="L285">
        <v>2</v>
      </c>
      <c r="M285" t="s">
        <v>20</v>
      </c>
      <c r="N285" t="s">
        <v>26</v>
      </c>
      <c r="O285">
        <v>14.34</v>
      </c>
      <c r="P285" s="1">
        <v>45474</v>
      </c>
      <c r="Q285" t="str">
        <f t="shared" si="4"/>
        <v>Medium Performance</v>
      </c>
      <c r="R285" s="2">
        <f>Table1_1[[#This Row],[tasks_completed]]/Table1_1[[#This Row],[monthly_hours_worked]]</f>
        <v>3.0656039239730228E-2</v>
      </c>
    </row>
    <row r="286" spans="1:18" x14ac:dyDescent="0.3">
      <c r="A286" t="s">
        <v>68</v>
      </c>
      <c r="B286" t="s">
        <v>17</v>
      </c>
      <c r="C286" t="s">
        <v>18</v>
      </c>
      <c r="D286" t="s">
        <v>39</v>
      </c>
      <c r="E286">
        <v>4</v>
      </c>
      <c r="F286">
        <v>164.2</v>
      </c>
      <c r="G286">
        <v>95.2</v>
      </c>
      <c r="H286">
        <v>2.1</v>
      </c>
      <c r="I286">
        <v>6</v>
      </c>
      <c r="J286">
        <v>5.53</v>
      </c>
      <c r="K286">
        <v>7.43</v>
      </c>
      <c r="L286">
        <v>0</v>
      </c>
      <c r="M286" t="s">
        <v>20</v>
      </c>
      <c r="N286" t="s">
        <v>35</v>
      </c>
      <c r="O286">
        <v>10.27</v>
      </c>
      <c r="P286" s="1">
        <v>45505</v>
      </c>
      <c r="Q286" t="str">
        <f t="shared" si="4"/>
        <v>Medium Performance</v>
      </c>
      <c r="R286" s="2">
        <f>Table1_1[[#This Row],[tasks_completed]]/Table1_1[[#This Row],[monthly_hours_worked]]</f>
        <v>3.6540803897685749E-2</v>
      </c>
    </row>
    <row r="287" spans="1:18" x14ac:dyDescent="0.3">
      <c r="A287" t="s">
        <v>68</v>
      </c>
      <c r="B287" t="s">
        <v>27</v>
      </c>
      <c r="C287" t="s">
        <v>41</v>
      </c>
      <c r="D287" t="s">
        <v>29</v>
      </c>
      <c r="E287">
        <v>4</v>
      </c>
      <c r="F287">
        <v>174</v>
      </c>
      <c r="G287">
        <v>93.1</v>
      </c>
      <c r="H287">
        <v>6</v>
      </c>
      <c r="I287">
        <v>7</v>
      </c>
      <c r="J287">
        <v>6.77</v>
      </c>
      <c r="K287">
        <v>6.99</v>
      </c>
      <c r="L287">
        <v>1</v>
      </c>
      <c r="M287" t="s">
        <v>20</v>
      </c>
      <c r="N287" t="s">
        <v>26</v>
      </c>
      <c r="O287">
        <v>13.68</v>
      </c>
      <c r="P287" s="1">
        <v>45536</v>
      </c>
      <c r="Q287" t="str">
        <f t="shared" si="4"/>
        <v>Medium Performance</v>
      </c>
      <c r="R287" s="2">
        <f>Table1_1[[#This Row],[tasks_completed]]/Table1_1[[#This Row],[monthly_hours_worked]]</f>
        <v>4.0229885057471264E-2</v>
      </c>
    </row>
    <row r="288" spans="1:18" x14ac:dyDescent="0.3">
      <c r="A288" t="s">
        <v>68</v>
      </c>
      <c r="B288" t="s">
        <v>23</v>
      </c>
      <c r="C288" t="s">
        <v>41</v>
      </c>
      <c r="D288" t="s">
        <v>29</v>
      </c>
      <c r="E288">
        <v>3</v>
      </c>
      <c r="F288">
        <v>145.9</v>
      </c>
      <c r="G288">
        <v>93</v>
      </c>
      <c r="H288">
        <v>6</v>
      </c>
      <c r="I288">
        <v>2</v>
      </c>
      <c r="J288">
        <v>8.52</v>
      </c>
      <c r="K288">
        <v>7.64</v>
      </c>
      <c r="L288">
        <v>0</v>
      </c>
      <c r="M288" t="s">
        <v>34</v>
      </c>
      <c r="N288" t="s">
        <v>26</v>
      </c>
      <c r="O288">
        <v>13.71</v>
      </c>
      <c r="P288" s="1">
        <v>45566</v>
      </c>
      <c r="Q288" t="str">
        <f t="shared" si="4"/>
        <v>Medium Performance</v>
      </c>
      <c r="R288" s="2">
        <f>Table1_1[[#This Row],[tasks_completed]]/Table1_1[[#This Row],[monthly_hours_worked]]</f>
        <v>1.3708019191226868E-2</v>
      </c>
    </row>
    <row r="289" spans="1:18" x14ac:dyDescent="0.3">
      <c r="A289" t="s">
        <v>68</v>
      </c>
      <c r="B289" t="s">
        <v>27</v>
      </c>
      <c r="C289" t="s">
        <v>37</v>
      </c>
      <c r="D289" t="s">
        <v>39</v>
      </c>
      <c r="E289">
        <v>8</v>
      </c>
      <c r="F289">
        <v>149.4</v>
      </c>
      <c r="G289">
        <v>91</v>
      </c>
      <c r="I289">
        <v>6</v>
      </c>
      <c r="J289">
        <v>7.17</v>
      </c>
      <c r="K289">
        <v>8.58</v>
      </c>
      <c r="L289">
        <v>0</v>
      </c>
      <c r="M289" t="s">
        <v>34</v>
      </c>
      <c r="N289" t="s">
        <v>21</v>
      </c>
      <c r="O289">
        <v>6.46</v>
      </c>
      <c r="P289" s="1">
        <v>45597</v>
      </c>
      <c r="Q289" t="str">
        <f t="shared" si="4"/>
        <v>Low Performance</v>
      </c>
      <c r="R289" s="2">
        <f>Table1_1[[#This Row],[tasks_completed]]/Table1_1[[#This Row],[monthly_hours_worked]]</f>
        <v>4.0160642570281124E-2</v>
      </c>
    </row>
    <row r="290" spans="1:18" x14ac:dyDescent="0.3">
      <c r="A290" t="s">
        <v>69</v>
      </c>
      <c r="B290" t="s">
        <v>17</v>
      </c>
      <c r="C290" t="s">
        <v>31</v>
      </c>
      <c r="D290" t="s">
        <v>39</v>
      </c>
      <c r="E290">
        <v>6</v>
      </c>
      <c r="F290">
        <v>153.1</v>
      </c>
      <c r="G290">
        <v>85.2</v>
      </c>
      <c r="H290">
        <v>5.2</v>
      </c>
      <c r="I290">
        <v>6</v>
      </c>
      <c r="J290">
        <v>10</v>
      </c>
      <c r="K290">
        <v>7.5</v>
      </c>
      <c r="L290">
        <v>2</v>
      </c>
      <c r="M290" t="s">
        <v>20</v>
      </c>
      <c r="N290" t="s">
        <v>26</v>
      </c>
      <c r="O290">
        <v>5.03</v>
      </c>
      <c r="P290" s="1">
        <v>45292</v>
      </c>
      <c r="Q290" t="str">
        <f t="shared" si="4"/>
        <v>Low Performance</v>
      </c>
      <c r="R290" s="2">
        <f>Table1_1[[#This Row],[tasks_completed]]/Table1_1[[#This Row],[monthly_hours_worked]]</f>
        <v>3.9190071848465055E-2</v>
      </c>
    </row>
    <row r="291" spans="1:18" x14ac:dyDescent="0.3">
      <c r="A291" t="s">
        <v>69</v>
      </c>
      <c r="B291" t="s">
        <v>17</v>
      </c>
      <c r="C291" t="s">
        <v>31</v>
      </c>
      <c r="D291" t="s">
        <v>19</v>
      </c>
      <c r="E291">
        <v>4</v>
      </c>
      <c r="F291">
        <v>155.80000000000001</v>
      </c>
      <c r="G291">
        <v>98.2</v>
      </c>
      <c r="H291">
        <v>7.3</v>
      </c>
      <c r="I291">
        <v>3</v>
      </c>
      <c r="J291">
        <v>7.67</v>
      </c>
      <c r="K291">
        <v>7.23</v>
      </c>
      <c r="L291">
        <v>0</v>
      </c>
      <c r="M291" t="s">
        <v>20</v>
      </c>
      <c r="N291" t="s">
        <v>21</v>
      </c>
      <c r="O291">
        <v>8</v>
      </c>
      <c r="P291" s="1">
        <v>45292</v>
      </c>
      <c r="Q291" t="str">
        <f t="shared" si="4"/>
        <v>Low Performance</v>
      </c>
      <c r="R291" s="2">
        <f>Table1_1[[#This Row],[tasks_completed]]/Table1_1[[#This Row],[monthly_hours_worked]]</f>
        <v>1.9255455712451859E-2</v>
      </c>
    </row>
    <row r="292" spans="1:18" x14ac:dyDescent="0.3">
      <c r="A292" t="s">
        <v>69</v>
      </c>
      <c r="B292" t="s">
        <v>17</v>
      </c>
      <c r="C292" t="s">
        <v>37</v>
      </c>
      <c r="D292" t="s">
        <v>19</v>
      </c>
      <c r="E292">
        <v>6</v>
      </c>
      <c r="F292">
        <v>142.30000000000001</v>
      </c>
      <c r="G292">
        <v>97.4</v>
      </c>
      <c r="H292">
        <v>1.3</v>
      </c>
      <c r="I292">
        <v>6</v>
      </c>
      <c r="J292">
        <v>5.66</v>
      </c>
      <c r="K292">
        <v>4.8899999999999997</v>
      </c>
      <c r="L292">
        <v>0</v>
      </c>
      <c r="M292" t="s">
        <v>25</v>
      </c>
      <c r="N292" t="s">
        <v>21</v>
      </c>
      <c r="O292">
        <v>7.66</v>
      </c>
      <c r="P292" s="1">
        <v>45352</v>
      </c>
      <c r="Q292" t="str">
        <f t="shared" si="4"/>
        <v>Low Performance</v>
      </c>
      <c r="R292" s="2">
        <f>Table1_1[[#This Row],[tasks_completed]]/Table1_1[[#This Row],[monthly_hours_worked]]</f>
        <v>4.216444132115249E-2</v>
      </c>
    </row>
    <row r="293" spans="1:18" x14ac:dyDescent="0.3">
      <c r="A293" t="s">
        <v>69</v>
      </c>
      <c r="B293" t="s">
        <v>23</v>
      </c>
      <c r="C293" t="s">
        <v>37</v>
      </c>
      <c r="D293" t="s">
        <v>19</v>
      </c>
      <c r="E293">
        <v>9</v>
      </c>
      <c r="F293">
        <v>150.19999999999999</v>
      </c>
      <c r="G293">
        <v>100</v>
      </c>
      <c r="H293">
        <v>4.8</v>
      </c>
      <c r="I293">
        <v>5</v>
      </c>
      <c r="J293">
        <v>5.56</v>
      </c>
      <c r="K293">
        <v>7.02</v>
      </c>
      <c r="L293">
        <v>0</v>
      </c>
      <c r="M293" t="s">
        <v>34</v>
      </c>
      <c r="N293" t="s">
        <v>26</v>
      </c>
      <c r="O293">
        <v>20.11</v>
      </c>
      <c r="P293" s="1">
        <v>45352</v>
      </c>
      <c r="Q293" t="str">
        <f t="shared" si="4"/>
        <v>High Performance</v>
      </c>
      <c r="R293" s="2">
        <f>Table1_1[[#This Row],[tasks_completed]]/Table1_1[[#This Row],[monthly_hours_worked]]</f>
        <v>3.3288948069241014E-2</v>
      </c>
    </row>
    <row r="294" spans="1:18" x14ac:dyDescent="0.3">
      <c r="A294" t="s">
        <v>69</v>
      </c>
      <c r="B294" t="s">
        <v>27</v>
      </c>
      <c r="C294" t="s">
        <v>37</v>
      </c>
      <c r="D294" t="s">
        <v>39</v>
      </c>
      <c r="E294">
        <v>7</v>
      </c>
      <c r="F294">
        <v>160.5</v>
      </c>
      <c r="G294">
        <v>96.2</v>
      </c>
      <c r="H294">
        <v>7.1</v>
      </c>
      <c r="I294">
        <v>10</v>
      </c>
      <c r="J294">
        <v>7.52</v>
      </c>
      <c r="K294">
        <v>6.51</v>
      </c>
      <c r="L294">
        <v>1</v>
      </c>
      <c r="M294" t="s">
        <v>34</v>
      </c>
      <c r="N294" t="s">
        <v>26</v>
      </c>
      <c r="O294">
        <v>10.07</v>
      </c>
      <c r="P294" s="1">
        <v>45383</v>
      </c>
      <c r="Q294" t="str">
        <f t="shared" si="4"/>
        <v>Medium Performance</v>
      </c>
      <c r="R294" s="2">
        <f>Table1_1[[#This Row],[tasks_completed]]/Table1_1[[#This Row],[monthly_hours_worked]]</f>
        <v>6.2305295950155763E-2</v>
      </c>
    </row>
    <row r="295" spans="1:18" x14ac:dyDescent="0.3">
      <c r="A295" t="s">
        <v>69</v>
      </c>
      <c r="B295" t="s">
        <v>33</v>
      </c>
      <c r="C295" t="s">
        <v>31</v>
      </c>
      <c r="D295" t="s">
        <v>19</v>
      </c>
      <c r="E295">
        <v>6</v>
      </c>
      <c r="F295">
        <v>155</v>
      </c>
      <c r="G295">
        <v>94.5</v>
      </c>
      <c r="H295">
        <v>4.7</v>
      </c>
      <c r="I295">
        <v>4</v>
      </c>
      <c r="J295">
        <v>8.1199999999999992</v>
      </c>
      <c r="K295">
        <v>6.2</v>
      </c>
      <c r="L295">
        <v>2</v>
      </c>
      <c r="M295" t="s">
        <v>34</v>
      </c>
      <c r="N295" t="s">
        <v>35</v>
      </c>
      <c r="O295">
        <v>14.52</v>
      </c>
      <c r="P295" s="1">
        <v>45413</v>
      </c>
      <c r="Q295" t="str">
        <f t="shared" si="4"/>
        <v>Medium Performance</v>
      </c>
      <c r="R295" s="2">
        <f>Table1_1[[#This Row],[tasks_completed]]/Table1_1[[#This Row],[monthly_hours_worked]]</f>
        <v>2.5806451612903226E-2</v>
      </c>
    </row>
    <row r="296" spans="1:18" x14ac:dyDescent="0.3">
      <c r="A296" t="s">
        <v>69</v>
      </c>
      <c r="B296" t="s">
        <v>17</v>
      </c>
      <c r="C296" t="s">
        <v>18</v>
      </c>
      <c r="D296" t="s">
        <v>19</v>
      </c>
      <c r="E296">
        <v>7</v>
      </c>
      <c r="F296">
        <v>136.69999999999999</v>
      </c>
      <c r="G296">
        <v>83.1</v>
      </c>
      <c r="H296">
        <v>6.2</v>
      </c>
      <c r="I296">
        <v>15</v>
      </c>
      <c r="J296">
        <v>9.4499999999999993</v>
      </c>
      <c r="K296">
        <v>7.92</v>
      </c>
      <c r="L296">
        <v>1</v>
      </c>
      <c r="M296" t="s">
        <v>34</v>
      </c>
      <c r="N296" t="s">
        <v>26</v>
      </c>
      <c r="O296">
        <v>14.53</v>
      </c>
      <c r="P296" s="1">
        <v>45444</v>
      </c>
      <c r="Q296" t="str">
        <f t="shared" si="4"/>
        <v>Medium Performance</v>
      </c>
      <c r="R296" s="2">
        <f>Table1_1[[#This Row],[tasks_completed]]/Table1_1[[#This Row],[monthly_hours_worked]]</f>
        <v>0.1097293343087052</v>
      </c>
    </row>
    <row r="297" spans="1:18" x14ac:dyDescent="0.3">
      <c r="A297" t="s">
        <v>69</v>
      </c>
      <c r="B297" t="s">
        <v>23</v>
      </c>
      <c r="C297" t="s">
        <v>31</v>
      </c>
      <c r="D297" t="s">
        <v>39</v>
      </c>
      <c r="E297">
        <v>3</v>
      </c>
      <c r="F297">
        <v>171.8</v>
      </c>
      <c r="G297">
        <v>100</v>
      </c>
      <c r="H297">
        <v>3</v>
      </c>
      <c r="I297">
        <v>5</v>
      </c>
      <c r="J297">
        <v>9.61</v>
      </c>
      <c r="K297">
        <v>6.34</v>
      </c>
      <c r="L297">
        <v>1</v>
      </c>
      <c r="M297" t="s">
        <v>25</v>
      </c>
      <c r="N297" t="s">
        <v>35</v>
      </c>
      <c r="O297">
        <v>17.850000000000001</v>
      </c>
      <c r="P297" s="1">
        <v>45474</v>
      </c>
      <c r="Q297" t="str">
        <f t="shared" si="4"/>
        <v>High Performance</v>
      </c>
      <c r="R297" s="2">
        <f>Table1_1[[#This Row],[tasks_completed]]/Table1_1[[#This Row],[monthly_hours_worked]]</f>
        <v>2.9103608847497089E-2</v>
      </c>
    </row>
    <row r="298" spans="1:18" x14ac:dyDescent="0.3">
      <c r="A298" t="s">
        <v>69</v>
      </c>
      <c r="B298" t="s">
        <v>33</v>
      </c>
      <c r="C298" t="s">
        <v>31</v>
      </c>
      <c r="D298" t="s">
        <v>39</v>
      </c>
      <c r="E298">
        <v>6</v>
      </c>
      <c r="F298">
        <v>161.30000000000001</v>
      </c>
      <c r="G298">
        <v>91.3</v>
      </c>
      <c r="H298">
        <v>5.9</v>
      </c>
      <c r="I298">
        <v>4</v>
      </c>
      <c r="J298">
        <v>8.56</v>
      </c>
      <c r="K298">
        <v>3.92</v>
      </c>
      <c r="L298">
        <v>1</v>
      </c>
      <c r="M298" t="s">
        <v>20</v>
      </c>
      <c r="N298" t="s">
        <v>26</v>
      </c>
      <c r="O298">
        <v>13.95</v>
      </c>
      <c r="P298" s="1">
        <v>45505</v>
      </c>
      <c r="Q298" t="str">
        <f t="shared" si="4"/>
        <v>Medium Performance</v>
      </c>
      <c r="R298" s="2">
        <f>Table1_1[[#This Row],[tasks_completed]]/Table1_1[[#This Row],[monthly_hours_worked]]</f>
        <v>2.4798512089274641E-2</v>
      </c>
    </row>
    <row r="299" spans="1:18" x14ac:dyDescent="0.3">
      <c r="A299" t="s">
        <v>69</v>
      </c>
      <c r="B299" t="s">
        <v>17</v>
      </c>
      <c r="C299" t="s">
        <v>37</v>
      </c>
      <c r="D299" t="s">
        <v>39</v>
      </c>
      <c r="E299">
        <v>9</v>
      </c>
      <c r="F299">
        <v>167.2</v>
      </c>
      <c r="G299">
        <v>92.1</v>
      </c>
      <c r="H299">
        <v>3.4</v>
      </c>
      <c r="I299">
        <v>6</v>
      </c>
      <c r="J299">
        <v>7.03</v>
      </c>
      <c r="K299">
        <v>7.74</v>
      </c>
      <c r="L299">
        <v>0</v>
      </c>
      <c r="M299" t="s">
        <v>20</v>
      </c>
      <c r="N299" t="s">
        <v>26</v>
      </c>
      <c r="O299">
        <v>16.45</v>
      </c>
      <c r="P299" s="1">
        <v>45536</v>
      </c>
      <c r="Q299" t="str">
        <f t="shared" si="4"/>
        <v>High Performance</v>
      </c>
      <c r="R299" s="2">
        <f>Table1_1[[#This Row],[tasks_completed]]/Table1_1[[#This Row],[monthly_hours_worked]]</f>
        <v>3.5885167464114832E-2</v>
      </c>
    </row>
    <row r="300" spans="1:18" x14ac:dyDescent="0.3">
      <c r="A300" t="s">
        <v>69</v>
      </c>
      <c r="B300" t="s">
        <v>33</v>
      </c>
      <c r="C300" t="s">
        <v>37</v>
      </c>
      <c r="D300" t="s">
        <v>29</v>
      </c>
      <c r="E300">
        <v>2</v>
      </c>
      <c r="F300">
        <v>162.1</v>
      </c>
      <c r="G300">
        <v>94.2</v>
      </c>
      <c r="H300">
        <v>10.4</v>
      </c>
      <c r="I300">
        <v>4</v>
      </c>
      <c r="J300">
        <v>7.6</v>
      </c>
      <c r="K300">
        <v>10</v>
      </c>
      <c r="L300">
        <v>0</v>
      </c>
      <c r="M300" t="s">
        <v>34</v>
      </c>
      <c r="N300" t="s">
        <v>35</v>
      </c>
      <c r="O300">
        <v>13.35</v>
      </c>
      <c r="P300" s="1">
        <v>45566</v>
      </c>
      <c r="Q300" t="str">
        <f t="shared" si="4"/>
        <v>Medium Performance</v>
      </c>
      <c r="R300" s="2">
        <f>Table1_1[[#This Row],[tasks_completed]]/Table1_1[[#This Row],[monthly_hours_worked]]</f>
        <v>2.4676125848241828E-2</v>
      </c>
    </row>
    <row r="301" spans="1:18" x14ac:dyDescent="0.3">
      <c r="A301" t="s">
        <v>69</v>
      </c>
      <c r="B301" t="s">
        <v>17</v>
      </c>
      <c r="C301" t="s">
        <v>18</v>
      </c>
      <c r="D301" t="s">
        <v>29</v>
      </c>
      <c r="E301">
        <v>1</v>
      </c>
      <c r="F301">
        <v>154.19999999999999</v>
      </c>
      <c r="G301">
        <v>80.5</v>
      </c>
      <c r="H301">
        <v>6.4</v>
      </c>
      <c r="I301">
        <v>13</v>
      </c>
      <c r="J301">
        <v>7.12</v>
      </c>
      <c r="K301">
        <v>6.75</v>
      </c>
      <c r="L301">
        <v>1</v>
      </c>
      <c r="M301" t="s">
        <v>25</v>
      </c>
      <c r="N301" t="s">
        <v>35</v>
      </c>
      <c r="O301">
        <v>10.58</v>
      </c>
      <c r="P301" s="1">
        <v>45597</v>
      </c>
      <c r="Q301" t="str">
        <f t="shared" si="4"/>
        <v>Medium Performance</v>
      </c>
      <c r="R301" s="2">
        <f>Table1_1[[#This Row],[tasks_completed]]/Table1_1[[#This Row],[monthly_hours_worked]]</f>
        <v>8.4306095979247736E-2</v>
      </c>
    </row>
    <row r="302" spans="1:18" x14ac:dyDescent="0.3">
      <c r="A302" t="s">
        <v>70</v>
      </c>
      <c r="B302" t="s">
        <v>17</v>
      </c>
      <c r="C302" t="s">
        <v>37</v>
      </c>
      <c r="D302" t="s">
        <v>29</v>
      </c>
      <c r="E302">
        <v>10</v>
      </c>
      <c r="F302">
        <v>149.69999999999999</v>
      </c>
      <c r="G302">
        <v>100</v>
      </c>
      <c r="H302">
        <v>4.2</v>
      </c>
      <c r="I302">
        <v>5</v>
      </c>
      <c r="K302">
        <v>5.31</v>
      </c>
      <c r="L302">
        <v>0</v>
      </c>
      <c r="M302" t="s">
        <v>34</v>
      </c>
      <c r="N302" t="s">
        <v>21</v>
      </c>
      <c r="O302">
        <v>12.94</v>
      </c>
      <c r="P302" s="1">
        <v>45292</v>
      </c>
      <c r="Q302" t="str">
        <f t="shared" si="4"/>
        <v>Medium Performance</v>
      </c>
      <c r="R302" s="2">
        <f>Table1_1[[#This Row],[tasks_completed]]/Table1_1[[#This Row],[monthly_hours_worked]]</f>
        <v>3.3400133600534405E-2</v>
      </c>
    </row>
    <row r="303" spans="1:18" x14ac:dyDescent="0.3">
      <c r="A303" t="s">
        <v>70</v>
      </c>
      <c r="B303" t="s">
        <v>27</v>
      </c>
      <c r="C303" t="s">
        <v>41</v>
      </c>
      <c r="D303" t="s">
        <v>19</v>
      </c>
      <c r="E303">
        <v>10</v>
      </c>
      <c r="F303">
        <v>159.1</v>
      </c>
      <c r="G303">
        <v>97.7</v>
      </c>
      <c r="H303">
        <v>6.9</v>
      </c>
      <c r="I303">
        <v>5</v>
      </c>
      <c r="J303">
        <v>7.41</v>
      </c>
      <c r="K303">
        <v>8.92</v>
      </c>
      <c r="L303">
        <v>0</v>
      </c>
      <c r="M303" t="s">
        <v>20</v>
      </c>
      <c r="N303" t="s">
        <v>26</v>
      </c>
      <c r="O303">
        <v>16.73</v>
      </c>
      <c r="P303" s="1">
        <v>45292</v>
      </c>
      <c r="Q303" t="str">
        <f t="shared" si="4"/>
        <v>High Performance</v>
      </c>
      <c r="R303" s="2">
        <f>Table1_1[[#This Row],[tasks_completed]]/Table1_1[[#This Row],[monthly_hours_worked]]</f>
        <v>3.1426775612822123E-2</v>
      </c>
    </row>
    <row r="304" spans="1:18" x14ac:dyDescent="0.3">
      <c r="A304" t="s">
        <v>70</v>
      </c>
      <c r="B304" t="s">
        <v>17</v>
      </c>
      <c r="C304" t="s">
        <v>31</v>
      </c>
      <c r="D304" t="s">
        <v>39</v>
      </c>
      <c r="E304">
        <v>4</v>
      </c>
      <c r="F304">
        <v>179.1</v>
      </c>
      <c r="G304">
        <v>94.6</v>
      </c>
      <c r="H304">
        <v>4.5</v>
      </c>
      <c r="I304">
        <v>5</v>
      </c>
      <c r="J304">
        <v>9.14</v>
      </c>
      <c r="K304">
        <v>7.72</v>
      </c>
      <c r="L304">
        <v>0</v>
      </c>
      <c r="M304" t="s">
        <v>34</v>
      </c>
      <c r="N304" t="s">
        <v>35</v>
      </c>
      <c r="O304">
        <v>19.07</v>
      </c>
      <c r="P304" s="1">
        <v>45352</v>
      </c>
      <c r="Q304" t="str">
        <f t="shared" si="4"/>
        <v>High Performance</v>
      </c>
      <c r="R304" s="2">
        <f>Table1_1[[#This Row],[tasks_completed]]/Table1_1[[#This Row],[monthly_hours_worked]]</f>
        <v>2.7917364600781688E-2</v>
      </c>
    </row>
    <row r="305" spans="1:18" x14ac:dyDescent="0.3">
      <c r="A305" t="s">
        <v>70</v>
      </c>
      <c r="B305" t="s">
        <v>17</v>
      </c>
      <c r="C305" t="s">
        <v>37</v>
      </c>
      <c r="D305" t="s">
        <v>19</v>
      </c>
      <c r="E305">
        <v>8</v>
      </c>
      <c r="F305">
        <v>171.6</v>
      </c>
      <c r="G305">
        <v>94.6</v>
      </c>
      <c r="I305">
        <v>5</v>
      </c>
      <c r="J305">
        <v>6.95</v>
      </c>
      <c r="K305">
        <v>7.63</v>
      </c>
      <c r="L305">
        <v>0</v>
      </c>
      <c r="M305" t="s">
        <v>20</v>
      </c>
      <c r="N305" t="s">
        <v>35</v>
      </c>
      <c r="O305">
        <v>22.9</v>
      </c>
      <c r="P305" s="1">
        <v>45352</v>
      </c>
      <c r="Q305" t="str">
        <f t="shared" si="4"/>
        <v>High Performance</v>
      </c>
      <c r="R305" s="2">
        <f>Table1_1[[#This Row],[tasks_completed]]/Table1_1[[#This Row],[monthly_hours_worked]]</f>
        <v>2.913752913752914E-2</v>
      </c>
    </row>
    <row r="306" spans="1:18" x14ac:dyDescent="0.3">
      <c r="A306" t="s">
        <v>70</v>
      </c>
      <c r="B306" t="s">
        <v>17</v>
      </c>
      <c r="C306" t="s">
        <v>41</v>
      </c>
      <c r="D306" t="s">
        <v>19</v>
      </c>
      <c r="E306">
        <v>6</v>
      </c>
      <c r="F306">
        <v>166.3</v>
      </c>
      <c r="G306">
        <v>85.6</v>
      </c>
      <c r="H306">
        <v>5.8</v>
      </c>
      <c r="I306">
        <v>6</v>
      </c>
      <c r="J306">
        <v>8.82</v>
      </c>
      <c r="K306">
        <v>5.78</v>
      </c>
      <c r="L306">
        <v>0</v>
      </c>
      <c r="M306" t="s">
        <v>25</v>
      </c>
      <c r="N306" t="s">
        <v>21</v>
      </c>
      <c r="O306">
        <v>14.65</v>
      </c>
      <c r="P306" s="1">
        <v>45383</v>
      </c>
      <c r="Q306" t="str">
        <f t="shared" si="4"/>
        <v>Medium Performance</v>
      </c>
      <c r="R306" s="2">
        <f>Table1_1[[#This Row],[tasks_completed]]/Table1_1[[#This Row],[monthly_hours_worked]]</f>
        <v>3.6079374624173176E-2</v>
      </c>
    </row>
    <row r="307" spans="1:18" x14ac:dyDescent="0.3">
      <c r="A307" t="s">
        <v>70</v>
      </c>
      <c r="B307" t="s">
        <v>43</v>
      </c>
      <c r="C307" t="s">
        <v>24</v>
      </c>
      <c r="D307" t="s">
        <v>29</v>
      </c>
      <c r="E307">
        <v>3</v>
      </c>
      <c r="F307">
        <v>153.1</v>
      </c>
      <c r="G307">
        <v>94.9</v>
      </c>
      <c r="H307">
        <v>6.1</v>
      </c>
      <c r="I307">
        <v>6</v>
      </c>
      <c r="J307">
        <v>6.21</v>
      </c>
      <c r="K307">
        <v>6.69</v>
      </c>
      <c r="L307">
        <v>0</v>
      </c>
      <c r="M307" t="s">
        <v>20</v>
      </c>
      <c r="N307" t="s">
        <v>26</v>
      </c>
      <c r="O307">
        <v>3.08</v>
      </c>
      <c r="P307" s="1">
        <v>45413</v>
      </c>
      <c r="Q307" t="str">
        <f t="shared" si="4"/>
        <v>Low Performance</v>
      </c>
      <c r="R307" s="2">
        <f>Table1_1[[#This Row],[tasks_completed]]/Table1_1[[#This Row],[monthly_hours_worked]]</f>
        <v>3.9190071848465055E-2</v>
      </c>
    </row>
    <row r="308" spans="1:18" x14ac:dyDescent="0.3">
      <c r="A308" t="s">
        <v>70</v>
      </c>
      <c r="B308" t="s">
        <v>33</v>
      </c>
      <c r="C308" t="s">
        <v>18</v>
      </c>
      <c r="D308" t="s">
        <v>39</v>
      </c>
      <c r="E308">
        <v>9</v>
      </c>
      <c r="F308">
        <v>144.1</v>
      </c>
      <c r="G308">
        <v>91.7</v>
      </c>
      <c r="H308">
        <v>5.8</v>
      </c>
      <c r="I308">
        <v>8</v>
      </c>
      <c r="K308">
        <v>3.97</v>
      </c>
      <c r="L308">
        <v>1</v>
      </c>
      <c r="M308" t="s">
        <v>34</v>
      </c>
      <c r="N308" t="s">
        <v>21</v>
      </c>
      <c r="O308">
        <v>9.3699999999999992</v>
      </c>
      <c r="P308" s="1">
        <v>45444</v>
      </c>
      <c r="Q308" t="str">
        <f t="shared" si="4"/>
        <v>Low Performance</v>
      </c>
      <c r="R308" s="2">
        <f>Table1_1[[#This Row],[tasks_completed]]/Table1_1[[#This Row],[monthly_hours_worked]]</f>
        <v>5.5517002081887583E-2</v>
      </c>
    </row>
    <row r="309" spans="1:18" x14ac:dyDescent="0.3">
      <c r="A309" t="s">
        <v>70</v>
      </c>
      <c r="B309" t="s">
        <v>43</v>
      </c>
      <c r="C309" t="s">
        <v>41</v>
      </c>
      <c r="D309" t="s">
        <v>19</v>
      </c>
      <c r="E309">
        <v>6</v>
      </c>
      <c r="F309">
        <v>159.69999999999999</v>
      </c>
      <c r="G309">
        <v>92.3</v>
      </c>
      <c r="H309">
        <v>6.2</v>
      </c>
      <c r="I309">
        <v>3</v>
      </c>
      <c r="J309">
        <v>7.15</v>
      </c>
      <c r="K309">
        <v>10</v>
      </c>
      <c r="L309">
        <v>0</v>
      </c>
      <c r="M309" t="s">
        <v>34</v>
      </c>
      <c r="N309" t="s">
        <v>26</v>
      </c>
      <c r="O309">
        <v>15.2</v>
      </c>
      <c r="P309" s="1">
        <v>45474</v>
      </c>
      <c r="Q309" t="str">
        <f t="shared" si="4"/>
        <v>High Performance</v>
      </c>
      <c r="R309" s="2">
        <f>Table1_1[[#This Row],[tasks_completed]]/Table1_1[[#This Row],[monthly_hours_worked]]</f>
        <v>1.8785222291797122E-2</v>
      </c>
    </row>
    <row r="310" spans="1:18" x14ac:dyDescent="0.3">
      <c r="A310" t="s">
        <v>70</v>
      </c>
      <c r="B310" t="s">
        <v>27</v>
      </c>
      <c r="C310" t="s">
        <v>18</v>
      </c>
      <c r="D310" t="s">
        <v>19</v>
      </c>
      <c r="E310">
        <v>8</v>
      </c>
      <c r="F310">
        <v>175</v>
      </c>
      <c r="G310">
        <v>94.3</v>
      </c>
      <c r="H310">
        <v>4.4000000000000004</v>
      </c>
      <c r="I310">
        <v>8</v>
      </c>
      <c r="J310">
        <v>9.93</v>
      </c>
      <c r="K310">
        <v>3.19</v>
      </c>
      <c r="L310">
        <v>1</v>
      </c>
      <c r="M310" t="s">
        <v>34</v>
      </c>
      <c r="N310" t="s">
        <v>26</v>
      </c>
      <c r="O310">
        <v>7.74</v>
      </c>
      <c r="P310" s="1">
        <v>45505</v>
      </c>
      <c r="Q310" t="str">
        <f t="shared" si="4"/>
        <v>Low Performance</v>
      </c>
      <c r="R310" s="2">
        <f>Table1_1[[#This Row],[tasks_completed]]/Table1_1[[#This Row],[monthly_hours_worked]]</f>
        <v>4.5714285714285714E-2</v>
      </c>
    </row>
    <row r="311" spans="1:18" x14ac:dyDescent="0.3">
      <c r="A311" t="s">
        <v>70</v>
      </c>
      <c r="B311" t="s">
        <v>33</v>
      </c>
      <c r="C311" t="s">
        <v>18</v>
      </c>
      <c r="D311" t="s">
        <v>29</v>
      </c>
      <c r="E311">
        <v>7</v>
      </c>
      <c r="F311">
        <v>171.8</v>
      </c>
      <c r="G311">
        <v>93.9</v>
      </c>
      <c r="H311">
        <v>4</v>
      </c>
      <c r="I311">
        <v>4</v>
      </c>
      <c r="J311">
        <v>5.13</v>
      </c>
      <c r="K311">
        <v>5.64</v>
      </c>
      <c r="L311">
        <v>0</v>
      </c>
      <c r="M311" t="s">
        <v>20</v>
      </c>
      <c r="N311" t="s">
        <v>26</v>
      </c>
      <c r="O311">
        <v>10.96</v>
      </c>
      <c r="P311" s="1">
        <v>45536</v>
      </c>
      <c r="Q311" t="str">
        <f t="shared" si="4"/>
        <v>Medium Performance</v>
      </c>
      <c r="R311" s="2">
        <f>Table1_1[[#This Row],[tasks_completed]]/Table1_1[[#This Row],[monthly_hours_worked]]</f>
        <v>2.3282887077997669E-2</v>
      </c>
    </row>
    <row r="312" spans="1:18" x14ac:dyDescent="0.3">
      <c r="A312" t="s">
        <v>70</v>
      </c>
      <c r="B312" t="s">
        <v>33</v>
      </c>
      <c r="C312" t="s">
        <v>37</v>
      </c>
      <c r="D312" t="s">
        <v>39</v>
      </c>
      <c r="E312">
        <v>10</v>
      </c>
      <c r="F312">
        <v>161.9</v>
      </c>
      <c r="G312">
        <v>100</v>
      </c>
      <c r="H312">
        <v>1.3</v>
      </c>
      <c r="I312">
        <v>6</v>
      </c>
      <c r="J312">
        <v>7.71</v>
      </c>
      <c r="K312">
        <v>6.66</v>
      </c>
      <c r="L312">
        <v>0</v>
      </c>
      <c r="M312" t="s">
        <v>25</v>
      </c>
      <c r="N312" t="s">
        <v>21</v>
      </c>
      <c r="O312">
        <v>9.69</v>
      </c>
      <c r="P312" s="1">
        <v>45566</v>
      </c>
      <c r="Q312" t="str">
        <f t="shared" si="4"/>
        <v>Low Performance</v>
      </c>
      <c r="R312" s="2">
        <f>Table1_1[[#This Row],[tasks_completed]]/Table1_1[[#This Row],[monthly_hours_worked]]</f>
        <v>3.7059913526868438E-2</v>
      </c>
    </row>
    <row r="313" spans="1:18" x14ac:dyDescent="0.3">
      <c r="A313" t="s">
        <v>70</v>
      </c>
      <c r="B313" t="s">
        <v>23</v>
      </c>
      <c r="C313" t="s">
        <v>41</v>
      </c>
      <c r="D313" t="s">
        <v>19</v>
      </c>
      <c r="E313">
        <v>2</v>
      </c>
      <c r="F313">
        <v>162</v>
      </c>
      <c r="G313">
        <v>98.8</v>
      </c>
      <c r="H313">
        <v>1.8</v>
      </c>
      <c r="I313">
        <v>5</v>
      </c>
      <c r="J313">
        <v>7.95</v>
      </c>
      <c r="K313">
        <v>6.79</v>
      </c>
      <c r="L313">
        <v>0</v>
      </c>
      <c r="M313" t="s">
        <v>20</v>
      </c>
      <c r="N313" t="s">
        <v>21</v>
      </c>
      <c r="O313">
        <v>15.34</v>
      </c>
      <c r="P313" s="1">
        <v>45597</v>
      </c>
      <c r="Q313" t="str">
        <f t="shared" si="4"/>
        <v>High Performance</v>
      </c>
      <c r="R313" s="2">
        <f>Table1_1[[#This Row],[tasks_completed]]/Table1_1[[#This Row],[monthly_hours_worked]]</f>
        <v>3.0864197530864196E-2</v>
      </c>
    </row>
    <row r="314" spans="1:18" x14ac:dyDescent="0.3">
      <c r="A314" t="s">
        <v>71</v>
      </c>
      <c r="B314" t="s">
        <v>23</v>
      </c>
      <c r="C314" t="s">
        <v>18</v>
      </c>
      <c r="D314" t="s">
        <v>29</v>
      </c>
      <c r="E314">
        <v>2</v>
      </c>
      <c r="F314">
        <v>155.9</v>
      </c>
      <c r="G314">
        <v>99.7</v>
      </c>
      <c r="H314">
        <v>4.0999999999999996</v>
      </c>
      <c r="I314">
        <v>7</v>
      </c>
      <c r="J314">
        <v>8.1199999999999992</v>
      </c>
      <c r="K314">
        <v>3.78</v>
      </c>
      <c r="L314">
        <v>0</v>
      </c>
      <c r="M314" t="s">
        <v>34</v>
      </c>
      <c r="N314" t="s">
        <v>26</v>
      </c>
      <c r="O314">
        <v>9.77</v>
      </c>
      <c r="P314" s="1">
        <v>45292</v>
      </c>
      <c r="Q314" t="str">
        <f t="shared" si="4"/>
        <v>Low Performance</v>
      </c>
      <c r="R314" s="2">
        <f>Table1_1[[#This Row],[tasks_completed]]/Table1_1[[#This Row],[monthly_hours_worked]]</f>
        <v>4.4900577293136623E-2</v>
      </c>
    </row>
    <row r="315" spans="1:18" x14ac:dyDescent="0.3">
      <c r="A315" t="s">
        <v>71</v>
      </c>
      <c r="B315" t="s">
        <v>23</v>
      </c>
      <c r="C315" t="s">
        <v>31</v>
      </c>
      <c r="D315" t="s">
        <v>39</v>
      </c>
      <c r="E315">
        <v>4</v>
      </c>
      <c r="F315">
        <v>158.4</v>
      </c>
      <c r="G315">
        <v>100</v>
      </c>
      <c r="H315">
        <v>6.1</v>
      </c>
      <c r="I315">
        <v>3</v>
      </c>
      <c r="J315">
        <v>5.51</v>
      </c>
      <c r="K315">
        <v>6.42</v>
      </c>
      <c r="L315">
        <v>1</v>
      </c>
      <c r="M315" t="s">
        <v>20</v>
      </c>
      <c r="N315" t="s">
        <v>35</v>
      </c>
      <c r="O315">
        <v>11.39</v>
      </c>
      <c r="P315" s="1">
        <v>45292</v>
      </c>
      <c r="Q315" t="str">
        <f t="shared" si="4"/>
        <v>Medium Performance</v>
      </c>
      <c r="R315" s="2">
        <f>Table1_1[[#This Row],[tasks_completed]]/Table1_1[[#This Row],[monthly_hours_worked]]</f>
        <v>1.893939393939394E-2</v>
      </c>
    </row>
    <row r="316" spans="1:18" x14ac:dyDescent="0.3">
      <c r="A316" t="s">
        <v>71</v>
      </c>
      <c r="B316" t="s">
        <v>23</v>
      </c>
      <c r="C316" t="s">
        <v>37</v>
      </c>
      <c r="D316" t="s">
        <v>39</v>
      </c>
      <c r="E316">
        <v>4</v>
      </c>
      <c r="F316">
        <v>164</v>
      </c>
      <c r="G316">
        <v>97.2</v>
      </c>
      <c r="H316">
        <v>2</v>
      </c>
      <c r="I316">
        <v>5</v>
      </c>
      <c r="J316">
        <v>6.15</v>
      </c>
      <c r="K316">
        <v>5.74</v>
      </c>
      <c r="L316">
        <v>1</v>
      </c>
      <c r="M316" t="s">
        <v>34</v>
      </c>
      <c r="N316" t="s">
        <v>35</v>
      </c>
      <c r="O316">
        <v>0</v>
      </c>
      <c r="P316" s="1">
        <v>45352</v>
      </c>
      <c r="Q316" t="str">
        <f t="shared" si="4"/>
        <v>Low Performance</v>
      </c>
      <c r="R316" s="2">
        <f>Table1_1[[#This Row],[tasks_completed]]/Table1_1[[#This Row],[monthly_hours_worked]]</f>
        <v>3.048780487804878E-2</v>
      </c>
    </row>
    <row r="317" spans="1:18" x14ac:dyDescent="0.3">
      <c r="A317" t="s">
        <v>71</v>
      </c>
      <c r="B317" t="s">
        <v>27</v>
      </c>
      <c r="C317" t="s">
        <v>41</v>
      </c>
      <c r="D317" t="s">
        <v>29</v>
      </c>
      <c r="E317">
        <v>10</v>
      </c>
      <c r="F317">
        <v>179.3</v>
      </c>
      <c r="G317">
        <v>89.6</v>
      </c>
      <c r="H317">
        <v>6.1</v>
      </c>
      <c r="I317">
        <v>4</v>
      </c>
      <c r="J317">
        <v>5.62</v>
      </c>
      <c r="K317">
        <v>4.1399999999999997</v>
      </c>
      <c r="L317">
        <v>0</v>
      </c>
      <c r="M317" t="s">
        <v>25</v>
      </c>
      <c r="N317" t="s">
        <v>21</v>
      </c>
      <c r="O317">
        <v>9.5399999999999991</v>
      </c>
      <c r="P317" s="1">
        <v>45352</v>
      </c>
      <c r="Q317" t="str">
        <f t="shared" si="4"/>
        <v>Low Performance</v>
      </c>
      <c r="R317" s="2">
        <f>Table1_1[[#This Row],[tasks_completed]]/Table1_1[[#This Row],[monthly_hours_worked]]</f>
        <v>2.2308979364194088E-2</v>
      </c>
    </row>
    <row r="318" spans="1:18" x14ac:dyDescent="0.3">
      <c r="A318" t="s">
        <v>71</v>
      </c>
      <c r="B318" t="s">
        <v>23</v>
      </c>
      <c r="C318" t="s">
        <v>41</v>
      </c>
      <c r="D318" t="s">
        <v>29</v>
      </c>
      <c r="E318">
        <v>6</v>
      </c>
      <c r="F318">
        <v>172.1</v>
      </c>
      <c r="G318">
        <v>92.5</v>
      </c>
      <c r="H318">
        <v>7.1</v>
      </c>
      <c r="I318">
        <v>6</v>
      </c>
      <c r="J318">
        <v>7.22</v>
      </c>
      <c r="K318">
        <v>10</v>
      </c>
      <c r="L318">
        <v>0</v>
      </c>
      <c r="M318" t="s">
        <v>34</v>
      </c>
      <c r="N318" t="s">
        <v>21</v>
      </c>
      <c r="O318">
        <v>12.18</v>
      </c>
      <c r="P318" s="1">
        <v>45383</v>
      </c>
      <c r="Q318" t="str">
        <f t="shared" si="4"/>
        <v>Medium Performance</v>
      </c>
      <c r="R318" s="2">
        <f>Table1_1[[#This Row],[tasks_completed]]/Table1_1[[#This Row],[monthly_hours_worked]]</f>
        <v>3.4863451481696686E-2</v>
      </c>
    </row>
    <row r="319" spans="1:18" x14ac:dyDescent="0.3">
      <c r="A319" t="s">
        <v>71</v>
      </c>
      <c r="B319" t="s">
        <v>33</v>
      </c>
      <c r="C319" t="s">
        <v>31</v>
      </c>
      <c r="D319" t="s">
        <v>19</v>
      </c>
      <c r="E319">
        <v>4</v>
      </c>
      <c r="F319">
        <v>157.6</v>
      </c>
      <c r="G319">
        <v>85.5</v>
      </c>
      <c r="H319">
        <v>4.0999999999999996</v>
      </c>
      <c r="I319">
        <v>4</v>
      </c>
      <c r="J319">
        <v>5.94</v>
      </c>
      <c r="K319">
        <v>10</v>
      </c>
      <c r="L319">
        <v>0</v>
      </c>
      <c r="M319" t="s">
        <v>20</v>
      </c>
      <c r="N319" t="s">
        <v>35</v>
      </c>
      <c r="O319">
        <v>17.36</v>
      </c>
      <c r="P319" s="1">
        <v>45413</v>
      </c>
      <c r="Q319" t="str">
        <f t="shared" si="4"/>
        <v>High Performance</v>
      </c>
      <c r="R319" s="2">
        <f>Table1_1[[#This Row],[tasks_completed]]/Table1_1[[#This Row],[monthly_hours_worked]]</f>
        <v>2.5380710659898477E-2</v>
      </c>
    </row>
    <row r="320" spans="1:18" x14ac:dyDescent="0.3">
      <c r="A320" t="s">
        <v>71</v>
      </c>
      <c r="B320" t="s">
        <v>27</v>
      </c>
      <c r="C320" t="s">
        <v>31</v>
      </c>
      <c r="D320" t="s">
        <v>39</v>
      </c>
      <c r="E320">
        <v>1</v>
      </c>
      <c r="F320">
        <v>166.4</v>
      </c>
      <c r="G320">
        <v>86.9</v>
      </c>
      <c r="H320">
        <v>5.2</v>
      </c>
      <c r="I320">
        <v>8</v>
      </c>
      <c r="J320">
        <v>7.4</v>
      </c>
      <c r="K320">
        <v>10</v>
      </c>
      <c r="L320">
        <v>0</v>
      </c>
      <c r="M320" t="s">
        <v>20</v>
      </c>
      <c r="N320" t="s">
        <v>21</v>
      </c>
      <c r="O320">
        <v>14.96</v>
      </c>
      <c r="P320" s="1">
        <v>45444</v>
      </c>
      <c r="Q320" t="str">
        <f t="shared" si="4"/>
        <v>Medium Performance</v>
      </c>
      <c r="R320" s="2">
        <f>Table1_1[[#This Row],[tasks_completed]]/Table1_1[[#This Row],[monthly_hours_worked]]</f>
        <v>4.8076923076923073E-2</v>
      </c>
    </row>
    <row r="321" spans="1:18" x14ac:dyDescent="0.3">
      <c r="A321" t="s">
        <v>71</v>
      </c>
      <c r="B321" t="s">
        <v>27</v>
      </c>
      <c r="C321" t="s">
        <v>18</v>
      </c>
      <c r="D321" t="s">
        <v>39</v>
      </c>
      <c r="E321">
        <v>4</v>
      </c>
      <c r="F321">
        <v>167.9</v>
      </c>
      <c r="G321">
        <v>100</v>
      </c>
      <c r="H321">
        <v>3.1</v>
      </c>
      <c r="I321">
        <v>4</v>
      </c>
      <c r="J321">
        <v>7.23</v>
      </c>
      <c r="K321">
        <v>5.29</v>
      </c>
      <c r="L321">
        <v>0</v>
      </c>
      <c r="M321" t="s">
        <v>20</v>
      </c>
      <c r="N321" t="s">
        <v>21</v>
      </c>
      <c r="O321">
        <v>4.99</v>
      </c>
      <c r="P321" s="1">
        <v>45474</v>
      </c>
      <c r="Q321" t="str">
        <f t="shared" si="4"/>
        <v>Low Performance</v>
      </c>
      <c r="R321" s="2">
        <f>Table1_1[[#This Row],[tasks_completed]]/Table1_1[[#This Row],[monthly_hours_worked]]</f>
        <v>2.3823704586063133E-2</v>
      </c>
    </row>
    <row r="322" spans="1:18" x14ac:dyDescent="0.3">
      <c r="A322" t="s">
        <v>71</v>
      </c>
      <c r="B322" t="s">
        <v>33</v>
      </c>
      <c r="C322" t="s">
        <v>41</v>
      </c>
      <c r="D322" t="s">
        <v>39</v>
      </c>
      <c r="E322">
        <v>5</v>
      </c>
      <c r="F322">
        <v>155.69999999999999</v>
      </c>
      <c r="G322">
        <v>99</v>
      </c>
      <c r="H322">
        <v>4.4000000000000004</v>
      </c>
      <c r="I322">
        <v>5</v>
      </c>
      <c r="J322">
        <v>7.13</v>
      </c>
      <c r="K322">
        <v>6.65</v>
      </c>
      <c r="L322">
        <v>2</v>
      </c>
      <c r="M322" t="s">
        <v>34</v>
      </c>
      <c r="N322" t="s">
        <v>26</v>
      </c>
      <c r="O322">
        <v>16.11</v>
      </c>
      <c r="P322" s="1">
        <v>45505</v>
      </c>
      <c r="Q322" t="str">
        <f t="shared" ref="Q322:Q385" si="5">IF(O322&gt;=15, "High Performance", IF(O322&gt;=10, "Medium Performance", "Low Performance"))</f>
        <v>High Performance</v>
      </c>
      <c r="R322" s="2">
        <f>Table1_1[[#This Row],[tasks_completed]]/Table1_1[[#This Row],[monthly_hours_worked]]</f>
        <v>3.2113037893384717E-2</v>
      </c>
    </row>
    <row r="323" spans="1:18" x14ac:dyDescent="0.3">
      <c r="A323" t="s">
        <v>71</v>
      </c>
      <c r="B323" t="s">
        <v>33</v>
      </c>
      <c r="C323" t="s">
        <v>18</v>
      </c>
      <c r="D323" t="s">
        <v>29</v>
      </c>
      <c r="E323">
        <v>10</v>
      </c>
      <c r="F323">
        <v>156.1</v>
      </c>
      <c r="G323">
        <v>94.3</v>
      </c>
      <c r="H323">
        <v>1.7</v>
      </c>
      <c r="I323">
        <v>7</v>
      </c>
      <c r="J323">
        <v>7</v>
      </c>
      <c r="K323">
        <v>6.3</v>
      </c>
      <c r="L323">
        <v>1</v>
      </c>
      <c r="M323" t="s">
        <v>20</v>
      </c>
      <c r="N323" t="s">
        <v>26</v>
      </c>
      <c r="O323">
        <v>7.12</v>
      </c>
      <c r="P323" s="1">
        <v>45536</v>
      </c>
      <c r="Q323" t="str">
        <f t="shared" si="5"/>
        <v>Low Performance</v>
      </c>
      <c r="R323" s="2">
        <f>Table1_1[[#This Row],[tasks_completed]]/Table1_1[[#This Row],[monthly_hours_worked]]</f>
        <v>4.4843049327354265E-2</v>
      </c>
    </row>
    <row r="324" spans="1:18" x14ac:dyDescent="0.3">
      <c r="A324" t="s">
        <v>71</v>
      </c>
      <c r="B324" t="s">
        <v>17</v>
      </c>
      <c r="C324" t="s">
        <v>18</v>
      </c>
      <c r="D324" t="s">
        <v>29</v>
      </c>
      <c r="E324">
        <v>3</v>
      </c>
      <c r="F324">
        <v>164</v>
      </c>
      <c r="G324">
        <v>96.3</v>
      </c>
      <c r="H324">
        <v>7.6</v>
      </c>
      <c r="I324">
        <v>10</v>
      </c>
      <c r="J324">
        <v>3.86</v>
      </c>
      <c r="K324">
        <v>3.71</v>
      </c>
      <c r="L324">
        <v>0</v>
      </c>
      <c r="M324" t="s">
        <v>20</v>
      </c>
      <c r="N324" t="s">
        <v>21</v>
      </c>
      <c r="O324">
        <v>16.7</v>
      </c>
      <c r="P324" s="1">
        <v>45566</v>
      </c>
      <c r="Q324" t="str">
        <f t="shared" si="5"/>
        <v>High Performance</v>
      </c>
      <c r="R324" s="2">
        <f>Table1_1[[#This Row],[tasks_completed]]/Table1_1[[#This Row],[monthly_hours_worked]]</f>
        <v>6.097560975609756E-2</v>
      </c>
    </row>
    <row r="325" spans="1:18" x14ac:dyDescent="0.3">
      <c r="A325" t="s">
        <v>71</v>
      </c>
      <c r="B325" t="s">
        <v>23</v>
      </c>
      <c r="C325" t="s">
        <v>37</v>
      </c>
      <c r="D325" t="s">
        <v>39</v>
      </c>
      <c r="E325">
        <v>1</v>
      </c>
      <c r="F325">
        <v>152.1</v>
      </c>
      <c r="G325">
        <v>95.7</v>
      </c>
      <c r="H325">
        <v>4.5999999999999996</v>
      </c>
      <c r="I325">
        <v>4</v>
      </c>
      <c r="J325">
        <v>5.74</v>
      </c>
      <c r="K325">
        <v>8.6</v>
      </c>
      <c r="L325">
        <v>1</v>
      </c>
      <c r="M325" t="s">
        <v>20</v>
      </c>
      <c r="N325" t="s">
        <v>21</v>
      </c>
      <c r="O325">
        <v>3.74</v>
      </c>
      <c r="P325" s="1">
        <v>45597</v>
      </c>
      <c r="Q325" t="str">
        <f t="shared" si="5"/>
        <v>Low Performance</v>
      </c>
      <c r="R325" s="2">
        <f>Table1_1[[#This Row],[tasks_completed]]/Table1_1[[#This Row],[monthly_hours_worked]]</f>
        <v>2.6298487836949377E-2</v>
      </c>
    </row>
    <row r="326" spans="1:18" x14ac:dyDescent="0.3">
      <c r="A326" t="s">
        <v>72</v>
      </c>
      <c r="B326" t="s">
        <v>17</v>
      </c>
      <c r="C326" t="s">
        <v>31</v>
      </c>
      <c r="D326" t="s">
        <v>19</v>
      </c>
      <c r="E326">
        <v>1</v>
      </c>
      <c r="F326">
        <v>165.9</v>
      </c>
      <c r="G326">
        <v>95.8</v>
      </c>
      <c r="H326">
        <v>6.4</v>
      </c>
      <c r="I326">
        <v>7</v>
      </c>
      <c r="J326">
        <v>10</v>
      </c>
      <c r="K326">
        <v>7.89</v>
      </c>
      <c r="L326">
        <v>0</v>
      </c>
      <c r="M326" t="s">
        <v>20</v>
      </c>
      <c r="N326" t="s">
        <v>21</v>
      </c>
      <c r="O326">
        <v>12.82</v>
      </c>
      <c r="P326" s="1">
        <v>45292</v>
      </c>
      <c r="Q326" t="str">
        <f t="shared" si="5"/>
        <v>Medium Performance</v>
      </c>
      <c r="R326" s="2">
        <f>Table1_1[[#This Row],[tasks_completed]]/Table1_1[[#This Row],[monthly_hours_worked]]</f>
        <v>4.2194092827004218E-2</v>
      </c>
    </row>
    <row r="327" spans="1:18" x14ac:dyDescent="0.3">
      <c r="A327" t="s">
        <v>72</v>
      </c>
      <c r="B327" t="s">
        <v>23</v>
      </c>
      <c r="C327" t="s">
        <v>31</v>
      </c>
      <c r="D327" t="s">
        <v>19</v>
      </c>
      <c r="E327">
        <v>4</v>
      </c>
      <c r="F327">
        <v>185.1</v>
      </c>
      <c r="G327">
        <v>94.8</v>
      </c>
      <c r="H327">
        <v>5.5</v>
      </c>
      <c r="I327">
        <v>8</v>
      </c>
      <c r="J327">
        <v>5.22</v>
      </c>
      <c r="K327">
        <v>9.8699999999999992</v>
      </c>
      <c r="L327">
        <v>0</v>
      </c>
      <c r="M327" t="s">
        <v>34</v>
      </c>
      <c r="N327" t="s">
        <v>21</v>
      </c>
      <c r="O327">
        <v>12.36</v>
      </c>
      <c r="P327" s="1">
        <v>45292</v>
      </c>
      <c r="Q327" t="str">
        <f t="shared" si="5"/>
        <v>Medium Performance</v>
      </c>
      <c r="R327" s="2">
        <f>Table1_1[[#This Row],[tasks_completed]]/Table1_1[[#This Row],[monthly_hours_worked]]</f>
        <v>4.3219881145326849E-2</v>
      </c>
    </row>
    <row r="328" spans="1:18" x14ac:dyDescent="0.3">
      <c r="A328" t="s">
        <v>72</v>
      </c>
      <c r="B328" t="s">
        <v>27</v>
      </c>
      <c r="C328" t="s">
        <v>41</v>
      </c>
      <c r="D328" t="s">
        <v>19</v>
      </c>
      <c r="E328">
        <v>3</v>
      </c>
      <c r="F328">
        <v>141.6</v>
      </c>
      <c r="G328">
        <v>99.5</v>
      </c>
      <c r="H328">
        <v>3.8</v>
      </c>
      <c r="I328">
        <v>3</v>
      </c>
      <c r="J328">
        <v>8.5500000000000007</v>
      </c>
      <c r="K328">
        <v>7.33</v>
      </c>
      <c r="L328">
        <v>0</v>
      </c>
      <c r="M328" t="s">
        <v>20</v>
      </c>
      <c r="N328" t="s">
        <v>21</v>
      </c>
      <c r="O328">
        <v>24.44</v>
      </c>
      <c r="P328" s="1">
        <v>45352</v>
      </c>
      <c r="Q328" t="str">
        <f t="shared" si="5"/>
        <v>High Performance</v>
      </c>
      <c r="R328" s="2">
        <f>Table1_1[[#This Row],[tasks_completed]]/Table1_1[[#This Row],[monthly_hours_worked]]</f>
        <v>2.1186440677966104E-2</v>
      </c>
    </row>
    <row r="329" spans="1:18" x14ac:dyDescent="0.3">
      <c r="A329" t="s">
        <v>72</v>
      </c>
      <c r="B329" t="s">
        <v>43</v>
      </c>
      <c r="C329" t="s">
        <v>18</v>
      </c>
      <c r="D329" t="s">
        <v>39</v>
      </c>
      <c r="E329">
        <v>2</v>
      </c>
      <c r="F329">
        <v>168.6</v>
      </c>
      <c r="G329">
        <v>96.8</v>
      </c>
      <c r="H329">
        <v>4.4000000000000004</v>
      </c>
      <c r="I329">
        <v>7</v>
      </c>
      <c r="J329">
        <v>5.12</v>
      </c>
      <c r="K329">
        <v>9.2100000000000009</v>
      </c>
      <c r="L329">
        <v>0</v>
      </c>
      <c r="M329" t="s">
        <v>25</v>
      </c>
      <c r="N329" t="s">
        <v>35</v>
      </c>
      <c r="O329">
        <v>24.69</v>
      </c>
      <c r="P329" s="1">
        <v>45352</v>
      </c>
      <c r="Q329" t="str">
        <f t="shared" si="5"/>
        <v>High Performance</v>
      </c>
      <c r="R329" s="2">
        <f>Table1_1[[#This Row],[tasks_completed]]/Table1_1[[#This Row],[monthly_hours_worked]]</f>
        <v>4.151838671411625E-2</v>
      </c>
    </row>
    <row r="330" spans="1:18" x14ac:dyDescent="0.3">
      <c r="A330" t="s">
        <v>72</v>
      </c>
      <c r="B330" t="s">
        <v>17</v>
      </c>
      <c r="C330" t="s">
        <v>37</v>
      </c>
      <c r="D330" t="s">
        <v>19</v>
      </c>
      <c r="E330">
        <v>4</v>
      </c>
      <c r="F330">
        <v>155.19999999999999</v>
      </c>
      <c r="G330">
        <v>99.6</v>
      </c>
      <c r="I330">
        <v>3</v>
      </c>
      <c r="J330">
        <v>6.36</v>
      </c>
      <c r="K330">
        <v>7.83</v>
      </c>
      <c r="L330">
        <v>0</v>
      </c>
      <c r="M330" t="s">
        <v>20</v>
      </c>
      <c r="N330" t="s">
        <v>26</v>
      </c>
      <c r="O330">
        <v>10.27</v>
      </c>
      <c r="P330" s="1">
        <v>45383</v>
      </c>
      <c r="Q330" t="str">
        <f t="shared" si="5"/>
        <v>Medium Performance</v>
      </c>
      <c r="R330" s="2">
        <f>Table1_1[[#This Row],[tasks_completed]]/Table1_1[[#This Row],[monthly_hours_worked]]</f>
        <v>1.9329896907216496E-2</v>
      </c>
    </row>
    <row r="331" spans="1:18" x14ac:dyDescent="0.3">
      <c r="A331" t="s">
        <v>72</v>
      </c>
      <c r="B331" t="s">
        <v>43</v>
      </c>
      <c r="C331" t="s">
        <v>31</v>
      </c>
      <c r="D331" t="s">
        <v>39</v>
      </c>
      <c r="E331">
        <v>10</v>
      </c>
      <c r="F331">
        <v>149.9</v>
      </c>
      <c r="G331">
        <v>92.1</v>
      </c>
      <c r="H331">
        <v>2.4</v>
      </c>
      <c r="I331">
        <v>7</v>
      </c>
      <c r="J331">
        <v>4.3099999999999996</v>
      </c>
      <c r="K331">
        <v>7.29</v>
      </c>
      <c r="L331">
        <v>1</v>
      </c>
      <c r="M331" t="s">
        <v>25</v>
      </c>
      <c r="N331" t="s">
        <v>35</v>
      </c>
      <c r="O331">
        <v>9.7899999999999991</v>
      </c>
      <c r="P331" s="1">
        <v>45413</v>
      </c>
      <c r="Q331" t="str">
        <f t="shared" si="5"/>
        <v>Low Performance</v>
      </c>
      <c r="R331" s="2">
        <f>Table1_1[[#This Row],[tasks_completed]]/Table1_1[[#This Row],[monthly_hours_worked]]</f>
        <v>4.6697798532354902E-2</v>
      </c>
    </row>
    <row r="332" spans="1:18" x14ac:dyDescent="0.3">
      <c r="A332" t="s">
        <v>72</v>
      </c>
      <c r="B332" t="s">
        <v>17</v>
      </c>
      <c r="C332" t="s">
        <v>37</v>
      </c>
      <c r="D332" t="s">
        <v>29</v>
      </c>
      <c r="E332">
        <v>2</v>
      </c>
      <c r="F332">
        <v>158.6</v>
      </c>
      <c r="G332">
        <v>100</v>
      </c>
      <c r="H332">
        <v>4.0999999999999996</v>
      </c>
      <c r="I332">
        <v>5</v>
      </c>
      <c r="J332">
        <v>6.99</v>
      </c>
      <c r="K332">
        <v>6.24</v>
      </c>
      <c r="L332">
        <v>0</v>
      </c>
      <c r="M332" t="s">
        <v>34</v>
      </c>
      <c r="N332" t="s">
        <v>35</v>
      </c>
      <c r="O332">
        <v>10.09</v>
      </c>
      <c r="P332" s="1">
        <v>45444</v>
      </c>
      <c r="Q332" t="str">
        <f t="shared" si="5"/>
        <v>Medium Performance</v>
      </c>
      <c r="R332" s="2">
        <f>Table1_1[[#This Row],[tasks_completed]]/Table1_1[[#This Row],[monthly_hours_worked]]</f>
        <v>3.1525851197982346E-2</v>
      </c>
    </row>
    <row r="333" spans="1:18" x14ac:dyDescent="0.3">
      <c r="A333" t="s">
        <v>72</v>
      </c>
      <c r="B333" t="s">
        <v>33</v>
      </c>
      <c r="C333" t="s">
        <v>18</v>
      </c>
      <c r="D333" t="s">
        <v>39</v>
      </c>
      <c r="E333">
        <v>6</v>
      </c>
      <c r="F333">
        <v>168</v>
      </c>
      <c r="G333">
        <v>99.7</v>
      </c>
      <c r="H333">
        <v>5</v>
      </c>
      <c r="I333">
        <v>7</v>
      </c>
      <c r="J333">
        <v>7.14</v>
      </c>
      <c r="K333">
        <v>6.05</v>
      </c>
      <c r="L333">
        <v>0</v>
      </c>
      <c r="M333" t="s">
        <v>25</v>
      </c>
      <c r="N333" t="s">
        <v>21</v>
      </c>
      <c r="O333">
        <v>5.97</v>
      </c>
      <c r="P333" s="1">
        <v>45474</v>
      </c>
      <c r="Q333" t="str">
        <f t="shared" si="5"/>
        <v>Low Performance</v>
      </c>
      <c r="R333" s="2">
        <f>Table1_1[[#This Row],[tasks_completed]]/Table1_1[[#This Row],[monthly_hours_worked]]</f>
        <v>4.1666666666666664E-2</v>
      </c>
    </row>
    <row r="334" spans="1:18" x14ac:dyDescent="0.3">
      <c r="A334" t="s">
        <v>72</v>
      </c>
      <c r="B334" t="s">
        <v>43</v>
      </c>
      <c r="C334" t="s">
        <v>41</v>
      </c>
      <c r="D334" t="s">
        <v>39</v>
      </c>
      <c r="E334">
        <v>6</v>
      </c>
      <c r="F334">
        <v>148.69999999999999</v>
      </c>
      <c r="G334">
        <v>100</v>
      </c>
      <c r="H334">
        <v>5.3</v>
      </c>
      <c r="I334">
        <v>2</v>
      </c>
      <c r="J334">
        <v>7</v>
      </c>
      <c r="K334">
        <v>9.09</v>
      </c>
      <c r="L334">
        <v>0</v>
      </c>
      <c r="M334" t="s">
        <v>34</v>
      </c>
      <c r="N334" t="s">
        <v>21</v>
      </c>
      <c r="O334">
        <v>17.45</v>
      </c>
      <c r="P334" s="1">
        <v>45505</v>
      </c>
      <c r="Q334" t="str">
        <f t="shared" si="5"/>
        <v>High Performance</v>
      </c>
      <c r="R334" s="2">
        <f>Table1_1[[#This Row],[tasks_completed]]/Table1_1[[#This Row],[monthly_hours_worked]]</f>
        <v>1.3449899125756557E-2</v>
      </c>
    </row>
    <row r="335" spans="1:18" x14ac:dyDescent="0.3">
      <c r="A335" t="s">
        <v>72</v>
      </c>
      <c r="B335" t="s">
        <v>43</v>
      </c>
      <c r="C335" t="s">
        <v>37</v>
      </c>
      <c r="D335" t="s">
        <v>19</v>
      </c>
      <c r="E335">
        <v>7</v>
      </c>
      <c r="F335">
        <v>162.6</v>
      </c>
      <c r="G335">
        <v>96.5</v>
      </c>
      <c r="H335">
        <v>5.3</v>
      </c>
      <c r="I335">
        <v>5</v>
      </c>
      <c r="J335">
        <v>6.12</v>
      </c>
      <c r="K335">
        <v>7.26</v>
      </c>
      <c r="L335">
        <v>1</v>
      </c>
      <c r="M335" t="s">
        <v>20</v>
      </c>
      <c r="N335" t="s">
        <v>21</v>
      </c>
      <c r="O335">
        <v>5</v>
      </c>
      <c r="P335" s="1">
        <v>45536</v>
      </c>
      <c r="Q335" t="str">
        <f t="shared" si="5"/>
        <v>Low Performance</v>
      </c>
      <c r="R335" s="2">
        <f>Table1_1[[#This Row],[tasks_completed]]/Table1_1[[#This Row],[monthly_hours_worked]]</f>
        <v>3.0750307503075031E-2</v>
      </c>
    </row>
    <row r="336" spans="1:18" x14ac:dyDescent="0.3">
      <c r="A336" t="s">
        <v>72</v>
      </c>
      <c r="B336" t="s">
        <v>33</v>
      </c>
      <c r="C336" t="s">
        <v>24</v>
      </c>
      <c r="D336" t="s">
        <v>29</v>
      </c>
      <c r="E336">
        <v>5</v>
      </c>
      <c r="F336">
        <v>179.5</v>
      </c>
      <c r="G336">
        <v>100</v>
      </c>
      <c r="H336">
        <v>3.7</v>
      </c>
      <c r="I336">
        <v>5</v>
      </c>
      <c r="J336">
        <v>7.54</v>
      </c>
      <c r="K336">
        <v>6.5</v>
      </c>
      <c r="L336">
        <v>0</v>
      </c>
      <c r="M336" t="s">
        <v>34</v>
      </c>
      <c r="N336" t="s">
        <v>26</v>
      </c>
      <c r="O336">
        <v>5.36</v>
      </c>
      <c r="P336" s="1">
        <v>45566</v>
      </c>
      <c r="Q336" t="str">
        <f t="shared" si="5"/>
        <v>Low Performance</v>
      </c>
      <c r="R336" s="2">
        <f>Table1_1[[#This Row],[tasks_completed]]/Table1_1[[#This Row],[monthly_hours_worked]]</f>
        <v>2.7855153203342618E-2</v>
      </c>
    </row>
    <row r="337" spans="1:18" x14ac:dyDescent="0.3">
      <c r="A337" t="s">
        <v>72</v>
      </c>
      <c r="B337" t="s">
        <v>17</v>
      </c>
      <c r="C337" t="s">
        <v>41</v>
      </c>
      <c r="D337" t="s">
        <v>19</v>
      </c>
      <c r="E337">
        <v>1</v>
      </c>
      <c r="F337">
        <v>147.69999999999999</v>
      </c>
      <c r="G337">
        <v>94.2</v>
      </c>
      <c r="H337">
        <v>6.9</v>
      </c>
      <c r="I337">
        <v>5</v>
      </c>
      <c r="J337">
        <v>5.25</v>
      </c>
      <c r="K337">
        <v>5.44</v>
      </c>
      <c r="L337">
        <v>1</v>
      </c>
      <c r="M337" t="s">
        <v>25</v>
      </c>
      <c r="N337" t="s">
        <v>35</v>
      </c>
      <c r="O337">
        <v>17.16</v>
      </c>
      <c r="P337" s="1">
        <v>45597</v>
      </c>
      <c r="Q337" t="str">
        <f t="shared" si="5"/>
        <v>High Performance</v>
      </c>
      <c r="R337" s="2">
        <f>Table1_1[[#This Row],[tasks_completed]]/Table1_1[[#This Row],[monthly_hours_worked]]</f>
        <v>3.3852403520649971E-2</v>
      </c>
    </row>
    <row r="338" spans="1:18" x14ac:dyDescent="0.3">
      <c r="A338" t="s">
        <v>73</v>
      </c>
      <c r="B338" t="s">
        <v>33</v>
      </c>
      <c r="C338" t="s">
        <v>24</v>
      </c>
      <c r="D338" t="s">
        <v>29</v>
      </c>
      <c r="E338">
        <v>5</v>
      </c>
      <c r="F338">
        <v>161</v>
      </c>
      <c r="G338">
        <v>93.4</v>
      </c>
      <c r="H338">
        <v>4.8</v>
      </c>
      <c r="I338">
        <v>5</v>
      </c>
      <c r="J338">
        <v>6.29</v>
      </c>
      <c r="K338">
        <v>7.16</v>
      </c>
      <c r="L338">
        <v>0</v>
      </c>
      <c r="M338" t="s">
        <v>25</v>
      </c>
      <c r="N338" t="s">
        <v>21</v>
      </c>
      <c r="O338">
        <v>18.350000000000001</v>
      </c>
      <c r="P338" s="1">
        <v>45292</v>
      </c>
      <c r="Q338" t="str">
        <f t="shared" si="5"/>
        <v>High Performance</v>
      </c>
      <c r="R338" s="2">
        <f>Table1_1[[#This Row],[tasks_completed]]/Table1_1[[#This Row],[monthly_hours_worked]]</f>
        <v>3.1055900621118012E-2</v>
      </c>
    </row>
    <row r="339" spans="1:18" x14ac:dyDescent="0.3">
      <c r="A339" t="s">
        <v>73</v>
      </c>
      <c r="B339" t="s">
        <v>33</v>
      </c>
      <c r="C339" t="s">
        <v>24</v>
      </c>
      <c r="D339" t="s">
        <v>29</v>
      </c>
      <c r="E339">
        <v>5</v>
      </c>
      <c r="F339">
        <v>168.9</v>
      </c>
      <c r="G339">
        <v>96.8</v>
      </c>
      <c r="H339">
        <v>5.9</v>
      </c>
      <c r="I339">
        <v>2</v>
      </c>
      <c r="J339">
        <v>9.16</v>
      </c>
      <c r="K339">
        <v>5.79</v>
      </c>
      <c r="L339">
        <v>0</v>
      </c>
      <c r="M339" t="s">
        <v>34</v>
      </c>
      <c r="N339" t="s">
        <v>21</v>
      </c>
      <c r="O339">
        <v>11.14</v>
      </c>
      <c r="P339" s="1">
        <v>45292</v>
      </c>
      <c r="Q339" t="str">
        <f t="shared" si="5"/>
        <v>Medium Performance</v>
      </c>
      <c r="R339" s="2">
        <f>Table1_1[[#This Row],[tasks_completed]]/Table1_1[[#This Row],[monthly_hours_worked]]</f>
        <v>1.1841326228537596E-2</v>
      </c>
    </row>
    <row r="340" spans="1:18" x14ac:dyDescent="0.3">
      <c r="A340" t="s">
        <v>73</v>
      </c>
      <c r="B340" t="s">
        <v>17</v>
      </c>
      <c r="C340" t="s">
        <v>24</v>
      </c>
      <c r="D340" t="s">
        <v>19</v>
      </c>
      <c r="E340">
        <v>6</v>
      </c>
      <c r="F340">
        <v>171.7</v>
      </c>
      <c r="G340">
        <v>92.9</v>
      </c>
      <c r="H340">
        <v>4.9000000000000004</v>
      </c>
      <c r="I340">
        <v>11</v>
      </c>
      <c r="J340">
        <v>8.2200000000000006</v>
      </c>
      <c r="K340">
        <v>6.07</v>
      </c>
      <c r="L340">
        <v>0</v>
      </c>
      <c r="M340" t="s">
        <v>20</v>
      </c>
      <c r="N340" t="s">
        <v>35</v>
      </c>
      <c r="O340">
        <v>7.47</v>
      </c>
      <c r="P340" s="1">
        <v>45352</v>
      </c>
      <c r="Q340" t="str">
        <f t="shared" si="5"/>
        <v>Low Performance</v>
      </c>
      <c r="R340" s="2">
        <f>Table1_1[[#This Row],[tasks_completed]]/Table1_1[[#This Row],[monthly_hours_worked]]</f>
        <v>6.4065230052417016E-2</v>
      </c>
    </row>
    <row r="341" spans="1:18" x14ac:dyDescent="0.3">
      <c r="A341" t="s">
        <v>73</v>
      </c>
      <c r="B341" t="s">
        <v>27</v>
      </c>
      <c r="C341" t="s">
        <v>41</v>
      </c>
      <c r="D341" t="s">
        <v>39</v>
      </c>
      <c r="E341">
        <v>2</v>
      </c>
      <c r="F341">
        <v>173.3</v>
      </c>
      <c r="G341">
        <v>100</v>
      </c>
      <c r="H341">
        <v>5.7</v>
      </c>
      <c r="I341">
        <v>7</v>
      </c>
      <c r="J341">
        <v>6.19</v>
      </c>
      <c r="K341">
        <v>6.79</v>
      </c>
      <c r="L341">
        <v>0</v>
      </c>
      <c r="M341" t="s">
        <v>34</v>
      </c>
      <c r="N341" t="s">
        <v>26</v>
      </c>
      <c r="O341">
        <v>10.84</v>
      </c>
      <c r="P341" s="1">
        <v>45352</v>
      </c>
      <c r="Q341" t="str">
        <f t="shared" si="5"/>
        <v>Medium Performance</v>
      </c>
      <c r="R341" s="2">
        <f>Table1_1[[#This Row],[tasks_completed]]/Table1_1[[#This Row],[monthly_hours_worked]]</f>
        <v>4.0392383150605886E-2</v>
      </c>
    </row>
    <row r="342" spans="1:18" x14ac:dyDescent="0.3">
      <c r="A342" t="s">
        <v>73</v>
      </c>
      <c r="B342" t="s">
        <v>27</v>
      </c>
      <c r="C342" t="s">
        <v>37</v>
      </c>
      <c r="D342" t="s">
        <v>19</v>
      </c>
      <c r="E342">
        <v>10</v>
      </c>
      <c r="F342">
        <v>153.1</v>
      </c>
      <c r="G342">
        <v>87.4</v>
      </c>
      <c r="H342">
        <v>4.5999999999999996</v>
      </c>
      <c r="I342">
        <v>8</v>
      </c>
      <c r="J342">
        <v>8.3000000000000007</v>
      </c>
      <c r="K342">
        <v>5.58</v>
      </c>
      <c r="L342">
        <v>0</v>
      </c>
      <c r="M342" t="s">
        <v>20</v>
      </c>
      <c r="N342" t="s">
        <v>21</v>
      </c>
      <c r="O342">
        <v>14.87</v>
      </c>
      <c r="P342" s="1">
        <v>45383</v>
      </c>
      <c r="Q342" t="str">
        <f t="shared" si="5"/>
        <v>Medium Performance</v>
      </c>
      <c r="R342" s="2">
        <f>Table1_1[[#This Row],[tasks_completed]]/Table1_1[[#This Row],[monthly_hours_worked]]</f>
        <v>5.2253429131286742E-2</v>
      </c>
    </row>
    <row r="343" spans="1:18" x14ac:dyDescent="0.3">
      <c r="A343" t="s">
        <v>73</v>
      </c>
      <c r="B343" t="s">
        <v>43</v>
      </c>
      <c r="C343" t="s">
        <v>18</v>
      </c>
      <c r="D343" t="s">
        <v>39</v>
      </c>
      <c r="E343">
        <v>3</v>
      </c>
      <c r="F343">
        <v>142.19999999999999</v>
      </c>
      <c r="G343">
        <v>83.8</v>
      </c>
      <c r="H343">
        <v>5.5</v>
      </c>
      <c r="I343">
        <v>7</v>
      </c>
      <c r="J343">
        <v>6.66</v>
      </c>
      <c r="K343">
        <v>8.1</v>
      </c>
      <c r="L343">
        <v>0</v>
      </c>
      <c r="M343" t="s">
        <v>20</v>
      </c>
      <c r="N343" t="s">
        <v>26</v>
      </c>
      <c r="O343">
        <v>16.100000000000001</v>
      </c>
      <c r="P343" s="1">
        <v>45413</v>
      </c>
      <c r="Q343" t="str">
        <f t="shared" si="5"/>
        <v>High Performance</v>
      </c>
      <c r="R343" s="2">
        <f>Table1_1[[#This Row],[tasks_completed]]/Table1_1[[#This Row],[monthly_hours_worked]]</f>
        <v>4.9226441631504927E-2</v>
      </c>
    </row>
    <row r="344" spans="1:18" x14ac:dyDescent="0.3">
      <c r="A344" t="s">
        <v>73</v>
      </c>
      <c r="B344" t="s">
        <v>33</v>
      </c>
      <c r="C344" t="s">
        <v>37</v>
      </c>
      <c r="D344" t="s">
        <v>19</v>
      </c>
      <c r="E344">
        <v>10</v>
      </c>
      <c r="F344">
        <v>176.2</v>
      </c>
      <c r="G344">
        <v>100</v>
      </c>
      <c r="H344">
        <v>10</v>
      </c>
      <c r="I344">
        <v>8</v>
      </c>
      <c r="J344">
        <v>8.74</v>
      </c>
      <c r="K344">
        <v>5.0199999999999996</v>
      </c>
      <c r="L344">
        <v>0</v>
      </c>
      <c r="M344" t="s">
        <v>25</v>
      </c>
      <c r="N344" t="s">
        <v>35</v>
      </c>
      <c r="O344">
        <v>15.49</v>
      </c>
      <c r="P344" s="1">
        <v>45444</v>
      </c>
      <c r="Q344" t="str">
        <f t="shared" si="5"/>
        <v>High Performance</v>
      </c>
      <c r="R344" s="2">
        <f>Table1_1[[#This Row],[tasks_completed]]/Table1_1[[#This Row],[monthly_hours_worked]]</f>
        <v>4.5402951191827474E-2</v>
      </c>
    </row>
    <row r="345" spans="1:18" x14ac:dyDescent="0.3">
      <c r="A345" t="s">
        <v>73</v>
      </c>
      <c r="B345" t="s">
        <v>27</v>
      </c>
      <c r="C345" t="s">
        <v>18</v>
      </c>
      <c r="D345" t="s">
        <v>39</v>
      </c>
      <c r="E345">
        <v>5</v>
      </c>
      <c r="F345">
        <v>148.4</v>
      </c>
      <c r="G345">
        <v>88.3</v>
      </c>
      <c r="H345">
        <v>1.9</v>
      </c>
      <c r="I345">
        <v>6</v>
      </c>
      <c r="J345">
        <v>8.49</v>
      </c>
      <c r="K345">
        <v>5.26</v>
      </c>
      <c r="L345">
        <v>0</v>
      </c>
      <c r="M345" t="s">
        <v>20</v>
      </c>
      <c r="N345" t="s">
        <v>35</v>
      </c>
      <c r="O345">
        <v>10.82</v>
      </c>
      <c r="P345" s="1">
        <v>45474</v>
      </c>
      <c r="Q345" t="str">
        <f t="shared" si="5"/>
        <v>Medium Performance</v>
      </c>
      <c r="R345" s="2">
        <f>Table1_1[[#This Row],[tasks_completed]]/Table1_1[[#This Row],[monthly_hours_worked]]</f>
        <v>4.0431266846361183E-2</v>
      </c>
    </row>
    <row r="346" spans="1:18" x14ac:dyDescent="0.3">
      <c r="A346" t="s">
        <v>73</v>
      </c>
      <c r="B346" t="s">
        <v>17</v>
      </c>
      <c r="C346" t="s">
        <v>18</v>
      </c>
      <c r="D346" t="s">
        <v>39</v>
      </c>
      <c r="E346">
        <v>9</v>
      </c>
      <c r="F346">
        <v>166.3</v>
      </c>
      <c r="G346">
        <v>100</v>
      </c>
      <c r="H346">
        <v>5</v>
      </c>
      <c r="I346">
        <v>5</v>
      </c>
      <c r="J346">
        <v>6.27</v>
      </c>
      <c r="K346">
        <v>9.1300000000000008</v>
      </c>
      <c r="L346">
        <v>1</v>
      </c>
      <c r="M346" t="s">
        <v>20</v>
      </c>
      <c r="N346" t="s">
        <v>21</v>
      </c>
      <c r="O346">
        <v>17.03</v>
      </c>
      <c r="P346" s="1">
        <v>45505</v>
      </c>
      <c r="Q346" t="str">
        <f t="shared" si="5"/>
        <v>High Performance</v>
      </c>
      <c r="R346" s="2">
        <f>Table1_1[[#This Row],[tasks_completed]]/Table1_1[[#This Row],[monthly_hours_worked]]</f>
        <v>3.0066145520144315E-2</v>
      </c>
    </row>
    <row r="347" spans="1:18" x14ac:dyDescent="0.3">
      <c r="A347" t="s">
        <v>73</v>
      </c>
      <c r="B347" t="s">
        <v>17</v>
      </c>
      <c r="C347" t="s">
        <v>41</v>
      </c>
      <c r="D347" t="s">
        <v>19</v>
      </c>
      <c r="E347">
        <v>4</v>
      </c>
      <c r="F347">
        <v>155.4</v>
      </c>
      <c r="G347">
        <v>98.8</v>
      </c>
      <c r="H347">
        <v>2.2000000000000002</v>
      </c>
      <c r="I347">
        <v>4</v>
      </c>
      <c r="J347">
        <v>9.08</v>
      </c>
      <c r="K347">
        <v>5.93</v>
      </c>
      <c r="L347">
        <v>0</v>
      </c>
      <c r="M347" t="s">
        <v>34</v>
      </c>
      <c r="N347" t="s">
        <v>35</v>
      </c>
      <c r="O347">
        <v>10.08</v>
      </c>
      <c r="P347" s="1">
        <v>45536</v>
      </c>
      <c r="Q347" t="str">
        <f t="shared" si="5"/>
        <v>Medium Performance</v>
      </c>
      <c r="R347" s="2">
        <f>Table1_1[[#This Row],[tasks_completed]]/Table1_1[[#This Row],[monthly_hours_worked]]</f>
        <v>2.5740025740025738E-2</v>
      </c>
    </row>
    <row r="348" spans="1:18" x14ac:dyDescent="0.3">
      <c r="A348" t="s">
        <v>73</v>
      </c>
      <c r="B348" t="s">
        <v>43</v>
      </c>
      <c r="C348" t="s">
        <v>41</v>
      </c>
      <c r="D348" t="s">
        <v>19</v>
      </c>
      <c r="E348">
        <v>10</v>
      </c>
      <c r="F348">
        <v>156.6</v>
      </c>
      <c r="G348">
        <v>94.9</v>
      </c>
      <c r="H348">
        <v>3.7</v>
      </c>
      <c r="I348">
        <v>9</v>
      </c>
      <c r="J348">
        <v>6.54</v>
      </c>
      <c r="K348">
        <v>6.68</v>
      </c>
      <c r="L348">
        <v>0</v>
      </c>
      <c r="M348" t="s">
        <v>34</v>
      </c>
      <c r="N348" t="s">
        <v>21</v>
      </c>
      <c r="O348">
        <v>20.399999999999999</v>
      </c>
      <c r="P348" s="1">
        <v>45566</v>
      </c>
      <c r="Q348" t="str">
        <f t="shared" si="5"/>
        <v>High Performance</v>
      </c>
      <c r="R348" s="2">
        <f>Table1_1[[#This Row],[tasks_completed]]/Table1_1[[#This Row],[monthly_hours_worked]]</f>
        <v>5.7471264367816091E-2</v>
      </c>
    </row>
    <row r="349" spans="1:18" x14ac:dyDescent="0.3">
      <c r="A349" t="s">
        <v>73</v>
      </c>
      <c r="B349" t="s">
        <v>43</v>
      </c>
      <c r="C349" t="s">
        <v>41</v>
      </c>
      <c r="D349" t="s">
        <v>19</v>
      </c>
      <c r="E349">
        <v>1</v>
      </c>
      <c r="F349">
        <v>166.9</v>
      </c>
      <c r="G349">
        <v>96.3</v>
      </c>
      <c r="H349">
        <v>6.3</v>
      </c>
      <c r="I349">
        <v>4</v>
      </c>
      <c r="J349">
        <v>7.4</v>
      </c>
      <c r="K349">
        <v>9.7200000000000006</v>
      </c>
      <c r="L349">
        <v>0</v>
      </c>
      <c r="M349" t="s">
        <v>25</v>
      </c>
      <c r="N349" t="s">
        <v>35</v>
      </c>
      <c r="O349">
        <v>11.91</v>
      </c>
      <c r="P349" s="1">
        <v>45597</v>
      </c>
      <c r="Q349" t="str">
        <f t="shared" si="5"/>
        <v>Medium Performance</v>
      </c>
      <c r="R349" s="2">
        <f>Table1_1[[#This Row],[tasks_completed]]/Table1_1[[#This Row],[monthly_hours_worked]]</f>
        <v>2.3966446974236069E-2</v>
      </c>
    </row>
    <row r="350" spans="1:18" x14ac:dyDescent="0.3">
      <c r="A350" t="s">
        <v>74</v>
      </c>
      <c r="B350" t="s">
        <v>27</v>
      </c>
      <c r="C350" t="s">
        <v>31</v>
      </c>
      <c r="D350" t="s">
        <v>19</v>
      </c>
      <c r="E350">
        <v>6</v>
      </c>
      <c r="F350">
        <v>176.9</v>
      </c>
      <c r="G350">
        <v>93.3</v>
      </c>
      <c r="I350">
        <v>3</v>
      </c>
      <c r="K350">
        <v>4.46</v>
      </c>
      <c r="L350">
        <v>0</v>
      </c>
      <c r="M350" t="s">
        <v>25</v>
      </c>
      <c r="N350" t="s">
        <v>21</v>
      </c>
      <c r="O350">
        <v>9.67</v>
      </c>
      <c r="P350" s="1">
        <v>45292</v>
      </c>
      <c r="Q350" t="str">
        <f t="shared" si="5"/>
        <v>Low Performance</v>
      </c>
      <c r="R350" s="2">
        <f>Table1_1[[#This Row],[tasks_completed]]/Table1_1[[#This Row],[monthly_hours_worked]]</f>
        <v>1.6958733747880157E-2</v>
      </c>
    </row>
    <row r="351" spans="1:18" x14ac:dyDescent="0.3">
      <c r="A351" t="s">
        <v>74</v>
      </c>
      <c r="B351" t="s">
        <v>43</v>
      </c>
      <c r="C351" t="s">
        <v>18</v>
      </c>
      <c r="D351" t="s">
        <v>39</v>
      </c>
      <c r="E351">
        <v>7</v>
      </c>
      <c r="F351">
        <v>157.4</v>
      </c>
      <c r="G351">
        <v>88.8</v>
      </c>
      <c r="H351">
        <v>2.7</v>
      </c>
      <c r="I351">
        <v>3</v>
      </c>
      <c r="K351">
        <v>10</v>
      </c>
      <c r="L351">
        <v>0</v>
      </c>
      <c r="M351" t="s">
        <v>34</v>
      </c>
      <c r="N351" t="s">
        <v>21</v>
      </c>
      <c r="O351">
        <v>11.01</v>
      </c>
      <c r="P351" s="1">
        <v>45292</v>
      </c>
      <c r="Q351" t="str">
        <f t="shared" si="5"/>
        <v>Medium Performance</v>
      </c>
      <c r="R351" s="2">
        <f>Table1_1[[#This Row],[tasks_completed]]/Table1_1[[#This Row],[monthly_hours_worked]]</f>
        <v>1.9059720457433291E-2</v>
      </c>
    </row>
    <row r="352" spans="1:18" x14ac:dyDescent="0.3">
      <c r="A352" t="s">
        <v>74</v>
      </c>
      <c r="B352" t="s">
        <v>27</v>
      </c>
      <c r="C352" t="s">
        <v>24</v>
      </c>
      <c r="D352" t="s">
        <v>29</v>
      </c>
      <c r="E352">
        <v>10</v>
      </c>
      <c r="F352">
        <v>167.4</v>
      </c>
      <c r="G352">
        <v>91.8</v>
      </c>
      <c r="H352">
        <v>5.4</v>
      </c>
      <c r="I352">
        <v>9</v>
      </c>
      <c r="J352">
        <v>7.04</v>
      </c>
      <c r="K352">
        <v>7.74</v>
      </c>
      <c r="L352">
        <v>0</v>
      </c>
      <c r="M352" t="s">
        <v>25</v>
      </c>
      <c r="N352" t="s">
        <v>26</v>
      </c>
      <c r="O352">
        <v>17.16</v>
      </c>
      <c r="P352" s="1">
        <v>45352</v>
      </c>
      <c r="Q352" t="str">
        <f t="shared" si="5"/>
        <v>High Performance</v>
      </c>
      <c r="R352" s="2">
        <f>Table1_1[[#This Row],[tasks_completed]]/Table1_1[[#This Row],[monthly_hours_worked]]</f>
        <v>5.3763440860215055E-2</v>
      </c>
    </row>
    <row r="353" spans="1:18" x14ac:dyDescent="0.3">
      <c r="A353" t="s">
        <v>74</v>
      </c>
      <c r="B353" t="s">
        <v>43</v>
      </c>
      <c r="C353" t="s">
        <v>31</v>
      </c>
      <c r="D353" t="s">
        <v>19</v>
      </c>
      <c r="E353">
        <v>4</v>
      </c>
      <c r="F353">
        <v>156.30000000000001</v>
      </c>
      <c r="G353">
        <v>98.1</v>
      </c>
      <c r="H353">
        <v>2.2999999999999998</v>
      </c>
      <c r="I353">
        <v>9</v>
      </c>
      <c r="J353">
        <v>5.86</v>
      </c>
      <c r="K353">
        <v>7.2</v>
      </c>
      <c r="L353">
        <v>1</v>
      </c>
      <c r="M353" t="s">
        <v>34</v>
      </c>
      <c r="N353" t="s">
        <v>26</v>
      </c>
      <c r="O353">
        <v>11.18</v>
      </c>
      <c r="P353" s="1">
        <v>45352</v>
      </c>
      <c r="Q353" t="str">
        <f t="shared" si="5"/>
        <v>Medium Performance</v>
      </c>
      <c r="R353" s="2">
        <f>Table1_1[[#This Row],[tasks_completed]]/Table1_1[[#This Row],[monthly_hours_worked]]</f>
        <v>5.7581573896353162E-2</v>
      </c>
    </row>
    <row r="354" spans="1:18" x14ac:dyDescent="0.3">
      <c r="A354" t="s">
        <v>74</v>
      </c>
      <c r="B354" t="s">
        <v>23</v>
      </c>
      <c r="C354" t="s">
        <v>37</v>
      </c>
      <c r="D354" t="s">
        <v>39</v>
      </c>
      <c r="E354">
        <v>4</v>
      </c>
      <c r="F354">
        <v>153.1</v>
      </c>
      <c r="G354">
        <v>90.8</v>
      </c>
      <c r="H354">
        <v>5.4</v>
      </c>
      <c r="I354">
        <v>7</v>
      </c>
      <c r="J354">
        <v>7.62</v>
      </c>
      <c r="K354">
        <v>6.43</v>
      </c>
      <c r="L354">
        <v>1</v>
      </c>
      <c r="M354" t="s">
        <v>20</v>
      </c>
      <c r="N354" t="s">
        <v>35</v>
      </c>
      <c r="O354">
        <v>10.84</v>
      </c>
      <c r="P354" s="1">
        <v>45383</v>
      </c>
      <c r="Q354" t="str">
        <f t="shared" si="5"/>
        <v>Medium Performance</v>
      </c>
      <c r="R354" s="2">
        <f>Table1_1[[#This Row],[tasks_completed]]/Table1_1[[#This Row],[monthly_hours_worked]]</f>
        <v>4.5721750489875902E-2</v>
      </c>
    </row>
    <row r="355" spans="1:18" x14ac:dyDescent="0.3">
      <c r="A355" t="s">
        <v>74</v>
      </c>
      <c r="B355" t="s">
        <v>43</v>
      </c>
      <c r="C355" t="s">
        <v>37</v>
      </c>
      <c r="D355" t="s">
        <v>19</v>
      </c>
      <c r="E355">
        <v>9</v>
      </c>
      <c r="F355">
        <v>155.9</v>
      </c>
      <c r="G355">
        <v>93.8</v>
      </c>
      <c r="H355">
        <v>2.1</v>
      </c>
      <c r="I355">
        <v>4</v>
      </c>
      <c r="J355">
        <v>4.78</v>
      </c>
      <c r="K355">
        <v>9.5299999999999994</v>
      </c>
      <c r="L355">
        <v>1</v>
      </c>
      <c r="M355" t="s">
        <v>34</v>
      </c>
      <c r="N355" t="s">
        <v>21</v>
      </c>
      <c r="O355">
        <v>17.37</v>
      </c>
      <c r="P355" s="1">
        <v>45413</v>
      </c>
      <c r="Q355" t="str">
        <f t="shared" si="5"/>
        <v>High Performance</v>
      </c>
      <c r="R355" s="2">
        <f>Table1_1[[#This Row],[tasks_completed]]/Table1_1[[#This Row],[monthly_hours_worked]]</f>
        <v>2.5657472738935212E-2</v>
      </c>
    </row>
    <row r="356" spans="1:18" x14ac:dyDescent="0.3">
      <c r="A356" t="s">
        <v>74</v>
      </c>
      <c r="B356" t="s">
        <v>33</v>
      </c>
      <c r="C356" t="s">
        <v>18</v>
      </c>
      <c r="D356" t="s">
        <v>39</v>
      </c>
      <c r="E356">
        <v>2</v>
      </c>
      <c r="F356">
        <v>158.30000000000001</v>
      </c>
      <c r="G356">
        <v>85.3</v>
      </c>
      <c r="H356">
        <v>5.3</v>
      </c>
      <c r="I356">
        <v>7</v>
      </c>
      <c r="J356">
        <v>6.56</v>
      </c>
      <c r="K356">
        <v>8.93</v>
      </c>
      <c r="L356">
        <v>0</v>
      </c>
      <c r="M356" t="s">
        <v>25</v>
      </c>
      <c r="N356" t="s">
        <v>26</v>
      </c>
      <c r="O356">
        <v>14.7</v>
      </c>
      <c r="P356" s="1">
        <v>45444</v>
      </c>
      <c r="Q356" t="str">
        <f t="shared" si="5"/>
        <v>Medium Performance</v>
      </c>
      <c r="R356" s="2">
        <f>Table1_1[[#This Row],[tasks_completed]]/Table1_1[[#This Row],[monthly_hours_worked]]</f>
        <v>4.4219835754895763E-2</v>
      </c>
    </row>
    <row r="357" spans="1:18" x14ac:dyDescent="0.3">
      <c r="A357" t="s">
        <v>74</v>
      </c>
      <c r="B357" t="s">
        <v>43</v>
      </c>
      <c r="C357" t="s">
        <v>37</v>
      </c>
      <c r="D357" t="s">
        <v>39</v>
      </c>
      <c r="E357">
        <v>10</v>
      </c>
      <c r="F357">
        <v>150.19999999999999</v>
      </c>
      <c r="G357">
        <v>99.2</v>
      </c>
      <c r="I357">
        <v>8</v>
      </c>
      <c r="J357">
        <v>7.62</v>
      </c>
      <c r="K357">
        <v>8.8800000000000008</v>
      </c>
      <c r="L357">
        <v>0</v>
      </c>
      <c r="M357" t="s">
        <v>34</v>
      </c>
      <c r="N357" t="s">
        <v>26</v>
      </c>
      <c r="O357">
        <v>21.15</v>
      </c>
      <c r="P357" s="1">
        <v>45474</v>
      </c>
      <c r="Q357" t="str">
        <f t="shared" si="5"/>
        <v>High Performance</v>
      </c>
      <c r="R357" s="2">
        <f>Table1_1[[#This Row],[tasks_completed]]/Table1_1[[#This Row],[monthly_hours_worked]]</f>
        <v>5.3262316910785625E-2</v>
      </c>
    </row>
    <row r="358" spans="1:18" x14ac:dyDescent="0.3">
      <c r="A358" t="s">
        <v>74</v>
      </c>
      <c r="B358" t="s">
        <v>27</v>
      </c>
      <c r="C358" t="s">
        <v>24</v>
      </c>
      <c r="D358" t="s">
        <v>39</v>
      </c>
      <c r="E358">
        <v>8</v>
      </c>
      <c r="F358">
        <v>163.30000000000001</v>
      </c>
      <c r="G358">
        <v>95.7</v>
      </c>
      <c r="H358">
        <v>3.1</v>
      </c>
      <c r="I358">
        <v>6</v>
      </c>
      <c r="J358">
        <v>10</v>
      </c>
      <c r="K358">
        <v>6.92</v>
      </c>
      <c r="L358">
        <v>0</v>
      </c>
      <c r="M358" t="s">
        <v>25</v>
      </c>
      <c r="N358" t="s">
        <v>26</v>
      </c>
      <c r="O358">
        <v>14.85</v>
      </c>
      <c r="P358" s="1">
        <v>45505</v>
      </c>
      <c r="Q358" t="str">
        <f t="shared" si="5"/>
        <v>Medium Performance</v>
      </c>
      <c r="R358" s="2">
        <f>Table1_1[[#This Row],[tasks_completed]]/Table1_1[[#This Row],[monthly_hours_worked]]</f>
        <v>3.6742192284139615E-2</v>
      </c>
    </row>
    <row r="359" spans="1:18" x14ac:dyDescent="0.3">
      <c r="A359" t="s">
        <v>74</v>
      </c>
      <c r="B359" t="s">
        <v>23</v>
      </c>
      <c r="C359" t="s">
        <v>37</v>
      </c>
      <c r="D359" t="s">
        <v>39</v>
      </c>
      <c r="E359">
        <v>8</v>
      </c>
      <c r="F359">
        <v>166.4</v>
      </c>
      <c r="G359">
        <v>88.4</v>
      </c>
      <c r="H359">
        <v>4.4000000000000004</v>
      </c>
      <c r="I359">
        <v>7</v>
      </c>
      <c r="J359">
        <v>9.3000000000000007</v>
      </c>
      <c r="K359">
        <v>6.99</v>
      </c>
      <c r="L359">
        <v>0</v>
      </c>
      <c r="M359" t="s">
        <v>34</v>
      </c>
      <c r="N359" t="s">
        <v>26</v>
      </c>
      <c r="O359">
        <v>14.41</v>
      </c>
      <c r="P359" s="1">
        <v>45536</v>
      </c>
      <c r="Q359" t="str">
        <f t="shared" si="5"/>
        <v>Medium Performance</v>
      </c>
      <c r="R359" s="2">
        <f>Table1_1[[#This Row],[tasks_completed]]/Table1_1[[#This Row],[monthly_hours_worked]]</f>
        <v>4.2067307692307689E-2</v>
      </c>
    </row>
    <row r="360" spans="1:18" x14ac:dyDescent="0.3">
      <c r="A360" t="s">
        <v>74</v>
      </c>
      <c r="B360" t="s">
        <v>43</v>
      </c>
      <c r="C360" t="s">
        <v>24</v>
      </c>
      <c r="D360" t="s">
        <v>19</v>
      </c>
      <c r="E360">
        <v>6</v>
      </c>
      <c r="F360">
        <v>167.1</v>
      </c>
      <c r="G360">
        <v>93</v>
      </c>
      <c r="H360">
        <v>8.1999999999999993</v>
      </c>
      <c r="I360">
        <v>4</v>
      </c>
      <c r="J360">
        <v>8.52</v>
      </c>
      <c r="K360">
        <v>4.8499999999999996</v>
      </c>
      <c r="L360">
        <v>1</v>
      </c>
      <c r="M360" t="s">
        <v>34</v>
      </c>
      <c r="N360" t="s">
        <v>21</v>
      </c>
      <c r="O360">
        <v>0</v>
      </c>
      <c r="P360" s="1">
        <v>45566</v>
      </c>
      <c r="Q360" t="str">
        <f t="shared" si="5"/>
        <v>Low Performance</v>
      </c>
      <c r="R360" s="2">
        <f>Table1_1[[#This Row],[tasks_completed]]/Table1_1[[#This Row],[monthly_hours_worked]]</f>
        <v>2.39377618192699E-2</v>
      </c>
    </row>
    <row r="361" spans="1:18" x14ac:dyDescent="0.3">
      <c r="A361" t="s">
        <v>74</v>
      </c>
      <c r="B361" t="s">
        <v>33</v>
      </c>
      <c r="C361" t="s">
        <v>41</v>
      </c>
      <c r="D361" t="s">
        <v>39</v>
      </c>
      <c r="E361">
        <v>6</v>
      </c>
      <c r="F361">
        <v>159</v>
      </c>
      <c r="G361">
        <v>99.7</v>
      </c>
      <c r="H361">
        <v>2.4</v>
      </c>
      <c r="I361">
        <v>6</v>
      </c>
      <c r="J361">
        <v>7.24</v>
      </c>
      <c r="K361">
        <v>6.35</v>
      </c>
      <c r="L361">
        <v>1</v>
      </c>
      <c r="M361" t="s">
        <v>34</v>
      </c>
      <c r="N361" t="s">
        <v>35</v>
      </c>
      <c r="O361">
        <v>13.34</v>
      </c>
      <c r="P361" s="1">
        <v>45597</v>
      </c>
      <c r="Q361" t="str">
        <f t="shared" si="5"/>
        <v>Medium Performance</v>
      </c>
      <c r="R361" s="2">
        <f>Table1_1[[#This Row],[tasks_completed]]/Table1_1[[#This Row],[monthly_hours_worked]]</f>
        <v>3.7735849056603772E-2</v>
      </c>
    </row>
    <row r="362" spans="1:18" x14ac:dyDescent="0.3">
      <c r="A362" t="s">
        <v>75</v>
      </c>
      <c r="B362" t="s">
        <v>23</v>
      </c>
      <c r="C362" t="s">
        <v>41</v>
      </c>
      <c r="D362" t="s">
        <v>29</v>
      </c>
      <c r="E362">
        <v>7</v>
      </c>
      <c r="F362">
        <v>166.5</v>
      </c>
      <c r="G362">
        <v>86.8</v>
      </c>
      <c r="H362">
        <v>6</v>
      </c>
      <c r="I362">
        <v>7</v>
      </c>
      <c r="J362">
        <v>5.92</v>
      </c>
      <c r="K362">
        <v>9.94</v>
      </c>
      <c r="L362">
        <v>1</v>
      </c>
      <c r="M362" t="s">
        <v>34</v>
      </c>
      <c r="N362" t="s">
        <v>26</v>
      </c>
      <c r="O362">
        <v>9.91</v>
      </c>
      <c r="P362" s="1">
        <v>45292</v>
      </c>
      <c r="Q362" t="str">
        <f t="shared" si="5"/>
        <v>Low Performance</v>
      </c>
      <c r="R362" s="2">
        <f>Table1_1[[#This Row],[tasks_completed]]/Table1_1[[#This Row],[monthly_hours_worked]]</f>
        <v>4.2042042042042045E-2</v>
      </c>
    </row>
    <row r="363" spans="1:18" x14ac:dyDescent="0.3">
      <c r="A363" t="s">
        <v>75</v>
      </c>
      <c r="B363" t="s">
        <v>43</v>
      </c>
      <c r="C363" t="s">
        <v>41</v>
      </c>
      <c r="D363" t="s">
        <v>39</v>
      </c>
      <c r="E363">
        <v>3</v>
      </c>
      <c r="F363">
        <v>155.9</v>
      </c>
      <c r="G363">
        <v>95.6</v>
      </c>
      <c r="H363">
        <v>3.4</v>
      </c>
      <c r="I363">
        <v>9</v>
      </c>
      <c r="J363">
        <v>7.09</v>
      </c>
      <c r="K363">
        <v>7.62</v>
      </c>
      <c r="L363">
        <v>1</v>
      </c>
      <c r="M363" t="s">
        <v>25</v>
      </c>
      <c r="N363" t="s">
        <v>35</v>
      </c>
      <c r="O363">
        <v>9.6300000000000008</v>
      </c>
      <c r="P363" s="1">
        <v>45292</v>
      </c>
      <c r="Q363" t="str">
        <f t="shared" si="5"/>
        <v>Low Performance</v>
      </c>
      <c r="R363" s="2">
        <f>Table1_1[[#This Row],[tasks_completed]]/Table1_1[[#This Row],[monthly_hours_worked]]</f>
        <v>5.7729313662604233E-2</v>
      </c>
    </row>
    <row r="364" spans="1:18" x14ac:dyDescent="0.3">
      <c r="A364" t="s">
        <v>75</v>
      </c>
      <c r="B364" t="s">
        <v>33</v>
      </c>
      <c r="C364" t="s">
        <v>24</v>
      </c>
      <c r="D364" t="s">
        <v>29</v>
      </c>
      <c r="E364">
        <v>6</v>
      </c>
      <c r="F364">
        <v>166.7</v>
      </c>
      <c r="G364">
        <v>97.9</v>
      </c>
      <c r="H364">
        <v>6.2</v>
      </c>
      <c r="I364">
        <v>9</v>
      </c>
      <c r="J364">
        <v>7.31</v>
      </c>
      <c r="K364">
        <v>7.82</v>
      </c>
      <c r="L364">
        <v>0</v>
      </c>
      <c r="M364" t="s">
        <v>20</v>
      </c>
      <c r="N364" t="s">
        <v>35</v>
      </c>
      <c r="O364">
        <v>16.559999999999999</v>
      </c>
      <c r="P364" s="1">
        <v>45352</v>
      </c>
      <c r="Q364" t="str">
        <f t="shared" si="5"/>
        <v>High Performance</v>
      </c>
      <c r="R364" s="2">
        <f>Table1_1[[#This Row],[tasks_completed]]/Table1_1[[#This Row],[monthly_hours_worked]]</f>
        <v>5.3989202159568088E-2</v>
      </c>
    </row>
    <row r="365" spans="1:18" x14ac:dyDescent="0.3">
      <c r="A365" t="s">
        <v>75</v>
      </c>
      <c r="B365" t="s">
        <v>23</v>
      </c>
      <c r="C365" t="s">
        <v>24</v>
      </c>
      <c r="D365" t="s">
        <v>29</v>
      </c>
      <c r="E365">
        <v>5</v>
      </c>
      <c r="F365">
        <v>183.9</v>
      </c>
      <c r="G365">
        <v>100</v>
      </c>
      <c r="H365">
        <v>6.4</v>
      </c>
      <c r="I365">
        <v>4</v>
      </c>
      <c r="J365">
        <v>7.67</v>
      </c>
      <c r="K365">
        <v>5.42</v>
      </c>
      <c r="L365">
        <v>1</v>
      </c>
      <c r="M365" t="s">
        <v>25</v>
      </c>
      <c r="N365" t="s">
        <v>21</v>
      </c>
      <c r="O365">
        <v>13.65</v>
      </c>
      <c r="P365" s="1">
        <v>45352</v>
      </c>
      <c r="Q365" t="str">
        <f t="shared" si="5"/>
        <v>Medium Performance</v>
      </c>
      <c r="R365" s="2">
        <f>Table1_1[[#This Row],[tasks_completed]]/Table1_1[[#This Row],[monthly_hours_worked]]</f>
        <v>2.1750951604132679E-2</v>
      </c>
    </row>
    <row r="366" spans="1:18" x14ac:dyDescent="0.3">
      <c r="A366" t="s">
        <v>75</v>
      </c>
      <c r="B366" t="s">
        <v>33</v>
      </c>
      <c r="C366" t="s">
        <v>18</v>
      </c>
      <c r="D366" t="s">
        <v>19</v>
      </c>
      <c r="E366">
        <v>2</v>
      </c>
      <c r="F366">
        <v>152.80000000000001</v>
      </c>
      <c r="G366">
        <v>98.3</v>
      </c>
      <c r="H366">
        <v>7</v>
      </c>
      <c r="I366">
        <v>6</v>
      </c>
      <c r="J366">
        <v>6.68</v>
      </c>
      <c r="K366">
        <v>3.86</v>
      </c>
      <c r="L366">
        <v>0</v>
      </c>
      <c r="M366" t="s">
        <v>34</v>
      </c>
      <c r="N366" t="s">
        <v>26</v>
      </c>
      <c r="O366">
        <v>16.260000000000002</v>
      </c>
      <c r="P366" s="1">
        <v>45383</v>
      </c>
      <c r="Q366" t="str">
        <f t="shared" si="5"/>
        <v>High Performance</v>
      </c>
      <c r="R366" s="2">
        <f>Table1_1[[#This Row],[tasks_completed]]/Table1_1[[#This Row],[monthly_hours_worked]]</f>
        <v>3.9267015706806283E-2</v>
      </c>
    </row>
    <row r="367" spans="1:18" x14ac:dyDescent="0.3">
      <c r="A367" t="s">
        <v>75</v>
      </c>
      <c r="B367" t="s">
        <v>27</v>
      </c>
      <c r="C367" t="s">
        <v>18</v>
      </c>
      <c r="D367" t="s">
        <v>19</v>
      </c>
      <c r="E367">
        <v>6</v>
      </c>
      <c r="F367">
        <v>129</v>
      </c>
      <c r="G367">
        <v>95.6</v>
      </c>
      <c r="H367">
        <v>3.9</v>
      </c>
      <c r="I367">
        <v>6</v>
      </c>
      <c r="J367">
        <v>8.07</v>
      </c>
      <c r="K367">
        <v>6.53</v>
      </c>
      <c r="L367">
        <v>1</v>
      </c>
      <c r="M367" t="s">
        <v>20</v>
      </c>
      <c r="N367" t="s">
        <v>26</v>
      </c>
      <c r="O367">
        <v>11.61</v>
      </c>
      <c r="P367" s="1">
        <v>45413</v>
      </c>
      <c r="Q367" t="str">
        <f t="shared" si="5"/>
        <v>Medium Performance</v>
      </c>
      <c r="R367" s="2">
        <f>Table1_1[[#This Row],[tasks_completed]]/Table1_1[[#This Row],[monthly_hours_worked]]</f>
        <v>4.6511627906976744E-2</v>
      </c>
    </row>
    <row r="368" spans="1:18" x14ac:dyDescent="0.3">
      <c r="A368" t="s">
        <v>75</v>
      </c>
      <c r="B368" t="s">
        <v>23</v>
      </c>
      <c r="C368" t="s">
        <v>41</v>
      </c>
      <c r="D368" t="s">
        <v>39</v>
      </c>
      <c r="E368">
        <v>9</v>
      </c>
      <c r="F368">
        <v>164.4</v>
      </c>
      <c r="G368">
        <v>95.6</v>
      </c>
      <c r="H368">
        <v>5.6</v>
      </c>
      <c r="I368">
        <v>5</v>
      </c>
      <c r="J368">
        <v>8.39</v>
      </c>
      <c r="K368">
        <v>5.91</v>
      </c>
      <c r="L368">
        <v>0</v>
      </c>
      <c r="M368" t="s">
        <v>25</v>
      </c>
      <c r="N368" t="s">
        <v>21</v>
      </c>
      <c r="O368">
        <v>13.21</v>
      </c>
      <c r="P368" s="1">
        <v>45444</v>
      </c>
      <c r="Q368" t="str">
        <f t="shared" si="5"/>
        <v>Medium Performance</v>
      </c>
      <c r="R368" s="2">
        <f>Table1_1[[#This Row],[tasks_completed]]/Table1_1[[#This Row],[monthly_hours_worked]]</f>
        <v>3.0413625304136251E-2</v>
      </c>
    </row>
    <row r="369" spans="1:18" x14ac:dyDescent="0.3">
      <c r="A369" t="s">
        <v>75</v>
      </c>
      <c r="B369" t="s">
        <v>23</v>
      </c>
      <c r="C369" t="s">
        <v>41</v>
      </c>
      <c r="D369" t="s">
        <v>29</v>
      </c>
      <c r="E369">
        <v>3</v>
      </c>
      <c r="F369">
        <v>165</v>
      </c>
      <c r="G369">
        <v>90.8</v>
      </c>
      <c r="H369">
        <v>4.2</v>
      </c>
      <c r="I369">
        <v>13</v>
      </c>
      <c r="J369">
        <v>7.9</v>
      </c>
      <c r="K369">
        <v>6.8</v>
      </c>
      <c r="L369">
        <v>0</v>
      </c>
      <c r="M369" t="s">
        <v>34</v>
      </c>
      <c r="N369" t="s">
        <v>35</v>
      </c>
      <c r="O369">
        <v>3.99</v>
      </c>
      <c r="P369" s="1">
        <v>45474</v>
      </c>
      <c r="Q369" t="str">
        <f t="shared" si="5"/>
        <v>Low Performance</v>
      </c>
      <c r="R369" s="2">
        <f>Table1_1[[#This Row],[tasks_completed]]/Table1_1[[#This Row],[monthly_hours_worked]]</f>
        <v>7.8787878787878782E-2</v>
      </c>
    </row>
    <row r="370" spans="1:18" x14ac:dyDescent="0.3">
      <c r="A370" t="s">
        <v>75</v>
      </c>
      <c r="B370" t="s">
        <v>17</v>
      </c>
      <c r="C370" t="s">
        <v>31</v>
      </c>
      <c r="D370" t="s">
        <v>39</v>
      </c>
      <c r="E370">
        <v>6</v>
      </c>
      <c r="F370">
        <v>159.30000000000001</v>
      </c>
      <c r="G370">
        <v>100</v>
      </c>
      <c r="H370">
        <v>3.5</v>
      </c>
      <c r="I370">
        <v>5</v>
      </c>
      <c r="K370">
        <v>6.9</v>
      </c>
      <c r="L370">
        <v>0</v>
      </c>
      <c r="M370" t="s">
        <v>34</v>
      </c>
      <c r="N370" t="s">
        <v>26</v>
      </c>
      <c r="O370">
        <v>13.06</v>
      </c>
      <c r="P370" s="1">
        <v>45505</v>
      </c>
      <c r="Q370" t="str">
        <f t="shared" si="5"/>
        <v>Medium Performance</v>
      </c>
      <c r="R370" s="2">
        <f>Table1_1[[#This Row],[tasks_completed]]/Table1_1[[#This Row],[monthly_hours_worked]]</f>
        <v>3.1387319522912738E-2</v>
      </c>
    </row>
    <row r="371" spans="1:18" x14ac:dyDescent="0.3">
      <c r="A371" t="s">
        <v>75</v>
      </c>
      <c r="B371" t="s">
        <v>23</v>
      </c>
      <c r="C371" t="s">
        <v>31</v>
      </c>
      <c r="D371" t="s">
        <v>19</v>
      </c>
      <c r="E371">
        <v>8</v>
      </c>
      <c r="F371">
        <v>157.6</v>
      </c>
      <c r="G371">
        <v>92.5</v>
      </c>
      <c r="H371">
        <v>2.6</v>
      </c>
      <c r="I371">
        <v>5</v>
      </c>
      <c r="J371">
        <v>9.31</v>
      </c>
      <c r="K371">
        <v>4.6500000000000004</v>
      </c>
      <c r="L371">
        <v>0</v>
      </c>
      <c r="M371" t="s">
        <v>20</v>
      </c>
      <c r="N371" t="s">
        <v>26</v>
      </c>
      <c r="O371">
        <v>16.68</v>
      </c>
      <c r="P371" s="1">
        <v>45536</v>
      </c>
      <c r="Q371" t="str">
        <f t="shared" si="5"/>
        <v>High Performance</v>
      </c>
      <c r="R371" s="2">
        <f>Table1_1[[#This Row],[tasks_completed]]/Table1_1[[#This Row],[monthly_hours_worked]]</f>
        <v>3.1725888324873094E-2</v>
      </c>
    </row>
    <row r="372" spans="1:18" x14ac:dyDescent="0.3">
      <c r="A372" t="s">
        <v>75</v>
      </c>
      <c r="B372" t="s">
        <v>43</v>
      </c>
      <c r="C372" t="s">
        <v>24</v>
      </c>
      <c r="D372" t="s">
        <v>19</v>
      </c>
      <c r="E372">
        <v>7</v>
      </c>
      <c r="F372">
        <v>167.6</v>
      </c>
      <c r="G372">
        <v>85.4</v>
      </c>
      <c r="H372">
        <v>6.3</v>
      </c>
      <c r="I372">
        <v>5</v>
      </c>
      <c r="K372">
        <v>8.26</v>
      </c>
      <c r="L372">
        <v>0</v>
      </c>
      <c r="M372" t="s">
        <v>25</v>
      </c>
      <c r="N372" t="s">
        <v>35</v>
      </c>
      <c r="O372">
        <v>11.31</v>
      </c>
      <c r="P372" s="1">
        <v>45566</v>
      </c>
      <c r="Q372" t="str">
        <f t="shared" si="5"/>
        <v>Medium Performance</v>
      </c>
      <c r="R372" s="2">
        <f>Table1_1[[#This Row],[tasks_completed]]/Table1_1[[#This Row],[monthly_hours_worked]]</f>
        <v>2.983293556085919E-2</v>
      </c>
    </row>
    <row r="373" spans="1:18" x14ac:dyDescent="0.3">
      <c r="A373" t="s">
        <v>75</v>
      </c>
      <c r="B373" t="s">
        <v>43</v>
      </c>
      <c r="C373" t="s">
        <v>24</v>
      </c>
      <c r="D373" t="s">
        <v>39</v>
      </c>
      <c r="E373">
        <v>1</v>
      </c>
      <c r="F373">
        <v>144.19999999999999</v>
      </c>
      <c r="G373">
        <v>95.6</v>
      </c>
      <c r="H373">
        <v>8.1</v>
      </c>
      <c r="I373">
        <v>2</v>
      </c>
      <c r="J373">
        <v>8.34</v>
      </c>
      <c r="K373">
        <v>6.97</v>
      </c>
      <c r="L373">
        <v>0</v>
      </c>
      <c r="M373" t="s">
        <v>34</v>
      </c>
      <c r="N373" t="s">
        <v>26</v>
      </c>
      <c r="O373">
        <v>17.440000000000001</v>
      </c>
      <c r="P373" s="1">
        <v>45597</v>
      </c>
      <c r="Q373" t="str">
        <f t="shared" si="5"/>
        <v>High Performance</v>
      </c>
      <c r="R373" s="2">
        <f>Table1_1[[#This Row],[tasks_completed]]/Table1_1[[#This Row],[monthly_hours_worked]]</f>
        <v>1.3869625520110958E-2</v>
      </c>
    </row>
    <row r="374" spans="1:18" x14ac:dyDescent="0.3">
      <c r="A374" t="s">
        <v>76</v>
      </c>
      <c r="B374" t="s">
        <v>43</v>
      </c>
      <c r="C374" t="s">
        <v>31</v>
      </c>
      <c r="D374" t="s">
        <v>39</v>
      </c>
      <c r="E374">
        <v>8</v>
      </c>
      <c r="F374">
        <v>168.7</v>
      </c>
      <c r="G374">
        <v>89.1</v>
      </c>
      <c r="H374">
        <v>6.2</v>
      </c>
      <c r="I374">
        <v>4</v>
      </c>
      <c r="J374">
        <v>8.43</v>
      </c>
      <c r="K374">
        <v>7.5</v>
      </c>
      <c r="L374">
        <v>0</v>
      </c>
      <c r="M374" t="s">
        <v>20</v>
      </c>
      <c r="N374" t="s">
        <v>26</v>
      </c>
      <c r="O374">
        <v>21.12</v>
      </c>
      <c r="P374" s="1">
        <v>45292</v>
      </c>
      <c r="Q374" t="str">
        <f t="shared" si="5"/>
        <v>High Performance</v>
      </c>
      <c r="R374" s="2">
        <f>Table1_1[[#This Row],[tasks_completed]]/Table1_1[[#This Row],[monthly_hours_worked]]</f>
        <v>2.3710729104919979E-2</v>
      </c>
    </row>
    <row r="375" spans="1:18" x14ac:dyDescent="0.3">
      <c r="A375" t="s">
        <v>76</v>
      </c>
      <c r="B375" t="s">
        <v>27</v>
      </c>
      <c r="C375" t="s">
        <v>31</v>
      </c>
      <c r="D375" t="s">
        <v>29</v>
      </c>
      <c r="E375">
        <v>2</v>
      </c>
      <c r="F375">
        <v>175.1</v>
      </c>
      <c r="G375">
        <v>100</v>
      </c>
      <c r="H375">
        <v>3.7</v>
      </c>
      <c r="I375">
        <v>7</v>
      </c>
      <c r="J375">
        <v>8.01</v>
      </c>
      <c r="K375">
        <v>6.85</v>
      </c>
      <c r="L375">
        <v>2</v>
      </c>
      <c r="M375" t="s">
        <v>25</v>
      </c>
      <c r="N375" t="s">
        <v>26</v>
      </c>
      <c r="O375">
        <v>12.23</v>
      </c>
      <c r="P375" s="1">
        <v>45292</v>
      </c>
      <c r="Q375" t="str">
        <f t="shared" si="5"/>
        <v>Medium Performance</v>
      </c>
      <c r="R375" s="2">
        <f>Table1_1[[#This Row],[tasks_completed]]/Table1_1[[#This Row],[monthly_hours_worked]]</f>
        <v>3.9977155910908051E-2</v>
      </c>
    </row>
    <row r="376" spans="1:18" x14ac:dyDescent="0.3">
      <c r="A376" t="s">
        <v>76</v>
      </c>
      <c r="B376" t="s">
        <v>23</v>
      </c>
      <c r="C376" t="s">
        <v>37</v>
      </c>
      <c r="D376" t="s">
        <v>29</v>
      </c>
      <c r="E376">
        <v>3</v>
      </c>
      <c r="F376">
        <v>168.7</v>
      </c>
      <c r="G376">
        <v>99.7</v>
      </c>
      <c r="H376">
        <v>5.3</v>
      </c>
      <c r="I376">
        <v>4</v>
      </c>
      <c r="J376">
        <v>7.29</v>
      </c>
      <c r="K376">
        <v>1.85</v>
      </c>
      <c r="L376">
        <v>2</v>
      </c>
      <c r="M376" t="s">
        <v>34</v>
      </c>
      <c r="N376" t="s">
        <v>35</v>
      </c>
      <c r="O376">
        <v>11.29</v>
      </c>
      <c r="P376" s="1">
        <v>45352</v>
      </c>
      <c r="Q376" t="str">
        <f t="shared" si="5"/>
        <v>Medium Performance</v>
      </c>
      <c r="R376" s="2">
        <f>Table1_1[[#This Row],[tasks_completed]]/Table1_1[[#This Row],[monthly_hours_worked]]</f>
        <v>2.3710729104919979E-2</v>
      </c>
    </row>
    <row r="377" spans="1:18" x14ac:dyDescent="0.3">
      <c r="A377" t="s">
        <v>76</v>
      </c>
      <c r="B377" t="s">
        <v>33</v>
      </c>
      <c r="C377" t="s">
        <v>41</v>
      </c>
      <c r="D377" t="s">
        <v>29</v>
      </c>
      <c r="E377">
        <v>5</v>
      </c>
      <c r="F377">
        <v>146.6</v>
      </c>
      <c r="G377">
        <v>100</v>
      </c>
      <c r="H377">
        <v>1.5</v>
      </c>
      <c r="I377">
        <v>3</v>
      </c>
      <c r="J377">
        <v>7.02</v>
      </c>
      <c r="K377">
        <v>7.37</v>
      </c>
      <c r="L377">
        <v>0</v>
      </c>
      <c r="M377" t="s">
        <v>34</v>
      </c>
      <c r="N377" t="s">
        <v>26</v>
      </c>
      <c r="O377">
        <v>18.079999999999998</v>
      </c>
      <c r="P377" s="1">
        <v>45352</v>
      </c>
      <c r="Q377" t="str">
        <f t="shared" si="5"/>
        <v>High Performance</v>
      </c>
      <c r="R377" s="2">
        <f>Table1_1[[#This Row],[tasks_completed]]/Table1_1[[#This Row],[monthly_hours_worked]]</f>
        <v>2.0463847203274217E-2</v>
      </c>
    </row>
    <row r="378" spans="1:18" x14ac:dyDescent="0.3">
      <c r="A378" t="s">
        <v>76</v>
      </c>
      <c r="B378" t="s">
        <v>17</v>
      </c>
      <c r="C378" t="s">
        <v>37</v>
      </c>
      <c r="D378" t="s">
        <v>29</v>
      </c>
      <c r="E378">
        <v>7</v>
      </c>
      <c r="F378">
        <v>155.30000000000001</v>
      </c>
      <c r="G378">
        <v>100</v>
      </c>
      <c r="H378">
        <v>4.5</v>
      </c>
      <c r="I378">
        <v>2</v>
      </c>
      <c r="J378">
        <v>6.18</v>
      </c>
      <c r="K378">
        <v>6.56</v>
      </c>
      <c r="L378">
        <v>0</v>
      </c>
      <c r="M378" t="s">
        <v>25</v>
      </c>
      <c r="N378" t="s">
        <v>35</v>
      </c>
      <c r="O378">
        <v>11.24</v>
      </c>
      <c r="P378" s="1">
        <v>45383</v>
      </c>
      <c r="Q378" t="str">
        <f t="shared" si="5"/>
        <v>Medium Performance</v>
      </c>
      <c r="R378" s="2">
        <f>Table1_1[[#This Row],[tasks_completed]]/Table1_1[[#This Row],[monthly_hours_worked]]</f>
        <v>1.28783000643915E-2</v>
      </c>
    </row>
    <row r="379" spans="1:18" x14ac:dyDescent="0.3">
      <c r="A379" t="s">
        <v>76</v>
      </c>
      <c r="B379" t="s">
        <v>43</v>
      </c>
      <c r="C379" t="s">
        <v>41</v>
      </c>
      <c r="D379" t="s">
        <v>29</v>
      </c>
      <c r="E379">
        <v>8</v>
      </c>
      <c r="F379">
        <v>172.1</v>
      </c>
      <c r="G379">
        <v>98</v>
      </c>
      <c r="H379">
        <v>5.3</v>
      </c>
      <c r="I379">
        <v>4</v>
      </c>
      <c r="J379">
        <v>8.09</v>
      </c>
      <c r="K379">
        <v>5.46</v>
      </c>
      <c r="L379">
        <v>1</v>
      </c>
      <c r="M379" t="s">
        <v>20</v>
      </c>
      <c r="N379" t="s">
        <v>21</v>
      </c>
      <c r="O379">
        <v>21.62</v>
      </c>
      <c r="P379" s="1">
        <v>45413</v>
      </c>
      <c r="Q379" t="str">
        <f t="shared" si="5"/>
        <v>High Performance</v>
      </c>
      <c r="R379" s="2">
        <f>Table1_1[[#This Row],[tasks_completed]]/Table1_1[[#This Row],[monthly_hours_worked]]</f>
        <v>2.3242300987797792E-2</v>
      </c>
    </row>
    <row r="380" spans="1:18" x14ac:dyDescent="0.3">
      <c r="A380" t="s">
        <v>76</v>
      </c>
      <c r="B380" t="s">
        <v>23</v>
      </c>
      <c r="C380" t="s">
        <v>31</v>
      </c>
      <c r="D380" t="s">
        <v>39</v>
      </c>
      <c r="E380">
        <v>6</v>
      </c>
      <c r="F380">
        <v>168.7</v>
      </c>
      <c r="G380">
        <v>91.2</v>
      </c>
      <c r="H380">
        <v>4.9000000000000004</v>
      </c>
      <c r="I380">
        <v>8</v>
      </c>
      <c r="J380">
        <v>8.69</v>
      </c>
      <c r="K380">
        <v>10</v>
      </c>
      <c r="L380">
        <v>0</v>
      </c>
      <c r="M380" t="s">
        <v>25</v>
      </c>
      <c r="N380" t="s">
        <v>35</v>
      </c>
      <c r="O380">
        <v>18.45</v>
      </c>
      <c r="P380" s="1">
        <v>45444</v>
      </c>
      <c r="Q380" t="str">
        <f t="shared" si="5"/>
        <v>High Performance</v>
      </c>
      <c r="R380" s="2">
        <f>Table1_1[[#This Row],[tasks_completed]]/Table1_1[[#This Row],[monthly_hours_worked]]</f>
        <v>4.7421458209839958E-2</v>
      </c>
    </row>
    <row r="381" spans="1:18" x14ac:dyDescent="0.3">
      <c r="A381" t="s">
        <v>76</v>
      </c>
      <c r="B381" t="s">
        <v>17</v>
      </c>
      <c r="C381" t="s">
        <v>31</v>
      </c>
      <c r="D381" t="s">
        <v>19</v>
      </c>
      <c r="E381">
        <v>5</v>
      </c>
      <c r="F381">
        <v>166.4</v>
      </c>
      <c r="G381">
        <v>99.6</v>
      </c>
      <c r="H381">
        <v>4</v>
      </c>
      <c r="I381">
        <v>5</v>
      </c>
      <c r="J381">
        <v>5.77</v>
      </c>
      <c r="K381">
        <v>8.65</v>
      </c>
      <c r="L381">
        <v>0</v>
      </c>
      <c r="M381" t="s">
        <v>20</v>
      </c>
      <c r="N381" t="s">
        <v>21</v>
      </c>
      <c r="O381">
        <v>14.57</v>
      </c>
      <c r="P381" s="1">
        <v>45474</v>
      </c>
      <c r="Q381" t="str">
        <f t="shared" si="5"/>
        <v>Medium Performance</v>
      </c>
      <c r="R381" s="2">
        <f>Table1_1[[#This Row],[tasks_completed]]/Table1_1[[#This Row],[monthly_hours_worked]]</f>
        <v>3.004807692307692E-2</v>
      </c>
    </row>
    <row r="382" spans="1:18" x14ac:dyDescent="0.3">
      <c r="A382" t="s">
        <v>76</v>
      </c>
      <c r="B382" t="s">
        <v>43</v>
      </c>
      <c r="C382" t="s">
        <v>18</v>
      </c>
      <c r="D382" t="s">
        <v>39</v>
      </c>
      <c r="E382">
        <v>10</v>
      </c>
      <c r="F382">
        <v>149.9</v>
      </c>
      <c r="G382">
        <v>85.8</v>
      </c>
      <c r="H382">
        <v>8.1999999999999993</v>
      </c>
      <c r="I382">
        <v>5</v>
      </c>
      <c r="K382">
        <v>7.24</v>
      </c>
      <c r="L382">
        <v>1</v>
      </c>
      <c r="M382" t="s">
        <v>25</v>
      </c>
      <c r="N382" t="s">
        <v>21</v>
      </c>
      <c r="O382">
        <v>8.5299999999999994</v>
      </c>
      <c r="P382" s="1">
        <v>45505</v>
      </c>
      <c r="Q382" t="str">
        <f t="shared" si="5"/>
        <v>Low Performance</v>
      </c>
      <c r="R382" s="2">
        <f>Table1_1[[#This Row],[tasks_completed]]/Table1_1[[#This Row],[monthly_hours_worked]]</f>
        <v>3.3355570380253503E-2</v>
      </c>
    </row>
    <row r="383" spans="1:18" x14ac:dyDescent="0.3">
      <c r="A383" t="s">
        <v>76</v>
      </c>
      <c r="B383" t="s">
        <v>33</v>
      </c>
      <c r="C383" t="s">
        <v>18</v>
      </c>
      <c r="D383" t="s">
        <v>19</v>
      </c>
      <c r="E383">
        <v>8</v>
      </c>
      <c r="F383">
        <v>157.4</v>
      </c>
      <c r="G383">
        <v>90.5</v>
      </c>
      <c r="H383">
        <v>4.9000000000000004</v>
      </c>
      <c r="I383">
        <v>4</v>
      </c>
      <c r="J383">
        <v>9.0399999999999991</v>
      </c>
      <c r="K383">
        <v>6.23</v>
      </c>
      <c r="L383">
        <v>1</v>
      </c>
      <c r="M383" t="s">
        <v>34</v>
      </c>
      <c r="N383" t="s">
        <v>35</v>
      </c>
      <c r="O383">
        <v>17.43</v>
      </c>
      <c r="P383" s="1">
        <v>45536</v>
      </c>
      <c r="Q383" t="str">
        <f t="shared" si="5"/>
        <v>High Performance</v>
      </c>
      <c r="R383" s="2">
        <f>Table1_1[[#This Row],[tasks_completed]]/Table1_1[[#This Row],[monthly_hours_worked]]</f>
        <v>2.5412960609911054E-2</v>
      </c>
    </row>
    <row r="384" spans="1:18" x14ac:dyDescent="0.3">
      <c r="A384" t="s">
        <v>76</v>
      </c>
      <c r="B384" t="s">
        <v>23</v>
      </c>
      <c r="C384" t="s">
        <v>24</v>
      </c>
      <c r="D384" t="s">
        <v>29</v>
      </c>
      <c r="E384">
        <v>2</v>
      </c>
      <c r="F384">
        <v>182.1</v>
      </c>
      <c r="G384">
        <v>100</v>
      </c>
      <c r="H384">
        <v>2.5</v>
      </c>
      <c r="I384">
        <v>8</v>
      </c>
      <c r="J384">
        <v>8.68</v>
      </c>
      <c r="K384">
        <v>6.61</v>
      </c>
      <c r="L384">
        <v>2</v>
      </c>
      <c r="M384" t="s">
        <v>20</v>
      </c>
      <c r="N384" t="s">
        <v>35</v>
      </c>
      <c r="O384">
        <v>19.54</v>
      </c>
      <c r="P384" s="1">
        <v>45566</v>
      </c>
      <c r="Q384" t="str">
        <f t="shared" si="5"/>
        <v>High Performance</v>
      </c>
      <c r="R384" s="2">
        <f>Table1_1[[#This Row],[tasks_completed]]/Table1_1[[#This Row],[monthly_hours_worked]]</f>
        <v>4.3931905546403076E-2</v>
      </c>
    </row>
    <row r="385" spans="1:18" x14ac:dyDescent="0.3">
      <c r="A385" t="s">
        <v>76</v>
      </c>
      <c r="B385" t="s">
        <v>23</v>
      </c>
      <c r="C385" t="s">
        <v>31</v>
      </c>
      <c r="D385" t="s">
        <v>39</v>
      </c>
      <c r="E385">
        <v>2</v>
      </c>
      <c r="F385">
        <v>170.6</v>
      </c>
      <c r="G385">
        <v>90.7</v>
      </c>
      <c r="H385">
        <v>7</v>
      </c>
      <c r="I385">
        <v>4</v>
      </c>
      <c r="J385">
        <v>5.68</v>
      </c>
      <c r="K385">
        <v>4.87</v>
      </c>
      <c r="L385">
        <v>0</v>
      </c>
      <c r="M385" t="s">
        <v>34</v>
      </c>
      <c r="N385" t="s">
        <v>21</v>
      </c>
      <c r="O385">
        <v>14.33</v>
      </c>
      <c r="P385" s="1">
        <v>45597</v>
      </c>
      <c r="Q385" t="str">
        <f t="shared" si="5"/>
        <v>Medium Performance</v>
      </c>
      <c r="R385" s="2">
        <f>Table1_1[[#This Row],[tasks_completed]]/Table1_1[[#This Row],[monthly_hours_worked]]</f>
        <v>2.3446658851113716E-2</v>
      </c>
    </row>
    <row r="386" spans="1:18" x14ac:dyDescent="0.3">
      <c r="A386" t="s">
        <v>77</v>
      </c>
      <c r="B386" t="s">
        <v>17</v>
      </c>
      <c r="C386" t="s">
        <v>18</v>
      </c>
      <c r="D386" t="s">
        <v>39</v>
      </c>
      <c r="E386">
        <v>5</v>
      </c>
      <c r="F386">
        <v>145.30000000000001</v>
      </c>
      <c r="G386">
        <v>88.1</v>
      </c>
      <c r="H386">
        <v>7.8</v>
      </c>
      <c r="I386">
        <v>8</v>
      </c>
      <c r="J386">
        <v>7.67</v>
      </c>
      <c r="K386">
        <v>7.17</v>
      </c>
      <c r="L386">
        <v>0</v>
      </c>
      <c r="M386" t="s">
        <v>25</v>
      </c>
      <c r="N386" t="s">
        <v>21</v>
      </c>
      <c r="O386">
        <v>11.99</v>
      </c>
      <c r="P386" s="1">
        <v>45292</v>
      </c>
      <c r="Q386" t="str">
        <f t="shared" ref="Q386:Q449" si="6">IF(O386&gt;=15, "High Performance", IF(O386&gt;=10, "Medium Performance", "Low Performance"))</f>
        <v>Medium Performance</v>
      </c>
      <c r="R386" s="2">
        <f>Table1_1[[#This Row],[tasks_completed]]/Table1_1[[#This Row],[monthly_hours_worked]]</f>
        <v>5.5058499655884371E-2</v>
      </c>
    </row>
    <row r="387" spans="1:18" x14ac:dyDescent="0.3">
      <c r="A387" t="s">
        <v>77</v>
      </c>
      <c r="B387" t="s">
        <v>27</v>
      </c>
      <c r="C387" t="s">
        <v>41</v>
      </c>
      <c r="D387" t="s">
        <v>19</v>
      </c>
      <c r="E387">
        <v>1</v>
      </c>
      <c r="F387">
        <v>158.69999999999999</v>
      </c>
      <c r="G387">
        <v>91.2</v>
      </c>
      <c r="H387">
        <v>8.8000000000000007</v>
      </c>
      <c r="I387">
        <v>7</v>
      </c>
      <c r="J387">
        <v>6.51</v>
      </c>
      <c r="K387">
        <v>9.93</v>
      </c>
      <c r="L387">
        <v>1</v>
      </c>
      <c r="M387" t="s">
        <v>20</v>
      </c>
      <c r="N387" t="s">
        <v>21</v>
      </c>
      <c r="O387">
        <v>11.53</v>
      </c>
      <c r="P387" s="1">
        <v>45292</v>
      </c>
      <c r="Q387" t="str">
        <f t="shared" si="6"/>
        <v>Medium Performance</v>
      </c>
      <c r="R387" s="2">
        <f>Table1_1[[#This Row],[tasks_completed]]/Table1_1[[#This Row],[monthly_hours_worked]]</f>
        <v>4.4108380592312542E-2</v>
      </c>
    </row>
    <row r="388" spans="1:18" x14ac:dyDescent="0.3">
      <c r="A388" t="s">
        <v>77</v>
      </c>
      <c r="B388" t="s">
        <v>33</v>
      </c>
      <c r="C388" t="s">
        <v>24</v>
      </c>
      <c r="D388" t="s">
        <v>39</v>
      </c>
      <c r="E388">
        <v>8</v>
      </c>
      <c r="F388">
        <v>163.1</v>
      </c>
      <c r="G388">
        <v>91.5</v>
      </c>
      <c r="H388">
        <v>7.3</v>
      </c>
      <c r="I388">
        <v>7</v>
      </c>
      <c r="J388">
        <v>8.27</v>
      </c>
      <c r="K388">
        <v>7.83</v>
      </c>
      <c r="L388">
        <v>0</v>
      </c>
      <c r="M388" t="s">
        <v>25</v>
      </c>
      <c r="N388" t="s">
        <v>21</v>
      </c>
      <c r="O388">
        <v>11.45</v>
      </c>
      <c r="P388" s="1">
        <v>45352</v>
      </c>
      <c r="Q388" t="str">
        <f t="shared" si="6"/>
        <v>Medium Performance</v>
      </c>
      <c r="R388" s="2">
        <f>Table1_1[[#This Row],[tasks_completed]]/Table1_1[[#This Row],[monthly_hours_worked]]</f>
        <v>4.2918454935622317E-2</v>
      </c>
    </row>
    <row r="389" spans="1:18" x14ac:dyDescent="0.3">
      <c r="A389" t="s">
        <v>77</v>
      </c>
      <c r="B389" t="s">
        <v>23</v>
      </c>
      <c r="C389" t="s">
        <v>31</v>
      </c>
      <c r="D389" t="s">
        <v>19</v>
      </c>
      <c r="E389">
        <v>10</v>
      </c>
      <c r="F389">
        <v>139</v>
      </c>
      <c r="G389">
        <v>100</v>
      </c>
      <c r="H389">
        <v>5.3</v>
      </c>
      <c r="I389">
        <v>4</v>
      </c>
      <c r="J389">
        <v>8.1</v>
      </c>
      <c r="K389">
        <v>3.35</v>
      </c>
      <c r="L389">
        <v>0</v>
      </c>
      <c r="M389" t="s">
        <v>34</v>
      </c>
      <c r="N389" t="s">
        <v>35</v>
      </c>
      <c r="O389">
        <v>18.78</v>
      </c>
      <c r="P389" s="1">
        <v>45352</v>
      </c>
      <c r="Q389" t="str">
        <f t="shared" si="6"/>
        <v>High Performance</v>
      </c>
      <c r="R389" s="2">
        <f>Table1_1[[#This Row],[tasks_completed]]/Table1_1[[#This Row],[monthly_hours_worked]]</f>
        <v>2.8776978417266189E-2</v>
      </c>
    </row>
    <row r="390" spans="1:18" x14ac:dyDescent="0.3">
      <c r="A390" t="s">
        <v>77</v>
      </c>
      <c r="B390" t="s">
        <v>17</v>
      </c>
      <c r="C390" t="s">
        <v>18</v>
      </c>
      <c r="D390" t="s">
        <v>39</v>
      </c>
      <c r="E390">
        <v>1</v>
      </c>
      <c r="F390">
        <v>164.9</v>
      </c>
      <c r="G390">
        <v>99.9</v>
      </c>
      <c r="H390">
        <v>6</v>
      </c>
      <c r="I390">
        <v>7</v>
      </c>
      <c r="J390">
        <v>7.22</v>
      </c>
      <c r="K390">
        <v>6.06</v>
      </c>
      <c r="L390">
        <v>0</v>
      </c>
      <c r="M390" t="s">
        <v>34</v>
      </c>
      <c r="N390" t="s">
        <v>26</v>
      </c>
      <c r="O390">
        <v>14.19</v>
      </c>
      <c r="P390" s="1">
        <v>45383</v>
      </c>
      <c r="Q390" t="str">
        <f t="shared" si="6"/>
        <v>Medium Performance</v>
      </c>
      <c r="R390" s="2">
        <f>Table1_1[[#This Row],[tasks_completed]]/Table1_1[[#This Row],[monthly_hours_worked]]</f>
        <v>4.2449969678593089E-2</v>
      </c>
    </row>
    <row r="391" spans="1:18" x14ac:dyDescent="0.3">
      <c r="A391" t="s">
        <v>77</v>
      </c>
      <c r="B391" t="s">
        <v>17</v>
      </c>
      <c r="C391" t="s">
        <v>41</v>
      </c>
      <c r="D391" t="s">
        <v>19</v>
      </c>
      <c r="E391">
        <v>7</v>
      </c>
      <c r="F391">
        <v>160.6</v>
      </c>
      <c r="G391">
        <v>100</v>
      </c>
      <c r="H391">
        <v>4.5</v>
      </c>
      <c r="I391">
        <v>9</v>
      </c>
      <c r="J391">
        <v>9.31</v>
      </c>
      <c r="K391">
        <v>9.82</v>
      </c>
      <c r="L391">
        <v>0</v>
      </c>
      <c r="M391" t="s">
        <v>25</v>
      </c>
      <c r="N391" t="s">
        <v>26</v>
      </c>
      <c r="O391">
        <v>16.63</v>
      </c>
      <c r="P391" s="1">
        <v>45413</v>
      </c>
      <c r="Q391" t="str">
        <f t="shared" si="6"/>
        <v>High Performance</v>
      </c>
      <c r="R391" s="2">
        <f>Table1_1[[#This Row],[tasks_completed]]/Table1_1[[#This Row],[monthly_hours_worked]]</f>
        <v>5.6039850560398508E-2</v>
      </c>
    </row>
    <row r="392" spans="1:18" x14ac:dyDescent="0.3">
      <c r="A392" t="s">
        <v>77</v>
      </c>
      <c r="B392" t="s">
        <v>23</v>
      </c>
      <c r="C392" t="s">
        <v>37</v>
      </c>
      <c r="D392" t="s">
        <v>39</v>
      </c>
      <c r="E392">
        <v>1</v>
      </c>
      <c r="F392">
        <v>163</v>
      </c>
      <c r="G392">
        <v>100</v>
      </c>
      <c r="H392">
        <v>4.9000000000000004</v>
      </c>
      <c r="I392">
        <v>4</v>
      </c>
      <c r="J392">
        <v>6.97</v>
      </c>
      <c r="K392">
        <v>6.24</v>
      </c>
      <c r="L392">
        <v>1</v>
      </c>
      <c r="M392" t="s">
        <v>25</v>
      </c>
      <c r="N392" t="s">
        <v>26</v>
      </c>
      <c r="O392">
        <v>9.58</v>
      </c>
      <c r="P392" s="1">
        <v>45444</v>
      </c>
      <c r="Q392" t="str">
        <f t="shared" si="6"/>
        <v>Low Performance</v>
      </c>
      <c r="R392" s="2">
        <f>Table1_1[[#This Row],[tasks_completed]]/Table1_1[[#This Row],[monthly_hours_worked]]</f>
        <v>2.4539877300613498E-2</v>
      </c>
    </row>
    <row r="393" spans="1:18" x14ac:dyDescent="0.3">
      <c r="A393" t="s">
        <v>77</v>
      </c>
      <c r="B393" t="s">
        <v>33</v>
      </c>
      <c r="C393" t="s">
        <v>24</v>
      </c>
      <c r="D393" t="s">
        <v>19</v>
      </c>
      <c r="E393">
        <v>9</v>
      </c>
      <c r="F393">
        <v>168.3</v>
      </c>
      <c r="G393">
        <v>98.3</v>
      </c>
      <c r="H393">
        <v>6.1</v>
      </c>
      <c r="I393">
        <v>4</v>
      </c>
      <c r="J393">
        <v>7.01</v>
      </c>
      <c r="K393">
        <v>9.61</v>
      </c>
      <c r="L393">
        <v>0</v>
      </c>
      <c r="M393" t="s">
        <v>20</v>
      </c>
      <c r="N393" t="s">
        <v>21</v>
      </c>
      <c r="O393">
        <v>11.6</v>
      </c>
      <c r="P393" s="1">
        <v>45474</v>
      </c>
      <c r="Q393" t="str">
        <f t="shared" si="6"/>
        <v>Medium Performance</v>
      </c>
      <c r="R393" s="2">
        <f>Table1_1[[#This Row],[tasks_completed]]/Table1_1[[#This Row],[monthly_hours_worked]]</f>
        <v>2.3767082590612002E-2</v>
      </c>
    </row>
    <row r="394" spans="1:18" x14ac:dyDescent="0.3">
      <c r="A394" t="s">
        <v>77</v>
      </c>
      <c r="B394" t="s">
        <v>17</v>
      </c>
      <c r="C394" t="s">
        <v>41</v>
      </c>
      <c r="D394" t="s">
        <v>39</v>
      </c>
      <c r="E394">
        <v>4</v>
      </c>
      <c r="F394">
        <v>162</v>
      </c>
      <c r="G394">
        <v>95.5</v>
      </c>
      <c r="H394">
        <v>5.0999999999999996</v>
      </c>
      <c r="I394">
        <v>5</v>
      </c>
      <c r="J394">
        <v>9.06</v>
      </c>
      <c r="K394">
        <v>8.91</v>
      </c>
      <c r="L394">
        <v>2</v>
      </c>
      <c r="M394" t="s">
        <v>25</v>
      </c>
      <c r="N394" t="s">
        <v>26</v>
      </c>
      <c r="O394">
        <v>25.58</v>
      </c>
      <c r="P394" s="1">
        <v>45505</v>
      </c>
      <c r="Q394" t="str">
        <f t="shared" si="6"/>
        <v>High Performance</v>
      </c>
      <c r="R394" s="2">
        <f>Table1_1[[#This Row],[tasks_completed]]/Table1_1[[#This Row],[monthly_hours_worked]]</f>
        <v>3.0864197530864196E-2</v>
      </c>
    </row>
    <row r="395" spans="1:18" x14ac:dyDescent="0.3">
      <c r="A395" t="s">
        <v>77</v>
      </c>
      <c r="B395" t="s">
        <v>27</v>
      </c>
      <c r="C395" t="s">
        <v>41</v>
      </c>
      <c r="D395" t="s">
        <v>19</v>
      </c>
      <c r="E395">
        <v>8</v>
      </c>
      <c r="F395">
        <v>142.9</v>
      </c>
      <c r="G395">
        <v>92.2</v>
      </c>
      <c r="H395">
        <v>3.9</v>
      </c>
      <c r="I395">
        <v>2</v>
      </c>
      <c r="J395">
        <v>7.69</v>
      </c>
      <c r="K395">
        <v>5.72</v>
      </c>
      <c r="L395">
        <v>1</v>
      </c>
      <c r="M395" t="s">
        <v>34</v>
      </c>
      <c r="N395" t="s">
        <v>21</v>
      </c>
      <c r="O395">
        <v>13.16</v>
      </c>
      <c r="P395" s="1">
        <v>45536</v>
      </c>
      <c r="Q395" t="str">
        <f t="shared" si="6"/>
        <v>Medium Performance</v>
      </c>
      <c r="R395" s="2">
        <f>Table1_1[[#This Row],[tasks_completed]]/Table1_1[[#This Row],[monthly_hours_worked]]</f>
        <v>1.3995801259622112E-2</v>
      </c>
    </row>
    <row r="396" spans="1:18" x14ac:dyDescent="0.3">
      <c r="A396" t="s">
        <v>77</v>
      </c>
      <c r="B396" t="s">
        <v>43</v>
      </c>
      <c r="C396" t="s">
        <v>31</v>
      </c>
      <c r="D396" t="s">
        <v>29</v>
      </c>
      <c r="E396">
        <v>6</v>
      </c>
      <c r="F396">
        <v>167</v>
      </c>
      <c r="G396">
        <v>96.8</v>
      </c>
      <c r="H396">
        <v>5</v>
      </c>
      <c r="I396">
        <v>9</v>
      </c>
      <c r="J396">
        <v>8.49</v>
      </c>
      <c r="K396">
        <v>9.5</v>
      </c>
      <c r="L396">
        <v>0</v>
      </c>
      <c r="M396" t="s">
        <v>34</v>
      </c>
      <c r="N396" t="s">
        <v>35</v>
      </c>
      <c r="O396">
        <v>18.670000000000002</v>
      </c>
      <c r="P396" s="1">
        <v>45566</v>
      </c>
      <c r="Q396" t="str">
        <f t="shared" si="6"/>
        <v>High Performance</v>
      </c>
      <c r="R396" s="2">
        <f>Table1_1[[#This Row],[tasks_completed]]/Table1_1[[#This Row],[monthly_hours_worked]]</f>
        <v>5.3892215568862277E-2</v>
      </c>
    </row>
    <row r="397" spans="1:18" x14ac:dyDescent="0.3">
      <c r="A397" t="s">
        <v>77</v>
      </c>
      <c r="B397" t="s">
        <v>33</v>
      </c>
      <c r="C397" t="s">
        <v>37</v>
      </c>
      <c r="D397" t="s">
        <v>19</v>
      </c>
      <c r="E397">
        <v>8</v>
      </c>
      <c r="F397">
        <v>149.30000000000001</v>
      </c>
      <c r="G397">
        <v>95.4</v>
      </c>
      <c r="H397">
        <v>4</v>
      </c>
      <c r="I397">
        <v>2</v>
      </c>
      <c r="J397">
        <v>10</v>
      </c>
      <c r="K397">
        <v>8.2899999999999991</v>
      </c>
      <c r="L397">
        <v>0</v>
      </c>
      <c r="M397" t="s">
        <v>25</v>
      </c>
      <c r="N397" t="s">
        <v>35</v>
      </c>
      <c r="O397">
        <v>13.43</v>
      </c>
      <c r="P397" s="1">
        <v>45597</v>
      </c>
      <c r="Q397" t="str">
        <f t="shared" si="6"/>
        <v>Medium Performance</v>
      </c>
      <c r="R397" s="2">
        <f>Table1_1[[#This Row],[tasks_completed]]/Table1_1[[#This Row],[monthly_hours_worked]]</f>
        <v>1.3395847287340923E-2</v>
      </c>
    </row>
    <row r="398" spans="1:18" x14ac:dyDescent="0.3">
      <c r="A398" t="s">
        <v>78</v>
      </c>
      <c r="B398" t="s">
        <v>17</v>
      </c>
      <c r="C398" t="s">
        <v>37</v>
      </c>
      <c r="D398" t="s">
        <v>29</v>
      </c>
      <c r="E398">
        <v>7</v>
      </c>
      <c r="F398">
        <v>154.9</v>
      </c>
      <c r="G398">
        <v>91.1</v>
      </c>
      <c r="H398">
        <v>5.3</v>
      </c>
      <c r="I398">
        <v>5</v>
      </c>
      <c r="J398">
        <v>6.96</v>
      </c>
      <c r="K398">
        <v>8.1</v>
      </c>
      <c r="L398">
        <v>0</v>
      </c>
      <c r="M398" t="s">
        <v>34</v>
      </c>
      <c r="N398" t="s">
        <v>26</v>
      </c>
      <c r="O398">
        <v>13.4</v>
      </c>
      <c r="P398" s="1">
        <v>45292</v>
      </c>
      <c r="Q398" t="str">
        <f t="shared" si="6"/>
        <v>Medium Performance</v>
      </c>
      <c r="R398" s="2">
        <f>Table1_1[[#This Row],[tasks_completed]]/Table1_1[[#This Row],[monthly_hours_worked]]</f>
        <v>3.2278889606197549E-2</v>
      </c>
    </row>
    <row r="399" spans="1:18" x14ac:dyDescent="0.3">
      <c r="A399" t="s">
        <v>78</v>
      </c>
      <c r="B399" t="s">
        <v>17</v>
      </c>
      <c r="C399" t="s">
        <v>41</v>
      </c>
      <c r="D399" t="s">
        <v>19</v>
      </c>
      <c r="E399">
        <v>7</v>
      </c>
      <c r="F399">
        <v>157.30000000000001</v>
      </c>
      <c r="G399">
        <v>94.9</v>
      </c>
      <c r="I399">
        <v>7</v>
      </c>
      <c r="J399">
        <v>7.65</v>
      </c>
      <c r="K399">
        <v>7.96</v>
      </c>
      <c r="L399">
        <v>2</v>
      </c>
      <c r="M399" t="s">
        <v>20</v>
      </c>
      <c r="N399" t="s">
        <v>21</v>
      </c>
      <c r="O399">
        <v>17.760000000000002</v>
      </c>
      <c r="P399" s="1">
        <v>45292</v>
      </c>
      <c r="Q399" t="str">
        <f t="shared" si="6"/>
        <v>High Performance</v>
      </c>
      <c r="R399" s="2">
        <f>Table1_1[[#This Row],[tasks_completed]]/Table1_1[[#This Row],[monthly_hours_worked]]</f>
        <v>4.450095359186268E-2</v>
      </c>
    </row>
    <row r="400" spans="1:18" x14ac:dyDescent="0.3">
      <c r="A400" t="s">
        <v>78</v>
      </c>
      <c r="B400" t="s">
        <v>17</v>
      </c>
      <c r="C400" t="s">
        <v>37</v>
      </c>
      <c r="D400" t="s">
        <v>19</v>
      </c>
      <c r="E400">
        <v>2</v>
      </c>
      <c r="F400">
        <v>153.1</v>
      </c>
      <c r="G400">
        <v>91.7</v>
      </c>
      <c r="H400">
        <v>3.9</v>
      </c>
      <c r="I400">
        <v>2</v>
      </c>
      <c r="J400">
        <v>8.3000000000000007</v>
      </c>
      <c r="K400">
        <v>6.15</v>
      </c>
      <c r="L400">
        <v>1</v>
      </c>
      <c r="M400" t="s">
        <v>20</v>
      </c>
      <c r="N400" t="s">
        <v>26</v>
      </c>
      <c r="O400">
        <v>17.510000000000002</v>
      </c>
      <c r="P400" s="1">
        <v>45352</v>
      </c>
      <c r="Q400" t="str">
        <f t="shared" si="6"/>
        <v>High Performance</v>
      </c>
      <c r="R400" s="2">
        <f>Table1_1[[#This Row],[tasks_completed]]/Table1_1[[#This Row],[monthly_hours_worked]]</f>
        <v>1.3063357282821686E-2</v>
      </c>
    </row>
    <row r="401" spans="1:18" x14ac:dyDescent="0.3">
      <c r="A401" t="s">
        <v>78</v>
      </c>
      <c r="B401" t="s">
        <v>23</v>
      </c>
      <c r="C401" t="s">
        <v>31</v>
      </c>
      <c r="D401" t="s">
        <v>19</v>
      </c>
      <c r="E401">
        <v>2</v>
      </c>
      <c r="F401">
        <v>155.80000000000001</v>
      </c>
      <c r="G401">
        <v>93.5</v>
      </c>
      <c r="H401">
        <v>2.8</v>
      </c>
      <c r="I401">
        <v>8</v>
      </c>
      <c r="J401">
        <v>6.48</v>
      </c>
      <c r="K401">
        <v>7.81</v>
      </c>
      <c r="L401">
        <v>1</v>
      </c>
      <c r="M401" t="s">
        <v>20</v>
      </c>
      <c r="N401" t="s">
        <v>26</v>
      </c>
      <c r="O401">
        <v>13.56</v>
      </c>
      <c r="P401" s="1">
        <v>45352</v>
      </c>
      <c r="Q401" t="str">
        <f t="shared" si="6"/>
        <v>Medium Performance</v>
      </c>
      <c r="R401" s="2">
        <f>Table1_1[[#This Row],[tasks_completed]]/Table1_1[[#This Row],[monthly_hours_worked]]</f>
        <v>5.1347881899871627E-2</v>
      </c>
    </row>
    <row r="402" spans="1:18" x14ac:dyDescent="0.3">
      <c r="A402" t="s">
        <v>78</v>
      </c>
      <c r="B402" t="s">
        <v>23</v>
      </c>
      <c r="C402" t="s">
        <v>24</v>
      </c>
      <c r="D402" t="s">
        <v>29</v>
      </c>
      <c r="E402">
        <v>1</v>
      </c>
      <c r="F402">
        <v>148.30000000000001</v>
      </c>
      <c r="G402">
        <v>95</v>
      </c>
      <c r="H402">
        <v>1.1000000000000001</v>
      </c>
      <c r="I402">
        <v>3</v>
      </c>
      <c r="J402">
        <v>6.49</v>
      </c>
      <c r="K402">
        <v>5.24</v>
      </c>
      <c r="L402">
        <v>0</v>
      </c>
      <c r="M402" t="s">
        <v>34</v>
      </c>
      <c r="N402" t="s">
        <v>35</v>
      </c>
      <c r="O402">
        <v>19.05</v>
      </c>
      <c r="P402" s="1">
        <v>45383</v>
      </c>
      <c r="Q402" t="str">
        <f t="shared" si="6"/>
        <v>High Performance</v>
      </c>
      <c r="R402" s="2">
        <f>Table1_1[[#This Row],[tasks_completed]]/Table1_1[[#This Row],[monthly_hours_worked]]</f>
        <v>2.0229265003371542E-2</v>
      </c>
    </row>
    <row r="403" spans="1:18" x14ac:dyDescent="0.3">
      <c r="A403" t="s">
        <v>78</v>
      </c>
      <c r="B403" t="s">
        <v>17</v>
      </c>
      <c r="C403" t="s">
        <v>37</v>
      </c>
      <c r="D403" t="s">
        <v>29</v>
      </c>
      <c r="E403">
        <v>4</v>
      </c>
      <c r="F403">
        <v>150.1</v>
      </c>
      <c r="G403">
        <v>92.2</v>
      </c>
      <c r="H403">
        <v>2.7</v>
      </c>
      <c r="I403">
        <v>6</v>
      </c>
      <c r="J403">
        <v>7.88</v>
      </c>
      <c r="K403">
        <v>7.44</v>
      </c>
      <c r="L403">
        <v>1</v>
      </c>
      <c r="M403" t="s">
        <v>25</v>
      </c>
      <c r="N403" t="s">
        <v>21</v>
      </c>
      <c r="O403">
        <v>10.96</v>
      </c>
      <c r="P403" s="1">
        <v>45413</v>
      </c>
      <c r="Q403" t="str">
        <f t="shared" si="6"/>
        <v>Medium Performance</v>
      </c>
      <c r="R403" s="2">
        <f>Table1_1[[#This Row],[tasks_completed]]/Table1_1[[#This Row],[monthly_hours_worked]]</f>
        <v>3.9973351099267154E-2</v>
      </c>
    </row>
    <row r="404" spans="1:18" x14ac:dyDescent="0.3">
      <c r="A404" t="s">
        <v>78</v>
      </c>
      <c r="B404" t="s">
        <v>17</v>
      </c>
      <c r="C404" t="s">
        <v>37</v>
      </c>
      <c r="D404" t="s">
        <v>39</v>
      </c>
      <c r="E404">
        <v>4</v>
      </c>
      <c r="F404">
        <v>166.7</v>
      </c>
      <c r="G404">
        <v>94</v>
      </c>
      <c r="H404">
        <v>9.1999999999999993</v>
      </c>
      <c r="I404">
        <v>8</v>
      </c>
      <c r="J404">
        <v>7.56</v>
      </c>
      <c r="K404">
        <v>8.1</v>
      </c>
      <c r="L404">
        <v>0</v>
      </c>
      <c r="M404" t="s">
        <v>34</v>
      </c>
      <c r="N404" t="s">
        <v>35</v>
      </c>
      <c r="O404">
        <v>9.93</v>
      </c>
      <c r="P404" s="1">
        <v>45444</v>
      </c>
      <c r="Q404" t="str">
        <f t="shared" si="6"/>
        <v>Low Performance</v>
      </c>
      <c r="R404" s="2">
        <f>Table1_1[[#This Row],[tasks_completed]]/Table1_1[[#This Row],[monthly_hours_worked]]</f>
        <v>4.799040191961608E-2</v>
      </c>
    </row>
    <row r="405" spans="1:18" x14ac:dyDescent="0.3">
      <c r="A405" t="s">
        <v>78</v>
      </c>
      <c r="B405" t="s">
        <v>27</v>
      </c>
      <c r="C405" t="s">
        <v>31</v>
      </c>
      <c r="D405" t="s">
        <v>39</v>
      </c>
      <c r="E405">
        <v>1</v>
      </c>
      <c r="F405">
        <v>151.5</v>
      </c>
      <c r="G405">
        <v>99.6</v>
      </c>
      <c r="I405">
        <v>8</v>
      </c>
      <c r="J405">
        <v>6.73</v>
      </c>
      <c r="K405">
        <v>8.4499999999999993</v>
      </c>
      <c r="L405">
        <v>0</v>
      </c>
      <c r="M405" t="s">
        <v>25</v>
      </c>
      <c r="N405" t="s">
        <v>26</v>
      </c>
      <c r="O405">
        <v>14.63</v>
      </c>
      <c r="P405" s="1">
        <v>45474</v>
      </c>
      <c r="Q405" t="str">
        <f t="shared" si="6"/>
        <v>Medium Performance</v>
      </c>
      <c r="R405" s="2">
        <f>Table1_1[[#This Row],[tasks_completed]]/Table1_1[[#This Row],[monthly_hours_worked]]</f>
        <v>5.2805280528052806E-2</v>
      </c>
    </row>
    <row r="406" spans="1:18" x14ac:dyDescent="0.3">
      <c r="A406" t="s">
        <v>78</v>
      </c>
      <c r="B406" t="s">
        <v>23</v>
      </c>
      <c r="C406" t="s">
        <v>37</v>
      </c>
      <c r="D406" t="s">
        <v>39</v>
      </c>
      <c r="E406">
        <v>7</v>
      </c>
      <c r="F406">
        <v>162</v>
      </c>
      <c r="G406">
        <v>91.1</v>
      </c>
      <c r="H406">
        <v>5.3</v>
      </c>
      <c r="I406">
        <v>7</v>
      </c>
      <c r="J406">
        <v>6.87</v>
      </c>
      <c r="K406">
        <v>8.4</v>
      </c>
      <c r="L406">
        <v>2</v>
      </c>
      <c r="M406" t="s">
        <v>25</v>
      </c>
      <c r="N406" t="s">
        <v>26</v>
      </c>
      <c r="O406">
        <v>17.350000000000001</v>
      </c>
      <c r="P406" s="1">
        <v>45505</v>
      </c>
      <c r="Q406" t="str">
        <f t="shared" si="6"/>
        <v>High Performance</v>
      </c>
      <c r="R406" s="2">
        <f>Table1_1[[#This Row],[tasks_completed]]/Table1_1[[#This Row],[monthly_hours_worked]]</f>
        <v>4.3209876543209874E-2</v>
      </c>
    </row>
    <row r="407" spans="1:18" x14ac:dyDescent="0.3">
      <c r="A407" t="s">
        <v>78</v>
      </c>
      <c r="B407" t="s">
        <v>33</v>
      </c>
      <c r="C407" t="s">
        <v>37</v>
      </c>
      <c r="D407" t="s">
        <v>29</v>
      </c>
      <c r="E407">
        <v>10</v>
      </c>
      <c r="F407">
        <v>166</v>
      </c>
      <c r="G407">
        <v>99.8</v>
      </c>
      <c r="I407">
        <v>7</v>
      </c>
      <c r="J407">
        <v>8.26</v>
      </c>
      <c r="K407">
        <v>6.8</v>
      </c>
      <c r="L407">
        <v>1</v>
      </c>
      <c r="M407" t="s">
        <v>20</v>
      </c>
      <c r="N407" t="s">
        <v>35</v>
      </c>
      <c r="O407">
        <v>10.79</v>
      </c>
      <c r="P407" s="1">
        <v>45536</v>
      </c>
      <c r="Q407" t="str">
        <f t="shared" si="6"/>
        <v>Medium Performance</v>
      </c>
      <c r="R407" s="2">
        <f>Table1_1[[#This Row],[tasks_completed]]/Table1_1[[#This Row],[monthly_hours_worked]]</f>
        <v>4.2168674698795178E-2</v>
      </c>
    </row>
    <row r="408" spans="1:18" x14ac:dyDescent="0.3">
      <c r="A408" t="s">
        <v>78</v>
      </c>
      <c r="B408" t="s">
        <v>43</v>
      </c>
      <c r="C408" t="s">
        <v>31</v>
      </c>
      <c r="D408" t="s">
        <v>39</v>
      </c>
      <c r="E408">
        <v>3</v>
      </c>
      <c r="F408">
        <v>176</v>
      </c>
      <c r="G408">
        <v>99.1</v>
      </c>
      <c r="H408">
        <v>5</v>
      </c>
      <c r="I408">
        <v>6</v>
      </c>
      <c r="J408">
        <v>6.16</v>
      </c>
      <c r="K408">
        <v>4.03</v>
      </c>
      <c r="L408">
        <v>0</v>
      </c>
      <c r="M408" t="s">
        <v>20</v>
      </c>
      <c r="N408" t="s">
        <v>21</v>
      </c>
      <c r="O408">
        <v>3.74</v>
      </c>
      <c r="P408" s="1">
        <v>45566</v>
      </c>
      <c r="Q408" t="str">
        <f t="shared" si="6"/>
        <v>Low Performance</v>
      </c>
      <c r="R408" s="2">
        <f>Table1_1[[#This Row],[tasks_completed]]/Table1_1[[#This Row],[monthly_hours_worked]]</f>
        <v>3.4090909090909088E-2</v>
      </c>
    </row>
    <row r="409" spans="1:18" x14ac:dyDescent="0.3">
      <c r="A409" t="s">
        <v>78</v>
      </c>
      <c r="B409" t="s">
        <v>43</v>
      </c>
      <c r="C409" t="s">
        <v>31</v>
      </c>
      <c r="D409" t="s">
        <v>39</v>
      </c>
      <c r="E409">
        <v>10</v>
      </c>
      <c r="F409">
        <v>164.4</v>
      </c>
      <c r="G409">
        <v>100</v>
      </c>
      <c r="H409">
        <v>7.3</v>
      </c>
      <c r="I409">
        <v>6</v>
      </c>
      <c r="J409">
        <v>6.72</v>
      </c>
      <c r="K409">
        <v>8.76</v>
      </c>
      <c r="L409">
        <v>1</v>
      </c>
      <c r="M409" t="s">
        <v>34</v>
      </c>
      <c r="N409" t="s">
        <v>35</v>
      </c>
      <c r="O409">
        <v>8.11</v>
      </c>
      <c r="P409" s="1">
        <v>45597</v>
      </c>
      <c r="Q409" t="str">
        <f t="shared" si="6"/>
        <v>Low Performance</v>
      </c>
      <c r="R409" s="2">
        <f>Table1_1[[#This Row],[tasks_completed]]/Table1_1[[#This Row],[monthly_hours_worked]]</f>
        <v>3.6496350364963501E-2</v>
      </c>
    </row>
    <row r="410" spans="1:18" x14ac:dyDescent="0.3">
      <c r="A410" t="s">
        <v>79</v>
      </c>
      <c r="B410" t="s">
        <v>17</v>
      </c>
      <c r="C410" t="s">
        <v>31</v>
      </c>
      <c r="D410" t="s">
        <v>29</v>
      </c>
      <c r="E410">
        <v>8</v>
      </c>
      <c r="F410">
        <v>162.6</v>
      </c>
      <c r="G410">
        <v>100</v>
      </c>
      <c r="H410">
        <v>6</v>
      </c>
      <c r="I410">
        <v>5</v>
      </c>
      <c r="J410">
        <v>10</v>
      </c>
      <c r="K410">
        <v>10</v>
      </c>
      <c r="L410">
        <v>0</v>
      </c>
      <c r="M410" t="s">
        <v>20</v>
      </c>
      <c r="N410" t="s">
        <v>26</v>
      </c>
      <c r="O410">
        <v>23.17</v>
      </c>
      <c r="P410" s="1">
        <v>45292</v>
      </c>
      <c r="Q410" t="str">
        <f t="shared" si="6"/>
        <v>High Performance</v>
      </c>
      <c r="R410" s="2">
        <f>Table1_1[[#This Row],[tasks_completed]]/Table1_1[[#This Row],[monthly_hours_worked]]</f>
        <v>3.0750307503075031E-2</v>
      </c>
    </row>
    <row r="411" spans="1:18" x14ac:dyDescent="0.3">
      <c r="A411" t="s">
        <v>79</v>
      </c>
      <c r="B411" t="s">
        <v>23</v>
      </c>
      <c r="C411" t="s">
        <v>41</v>
      </c>
      <c r="D411" t="s">
        <v>39</v>
      </c>
      <c r="E411">
        <v>10</v>
      </c>
      <c r="F411">
        <v>166.1</v>
      </c>
      <c r="G411">
        <v>84.6</v>
      </c>
      <c r="H411">
        <v>6.4</v>
      </c>
      <c r="I411">
        <v>10</v>
      </c>
      <c r="J411">
        <v>5.88</v>
      </c>
      <c r="K411">
        <v>9.65</v>
      </c>
      <c r="L411">
        <v>1</v>
      </c>
      <c r="M411" t="s">
        <v>20</v>
      </c>
      <c r="N411" t="s">
        <v>21</v>
      </c>
      <c r="O411">
        <v>13.08</v>
      </c>
      <c r="P411" s="1">
        <v>45292</v>
      </c>
      <c r="Q411" t="str">
        <f t="shared" si="6"/>
        <v>Medium Performance</v>
      </c>
      <c r="R411" s="2">
        <f>Table1_1[[#This Row],[tasks_completed]]/Table1_1[[#This Row],[monthly_hours_worked]]</f>
        <v>6.0204695966285374E-2</v>
      </c>
    </row>
    <row r="412" spans="1:18" x14ac:dyDescent="0.3">
      <c r="A412" t="s">
        <v>79</v>
      </c>
      <c r="B412" t="s">
        <v>17</v>
      </c>
      <c r="C412" t="s">
        <v>37</v>
      </c>
      <c r="D412" t="s">
        <v>19</v>
      </c>
      <c r="E412">
        <v>5</v>
      </c>
      <c r="F412">
        <v>152.1</v>
      </c>
      <c r="G412">
        <v>91.3</v>
      </c>
      <c r="H412">
        <v>5</v>
      </c>
      <c r="I412">
        <v>3</v>
      </c>
      <c r="J412">
        <v>4.3</v>
      </c>
      <c r="K412">
        <v>7.95</v>
      </c>
      <c r="L412">
        <v>0</v>
      </c>
      <c r="M412" t="s">
        <v>20</v>
      </c>
      <c r="N412" t="s">
        <v>35</v>
      </c>
      <c r="O412">
        <v>8.31</v>
      </c>
      <c r="P412" s="1">
        <v>45352</v>
      </c>
      <c r="Q412" t="str">
        <f t="shared" si="6"/>
        <v>Low Performance</v>
      </c>
      <c r="R412" s="2">
        <f>Table1_1[[#This Row],[tasks_completed]]/Table1_1[[#This Row],[monthly_hours_worked]]</f>
        <v>1.9723865877712032E-2</v>
      </c>
    </row>
    <row r="413" spans="1:18" x14ac:dyDescent="0.3">
      <c r="A413" t="s">
        <v>79</v>
      </c>
      <c r="B413" t="s">
        <v>43</v>
      </c>
      <c r="C413" t="s">
        <v>41</v>
      </c>
      <c r="D413" t="s">
        <v>19</v>
      </c>
      <c r="E413">
        <v>5</v>
      </c>
      <c r="F413">
        <v>169.3</v>
      </c>
      <c r="G413">
        <v>96.1</v>
      </c>
      <c r="H413">
        <v>5.6</v>
      </c>
      <c r="I413">
        <v>3</v>
      </c>
      <c r="J413">
        <v>8.23</v>
      </c>
      <c r="K413">
        <v>9.26</v>
      </c>
      <c r="L413">
        <v>0</v>
      </c>
      <c r="M413" t="s">
        <v>20</v>
      </c>
      <c r="N413" t="s">
        <v>21</v>
      </c>
      <c r="O413">
        <v>14.43</v>
      </c>
      <c r="P413" s="1">
        <v>45352</v>
      </c>
      <c r="Q413" t="str">
        <f t="shared" si="6"/>
        <v>Medium Performance</v>
      </c>
      <c r="R413" s="2">
        <f>Table1_1[[#This Row],[tasks_completed]]/Table1_1[[#This Row],[monthly_hours_worked]]</f>
        <v>1.7720023626698167E-2</v>
      </c>
    </row>
    <row r="414" spans="1:18" x14ac:dyDescent="0.3">
      <c r="A414" t="s">
        <v>79</v>
      </c>
      <c r="B414" t="s">
        <v>43</v>
      </c>
      <c r="C414" t="s">
        <v>37</v>
      </c>
      <c r="D414" t="s">
        <v>39</v>
      </c>
      <c r="E414">
        <v>2</v>
      </c>
      <c r="F414">
        <v>159.69999999999999</v>
      </c>
      <c r="G414">
        <v>94.1</v>
      </c>
      <c r="H414">
        <v>5.9</v>
      </c>
      <c r="I414">
        <v>8</v>
      </c>
      <c r="J414">
        <v>6.1</v>
      </c>
      <c r="K414">
        <v>8.1</v>
      </c>
      <c r="L414">
        <v>0</v>
      </c>
      <c r="M414" t="s">
        <v>25</v>
      </c>
      <c r="N414" t="s">
        <v>26</v>
      </c>
      <c r="O414">
        <v>15.55</v>
      </c>
      <c r="P414" s="1">
        <v>45383</v>
      </c>
      <c r="Q414" t="str">
        <f t="shared" si="6"/>
        <v>High Performance</v>
      </c>
      <c r="R414" s="2">
        <f>Table1_1[[#This Row],[tasks_completed]]/Table1_1[[#This Row],[monthly_hours_worked]]</f>
        <v>5.0093926111458992E-2</v>
      </c>
    </row>
    <row r="415" spans="1:18" x14ac:dyDescent="0.3">
      <c r="A415" t="s">
        <v>79</v>
      </c>
      <c r="B415" t="s">
        <v>33</v>
      </c>
      <c r="C415" t="s">
        <v>41</v>
      </c>
      <c r="D415" t="s">
        <v>39</v>
      </c>
      <c r="E415">
        <v>3</v>
      </c>
      <c r="F415">
        <v>143.9</v>
      </c>
      <c r="G415">
        <v>91.5</v>
      </c>
      <c r="H415">
        <v>1.4</v>
      </c>
      <c r="I415">
        <v>1</v>
      </c>
      <c r="J415">
        <v>8.31</v>
      </c>
      <c r="K415">
        <v>9.4499999999999993</v>
      </c>
      <c r="L415">
        <v>0</v>
      </c>
      <c r="M415" t="s">
        <v>20</v>
      </c>
      <c r="N415" t="s">
        <v>26</v>
      </c>
      <c r="O415">
        <v>11.38</v>
      </c>
      <c r="P415" s="1">
        <v>45413</v>
      </c>
      <c r="Q415" t="str">
        <f t="shared" si="6"/>
        <v>Medium Performance</v>
      </c>
      <c r="R415" s="2">
        <f>Table1_1[[#This Row],[tasks_completed]]/Table1_1[[#This Row],[monthly_hours_worked]]</f>
        <v>6.9492703266157054E-3</v>
      </c>
    </row>
    <row r="416" spans="1:18" x14ac:dyDescent="0.3">
      <c r="A416" t="s">
        <v>79</v>
      </c>
      <c r="B416" t="s">
        <v>17</v>
      </c>
      <c r="C416" t="s">
        <v>18</v>
      </c>
      <c r="D416" t="s">
        <v>19</v>
      </c>
      <c r="E416">
        <v>9</v>
      </c>
      <c r="F416">
        <v>149.9</v>
      </c>
      <c r="G416">
        <v>90.1</v>
      </c>
      <c r="H416">
        <v>4.4000000000000004</v>
      </c>
      <c r="I416">
        <v>7</v>
      </c>
      <c r="J416">
        <v>7.05</v>
      </c>
      <c r="K416">
        <v>7.67</v>
      </c>
      <c r="L416">
        <v>0</v>
      </c>
      <c r="M416" t="s">
        <v>34</v>
      </c>
      <c r="N416" t="s">
        <v>35</v>
      </c>
      <c r="O416">
        <v>18.09</v>
      </c>
      <c r="P416" s="1">
        <v>45444</v>
      </c>
      <c r="Q416" t="str">
        <f t="shared" si="6"/>
        <v>High Performance</v>
      </c>
      <c r="R416" s="2">
        <f>Table1_1[[#This Row],[tasks_completed]]/Table1_1[[#This Row],[monthly_hours_worked]]</f>
        <v>4.6697798532354902E-2</v>
      </c>
    </row>
    <row r="417" spans="1:18" x14ac:dyDescent="0.3">
      <c r="A417" t="s">
        <v>79</v>
      </c>
      <c r="B417" t="s">
        <v>33</v>
      </c>
      <c r="C417" t="s">
        <v>41</v>
      </c>
      <c r="D417" t="s">
        <v>19</v>
      </c>
      <c r="E417">
        <v>3</v>
      </c>
      <c r="F417">
        <v>170</v>
      </c>
      <c r="G417">
        <v>90.5</v>
      </c>
      <c r="H417">
        <v>5.5</v>
      </c>
      <c r="I417">
        <v>4</v>
      </c>
      <c r="J417">
        <v>7.46</v>
      </c>
      <c r="K417">
        <v>8.23</v>
      </c>
      <c r="L417">
        <v>1</v>
      </c>
      <c r="M417" t="s">
        <v>34</v>
      </c>
      <c r="N417" t="s">
        <v>21</v>
      </c>
      <c r="O417">
        <v>14.78</v>
      </c>
      <c r="P417" s="1">
        <v>45474</v>
      </c>
      <c r="Q417" t="str">
        <f t="shared" si="6"/>
        <v>Medium Performance</v>
      </c>
      <c r="R417" s="2">
        <f>Table1_1[[#This Row],[tasks_completed]]/Table1_1[[#This Row],[monthly_hours_worked]]</f>
        <v>2.3529411764705882E-2</v>
      </c>
    </row>
    <row r="418" spans="1:18" x14ac:dyDescent="0.3">
      <c r="A418" t="s">
        <v>79</v>
      </c>
      <c r="B418" t="s">
        <v>17</v>
      </c>
      <c r="C418" t="s">
        <v>24</v>
      </c>
      <c r="D418" t="s">
        <v>19</v>
      </c>
      <c r="E418">
        <v>1</v>
      </c>
      <c r="F418">
        <v>172.7</v>
      </c>
      <c r="G418">
        <v>96</v>
      </c>
      <c r="H418">
        <v>3.3</v>
      </c>
      <c r="I418">
        <v>5</v>
      </c>
      <c r="J418">
        <v>5.09</v>
      </c>
      <c r="K418">
        <v>5.62</v>
      </c>
      <c r="L418">
        <v>0</v>
      </c>
      <c r="M418" t="s">
        <v>34</v>
      </c>
      <c r="N418" t="s">
        <v>35</v>
      </c>
      <c r="O418">
        <v>12.8</v>
      </c>
      <c r="P418" s="1">
        <v>45505</v>
      </c>
      <c r="Q418" t="str">
        <f t="shared" si="6"/>
        <v>Medium Performance</v>
      </c>
      <c r="R418" s="2">
        <f>Table1_1[[#This Row],[tasks_completed]]/Table1_1[[#This Row],[monthly_hours_worked]]</f>
        <v>2.8951939779965258E-2</v>
      </c>
    </row>
    <row r="419" spans="1:18" x14ac:dyDescent="0.3">
      <c r="A419" t="s">
        <v>79</v>
      </c>
      <c r="B419" t="s">
        <v>17</v>
      </c>
      <c r="C419" t="s">
        <v>24</v>
      </c>
      <c r="D419" t="s">
        <v>29</v>
      </c>
      <c r="E419">
        <v>10</v>
      </c>
      <c r="F419">
        <v>165.7</v>
      </c>
      <c r="G419">
        <v>84.1</v>
      </c>
      <c r="H419">
        <v>6.2</v>
      </c>
      <c r="I419">
        <v>5</v>
      </c>
      <c r="J419">
        <v>8.2899999999999991</v>
      </c>
      <c r="K419">
        <v>9.1</v>
      </c>
      <c r="L419">
        <v>0</v>
      </c>
      <c r="M419" t="s">
        <v>25</v>
      </c>
      <c r="N419" t="s">
        <v>26</v>
      </c>
      <c r="O419">
        <v>15.98</v>
      </c>
      <c r="P419" s="1">
        <v>45536</v>
      </c>
      <c r="Q419" t="str">
        <f t="shared" si="6"/>
        <v>High Performance</v>
      </c>
      <c r="R419" s="2">
        <f>Table1_1[[#This Row],[tasks_completed]]/Table1_1[[#This Row],[monthly_hours_worked]]</f>
        <v>3.0175015087507546E-2</v>
      </c>
    </row>
    <row r="420" spans="1:18" x14ac:dyDescent="0.3">
      <c r="A420" t="s">
        <v>79</v>
      </c>
      <c r="B420" t="s">
        <v>33</v>
      </c>
      <c r="C420" t="s">
        <v>37</v>
      </c>
      <c r="D420" t="s">
        <v>39</v>
      </c>
      <c r="E420">
        <v>1</v>
      </c>
      <c r="F420">
        <v>164.3</v>
      </c>
      <c r="G420">
        <v>98.7</v>
      </c>
      <c r="H420">
        <v>10.1</v>
      </c>
      <c r="I420">
        <v>7</v>
      </c>
      <c r="J420">
        <v>4.13</v>
      </c>
      <c r="K420">
        <v>8.68</v>
      </c>
      <c r="L420">
        <v>1</v>
      </c>
      <c r="M420" t="s">
        <v>34</v>
      </c>
      <c r="N420" t="s">
        <v>21</v>
      </c>
      <c r="O420">
        <v>14.37</v>
      </c>
      <c r="P420" s="1">
        <v>45566</v>
      </c>
      <c r="Q420" t="str">
        <f t="shared" si="6"/>
        <v>Medium Performance</v>
      </c>
      <c r="R420" s="2">
        <f>Table1_1[[#This Row],[tasks_completed]]/Table1_1[[#This Row],[monthly_hours_worked]]</f>
        <v>4.26049908703591E-2</v>
      </c>
    </row>
    <row r="421" spans="1:18" x14ac:dyDescent="0.3">
      <c r="A421" t="s">
        <v>79</v>
      </c>
      <c r="B421" t="s">
        <v>27</v>
      </c>
      <c r="C421" t="s">
        <v>24</v>
      </c>
      <c r="D421" t="s">
        <v>19</v>
      </c>
      <c r="E421">
        <v>2</v>
      </c>
      <c r="F421">
        <v>151.4</v>
      </c>
      <c r="G421">
        <v>93.8</v>
      </c>
      <c r="H421">
        <v>2.6</v>
      </c>
      <c r="I421">
        <v>9</v>
      </c>
      <c r="J421">
        <v>8.9700000000000006</v>
      </c>
      <c r="K421">
        <v>6.57</v>
      </c>
      <c r="L421">
        <v>0</v>
      </c>
      <c r="M421" t="s">
        <v>20</v>
      </c>
      <c r="N421" t="s">
        <v>35</v>
      </c>
      <c r="O421">
        <v>19.46</v>
      </c>
      <c r="P421" s="1">
        <v>45597</v>
      </c>
      <c r="Q421" t="str">
        <f t="shared" si="6"/>
        <v>High Performance</v>
      </c>
      <c r="R421" s="2">
        <f>Table1_1[[#This Row],[tasks_completed]]/Table1_1[[#This Row],[monthly_hours_worked]]</f>
        <v>5.9445178335535004E-2</v>
      </c>
    </row>
    <row r="422" spans="1:18" x14ac:dyDescent="0.3">
      <c r="A422" t="s">
        <v>80</v>
      </c>
      <c r="B422" t="s">
        <v>33</v>
      </c>
      <c r="C422" t="s">
        <v>31</v>
      </c>
      <c r="D422" t="s">
        <v>29</v>
      </c>
      <c r="E422">
        <v>3</v>
      </c>
      <c r="F422">
        <v>170.9</v>
      </c>
      <c r="G422">
        <v>87.6</v>
      </c>
      <c r="H422">
        <v>5.9</v>
      </c>
      <c r="I422">
        <v>5</v>
      </c>
      <c r="J422">
        <v>7.12</v>
      </c>
      <c r="K422">
        <v>5.28</v>
      </c>
      <c r="L422">
        <v>0</v>
      </c>
      <c r="M422" t="s">
        <v>34</v>
      </c>
      <c r="N422" t="s">
        <v>21</v>
      </c>
      <c r="O422">
        <v>4.49</v>
      </c>
      <c r="P422" s="1">
        <v>45292</v>
      </c>
      <c r="Q422" t="str">
        <f t="shared" si="6"/>
        <v>Low Performance</v>
      </c>
      <c r="R422" s="2">
        <f>Table1_1[[#This Row],[tasks_completed]]/Table1_1[[#This Row],[monthly_hours_worked]]</f>
        <v>2.9256875365710942E-2</v>
      </c>
    </row>
    <row r="423" spans="1:18" x14ac:dyDescent="0.3">
      <c r="A423" t="s">
        <v>80</v>
      </c>
      <c r="B423" t="s">
        <v>27</v>
      </c>
      <c r="C423" t="s">
        <v>37</v>
      </c>
      <c r="D423" t="s">
        <v>39</v>
      </c>
      <c r="E423">
        <v>9</v>
      </c>
      <c r="F423">
        <v>160</v>
      </c>
      <c r="G423">
        <v>98</v>
      </c>
      <c r="H423">
        <v>5.4</v>
      </c>
      <c r="I423">
        <v>6</v>
      </c>
      <c r="J423">
        <v>6.42</v>
      </c>
      <c r="K423">
        <v>5.58</v>
      </c>
      <c r="L423">
        <v>0</v>
      </c>
      <c r="M423" t="s">
        <v>20</v>
      </c>
      <c r="N423" t="s">
        <v>26</v>
      </c>
      <c r="O423">
        <v>17.010000000000002</v>
      </c>
      <c r="P423" s="1">
        <v>45292</v>
      </c>
      <c r="Q423" t="str">
        <f t="shared" si="6"/>
        <v>High Performance</v>
      </c>
      <c r="R423" s="2">
        <f>Table1_1[[#This Row],[tasks_completed]]/Table1_1[[#This Row],[monthly_hours_worked]]</f>
        <v>3.7499999999999999E-2</v>
      </c>
    </row>
    <row r="424" spans="1:18" x14ac:dyDescent="0.3">
      <c r="A424" t="s">
        <v>80</v>
      </c>
      <c r="B424" t="s">
        <v>33</v>
      </c>
      <c r="C424" t="s">
        <v>24</v>
      </c>
      <c r="D424" t="s">
        <v>29</v>
      </c>
      <c r="E424">
        <v>3</v>
      </c>
      <c r="F424">
        <v>159.4</v>
      </c>
      <c r="G424">
        <v>100</v>
      </c>
      <c r="H424">
        <v>5.3</v>
      </c>
      <c r="I424">
        <v>5</v>
      </c>
      <c r="J424">
        <v>10</v>
      </c>
      <c r="K424">
        <v>7.27</v>
      </c>
      <c r="L424">
        <v>0</v>
      </c>
      <c r="M424" t="s">
        <v>25</v>
      </c>
      <c r="N424" t="s">
        <v>26</v>
      </c>
      <c r="O424">
        <v>21.31</v>
      </c>
      <c r="P424" s="1">
        <v>45352</v>
      </c>
      <c r="Q424" t="str">
        <f t="shared" si="6"/>
        <v>High Performance</v>
      </c>
      <c r="R424" s="2">
        <f>Table1_1[[#This Row],[tasks_completed]]/Table1_1[[#This Row],[monthly_hours_worked]]</f>
        <v>3.1367628607277286E-2</v>
      </c>
    </row>
    <row r="425" spans="1:18" x14ac:dyDescent="0.3">
      <c r="A425" t="s">
        <v>80</v>
      </c>
      <c r="B425" t="s">
        <v>23</v>
      </c>
      <c r="C425" t="s">
        <v>31</v>
      </c>
      <c r="D425" t="s">
        <v>19</v>
      </c>
      <c r="E425">
        <v>3</v>
      </c>
      <c r="F425">
        <v>163.5</v>
      </c>
      <c r="G425">
        <v>99.9</v>
      </c>
      <c r="H425">
        <v>6.5</v>
      </c>
      <c r="I425">
        <v>5</v>
      </c>
      <c r="J425">
        <v>8.64</v>
      </c>
      <c r="K425">
        <v>4.53</v>
      </c>
      <c r="L425">
        <v>1</v>
      </c>
      <c r="M425" t="s">
        <v>20</v>
      </c>
      <c r="N425" t="s">
        <v>26</v>
      </c>
      <c r="O425">
        <v>21.39</v>
      </c>
      <c r="P425" s="1">
        <v>45352</v>
      </c>
      <c r="Q425" t="str">
        <f t="shared" si="6"/>
        <v>High Performance</v>
      </c>
      <c r="R425" s="2">
        <f>Table1_1[[#This Row],[tasks_completed]]/Table1_1[[#This Row],[monthly_hours_worked]]</f>
        <v>3.0581039755351681E-2</v>
      </c>
    </row>
    <row r="426" spans="1:18" x14ac:dyDescent="0.3">
      <c r="A426" t="s">
        <v>80</v>
      </c>
      <c r="B426" t="s">
        <v>17</v>
      </c>
      <c r="C426" t="s">
        <v>37</v>
      </c>
      <c r="D426" t="s">
        <v>39</v>
      </c>
      <c r="E426">
        <v>4</v>
      </c>
      <c r="F426">
        <v>162.19999999999999</v>
      </c>
      <c r="G426">
        <v>98.8</v>
      </c>
      <c r="H426">
        <v>6.4</v>
      </c>
      <c r="I426">
        <v>4</v>
      </c>
      <c r="J426">
        <v>7.29</v>
      </c>
      <c r="K426">
        <v>10</v>
      </c>
      <c r="L426">
        <v>1</v>
      </c>
      <c r="M426" t="s">
        <v>34</v>
      </c>
      <c r="N426" t="s">
        <v>35</v>
      </c>
      <c r="O426">
        <v>8.57</v>
      </c>
      <c r="P426" s="1">
        <v>45383</v>
      </c>
      <c r="Q426" t="str">
        <f t="shared" si="6"/>
        <v>Low Performance</v>
      </c>
      <c r="R426" s="2">
        <f>Table1_1[[#This Row],[tasks_completed]]/Table1_1[[#This Row],[monthly_hours_worked]]</f>
        <v>2.4660912453760789E-2</v>
      </c>
    </row>
    <row r="427" spans="1:18" x14ac:dyDescent="0.3">
      <c r="A427" t="s">
        <v>80</v>
      </c>
      <c r="B427" t="s">
        <v>23</v>
      </c>
      <c r="C427" t="s">
        <v>41</v>
      </c>
      <c r="D427" t="s">
        <v>39</v>
      </c>
      <c r="E427">
        <v>10</v>
      </c>
      <c r="F427">
        <v>153.69999999999999</v>
      </c>
      <c r="G427">
        <v>93.6</v>
      </c>
      <c r="H427">
        <v>2.9</v>
      </c>
      <c r="I427">
        <v>9</v>
      </c>
      <c r="J427">
        <v>7.19</v>
      </c>
      <c r="K427">
        <v>10</v>
      </c>
      <c r="L427">
        <v>0</v>
      </c>
      <c r="M427" t="s">
        <v>34</v>
      </c>
      <c r="N427" t="s">
        <v>35</v>
      </c>
      <c r="O427">
        <v>16.440000000000001</v>
      </c>
      <c r="P427" s="1">
        <v>45413</v>
      </c>
      <c r="Q427" t="str">
        <f t="shared" si="6"/>
        <v>High Performance</v>
      </c>
      <c r="R427" s="2">
        <f>Table1_1[[#This Row],[tasks_completed]]/Table1_1[[#This Row],[monthly_hours_worked]]</f>
        <v>5.8555627846454135E-2</v>
      </c>
    </row>
    <row r="428" spans="1:18" x14ac:dyDescent="0.3">
      <c r="A428" t="s">
        <v>80</v>
      </c>
      <c r="B428" t="s">
        <v>23</v>
      </c>
      <c r="C428" t="s">
        <v>18</v>
      </c>
      <c r="D428" t="s">
        <v>29</v>
      </c>
      <c r="E428">
        <v>2</v>
      </c>
      <c r="F428">
        <v>163.19999999999999</v>
      </c>
      <c r="G428">
        <v>94</v>
      </c>
      <c r="H428">
        <v>4.9000000000000004</v>
      </c>
      <c r="I428">
        <v>10</v>
      </c>
      <c r="K428">
        <v>8.2200000000000006</v>
      </c>
      <c r="L428">
        <v>1</v>
      </c>
      <c r="M428" t="s">
        <v>25</v>
      </c>
      <c r="N428" t="s">
        <v>35</v>
      </c>
      <c r="O428">
        <v>15.59</v>
      </c>
      <c r="P428" s="1">
        <v>45444</v>
      </c>
      <c r="Q428" t="str">
        <f t="shared" si="6"/>
        <v>High Performance</v>
      </c>
      <c r="R428" s="2">
        <f>Table1_1[[#This Row],[tasks_completed]]/Table1_1[[#This Row],[monthly_hours_worked]]</f>
        <v>6.1274509803921573E-2</v>
      </c>
    </row>
    <row r="429" spans="1:18" x14ac:dyDescent="0.3">
      <c r="A429" t="s">
        <v>80</v>
      </c>
      <c r="B429" t="s">
        <v>23</v>
      </c>
      <c r="C429" t="s">
        <v>31</v>
      </c>
      <c r="D429" t="s">
        <v>29</v>
      </c>
      <c r="E429">
        <v>7</v>
      </c>
      <c r="F429">
        <v>178.7</v>
      </c>
      <c r="G429">
        <v>100</v>
      </c>
      <c r="H429">
        <v>4.0999999999999996</v>
      </c>
      <c r="I429">
        <v>4</v>
      </c>
      <c r="J429">
        <v>8.67</v>
      </c>
      <c r="K429">
        <v>10</v>
      </c>
      <c r="L429">
        <v>0</v>
      </c>
      <c r="M429" t="s">
        <v>34</v>
      </c>
      <c r="N429" t="s">
        <v>35</v>
      </c>
      <c r="O429">
        <v>14.71</v>
      </c>
      <c r="P429" s="1">
        <v>45474</v>
      </c>
      <c r="Q429" t="str">
        <f t="shared" si="6"/>
        <v>Medium Performance</v>
      </c>
      <c r="R429" s="2">
        <f>Table1_1[[#This Row],[tasks_completed]]/Table1_1[[#This Row],[monthly_hours_worked]]</f>
        <v>2.2383883603805263E-2</v>
      </c>
    </row>
    <row r="430" spans="1:18" x14ac:dyDescent="0.3">
      <c r="A430" t="s">
        <v>80</v>
      </c>
      <c r="B430" t="s">
        <v>33</v>
      </c>
      <c r="C430" t="s">
        <v>18</v>
      </c>
      <c r="D430" t="s">
        <v>19</v>
      </c>
      <c r="E430">
        <v>9</v>
      </c>
      <c r="F430">
        <v>155.19999999999999</v>
      </c>
      <c r="G430">
        <v>99.2</v>
      </c>
      <c r="H430">
        <v>2.9</v>
      </c>
      <c r="I430">
        <v>3</v>
      </c>
      <c r="J430">
        <v>3.7</v>
      </c>
      <c r="K430">
        <v>6.55</v>
      </c>
      <c r="L430">
        <v>1</v>
      </c>
      <c r="M430" t="s">
        <v>34</v>
      </c>
      <c r="N430" t="s">
        <v>35</v>
      </c>
      <c r="O430">
        <v>12.09</v>
      </c>
      <c r="P430" s="1">
        <v>45505</v>
      </c>
      <c r="Q430" t="str">
        <f t="shared" si="6"/>
        <v>Medium Performance</v>
      </c>
      <c r="R430" s="2">
        <f>Table1_1[[#This Row],[tasks_completed]]/Table1_1[[#This Row],[monthly_hours_worked]]</f>
        <v>1.9329896907216496E-2</v>
      </c>
    </row>
    <row r="431" spans="1:18" x14ac:dyDescent="0.3">
      <c r="A431" t="s">
        <v>80</v>
      </c>
      <c r="B431" t="s">
        <v>33</v>
      </c>
      <c r="C431" t="s">
        <v>24</v>
      </c>
      <c r="D431" t="s">
        <v>19</v>
      </c>
      <c r="E431">
        <v>2</v>
      </c>
      <c r="F431">
        <v>149.5</v>
      </c>
      <c r="G431">
        <v>83.7</v>
      </c>
      <c r="H431">
        <v>6.8</v>
      </c>
      <c r="I431">
        <v>6</v>
      </c>
      <c r="J431">
        <v>8.34</v>
      </c>
      <c r="K431">
        <v>4.71</v>
      </c>
      <c r="L431">
        <v>0</v>
      </c>
      <c r="M431" t="s">
        <v>34</v>
      </c>
      <c r="N431" t="s">
        <v>26</v>
      </c>
      <c r="O431">
        <v>16.309999999999999</v>
      </c>
      <c r="P431" s="1">
        <v>45536</v>
      </c>
      <c r="Q431" t="str">
        <f t="shared" si="6"/>
        <v>High Performance</v>
      </c>
      <c r="R431" s="2">
        <f>Table1_1[[#This Row],[tasks_completed]]/Table1_1[[#This Row],[monthly_hours_worked]]</f>
        <v>4.0133779264214048E-2</v>
      </c>
    </row>
    <row r="432" spans="1:18" x14ac:dyDescent="0.3">
      <c r="A432" t="s">
        <v>80</v>
      </c>
      <c r="B432" t="s">
        <v>23</v>
      </c>
      <c r="C432" t="s">
        <v>37</v>
      </c>
      <c r="D432" t="s">
        <v>19</v>
      </c>
      <c r="E432">
        <v>9</v>
      </c>
      <c r="F432">
        <v>151.4</v>
      </c>
      <c r="G432">
        <v>91.9</v>
      </c>
      <c r="H432">
        <v>7.2</v>
      </c>
      <c r="I432">
        <v>5</v>
      </c>
      <c r="J432">
        <v>7.52</v>
      </c>
      <c r="K432">
        <v>6.68</v>
      </c>
      <c r="L432">
        <v>0</v>
      </c>
      <c r="M432" t="s">
        <v>25</v>
      </c>
      <c r="N432" t="s">
        <v>21</v>
      </c>
      <c r="O432">
        <v>26</v>
      </c>
      <c r="P432" s="1">
        <v>45566</v>
      </c>
      <c r="Q432" t="str">
        <f t="shared" si="6"/>
        <v>High Performance</v>
      </c>
      <c r="R432" s="2">
        <f>Table1_1[[#This Row],[tasks_completed]]/Table1_1[[#This Row],[monthly_hours_worked]]</f>
        <v>3.3025099075297222E-2</v>
      </c>
    </row>
    <row r="433" spans="1:18" x14ac:dyDescent="0.3">
      <c r="A433" t="s">
        <v>80</v>
      </c>
      <c r="B433" t="s">
        <v>23</v>
      </c>
      <c r="C433" t="s">
        <v>24</v>
      </c>
      <c r="D433" t="s">
        <v>29</v>
      </c>
      <c r="E433">
        <v>4</v>
      </c>
      <c r="F433">
        <v>149.4</v>
      </c>
      <c r="G433">
        <v>93.2</v>
      </c>
      <c r="H433">
        <v>2.5</v>
      </c>
      <c r="I433">
        <v>9</v>
      </c>
      <c r="J433">
        <v>8.93</v>
      </c>
      <c r="K433">
        <v>5.05</v>
      </c>
      <c r="L433">
        <v>1</v>
      </c>
      <c r="M433" t="s">
        <v>20</v>
      </c>
      <c r="N433" t="s">
        <v>21</v>
      </c>
      <c r="O433">
        <v>15.71</v>
      </c>
      <c r="P433" s="1">
        <v>45597</v>
      </c>
      <c r="Q433" t="str">
        <f t="shared" si="6"/>
        <v>High Performance</v>
      </c>
      <c r="R433" s="2">
        <f>Table1_1[[#This Row],[tasks_completed]]/Table1_1[[#This Row],[monthly_hours_worked]]</f>
        <v>6.0240963855421686E-2</v>
      </c>
    </row>
    <row r="434" spans="1:18" x14ac:dyDescent="0.3">
      <c r="A434" t="s">
        <v>81</v>
      </c>
      <c r="B434" t="s">
        <v>33</v>
      </c>
      <c r="C434" t="s">
        <v>41</v>
      </c>
      <c r="D434" t="s">
        <v>19</v>
      </c>
      <c r="E434">
        <v>9</v>
      </c>
      <c r="F434">
        <v>170.3</v>
      </c>
      <c r="G434">
        <v>98.4</v>
      </c>
      <c r="H434">
        <v>4.2</v>
      </c>
      <c r="I434">
        <v>8</v>
      </c>
      <c r="J434">
        <v>7.98</v>
      </c>
      <c r="K434">
        <v>5.08</v>
      </c>
      <c r="L434">
        <v>0</v>
      </c>
      <c r="M434" t="s">
        <v>20</v>
      </c>
      <c r="N434" t="s">
        <v>35</v>
      </c>
      <c r="O434">
        <v>2.7</v>
      </c>
      <c r="P434" s="1">
        <v>45292</v>
      </c>
      <c r="Q434" t="str">
        <f t="shared" si="6"/>
        <v>Low Performance</v>
      </c>
      <c r="R434" s="2">
        <f>Table1_1[[#This Row],[tasks_completed]]/Table1_1[[#This Row],[monthly_hours_worked]]</f>
        <v>4.6975924838520255E-2</v>
      </c>
    </row>
    <row r="435" spans="1:18" x14ac:dyDescent="0.3">
      <c r="A435" t="s">
        <v>81</v>
      </c>
      <c r="B435" t="s">
        <v>27</v>
      </c>
      <c r="C435" t="s">
        <v>24</v>
      </c>
      <c r="D435" t="s">
        <v>19</v>
      </c>
      <c r="E435">
        <v>8</v>
      </c>
      <c r="F435">
        <v>140.1</v>
      </c>
      <c r="G435">
        <v>91.9</v>
      </c>
      <c r="H435">
        <v>2.2000000000000002</v>
      </c>
      <c r="I435">
        <v>3</v>
      </c>
      <c r="J435">
        <v>6.59</v>
      </c>
      <c r="K435">
        <v>6.65</v>
      </c>
      <c r="L435">
        <v>0</v>
      </c>
      <c r="M435" t="s">
        <v>25</v>
      </c>
      <c r="N435" t="s">
        <v>21</v>
      </c>
      <c r="O435">
        <v>12.53</v>
      </c>
      <c r="P435" s="1">
        <v>45292</v>
      </c>
      <c r="Q435" t="str">
        <f t="shared" si="6"/>
        <v>Medium Performance</v>
      </c>
      <c r="R435" s="2">
        <f>Table1_1[[#This Row],[tasks_completed]]/Table1_1[[#This Row],[monthly_hours_worked]]</f>
        <v>2.1413276231263385E-2</v>
      </c>
    </row>
    <row r="436" spans="1:18" x14ac:dyDescent="0.3">
      <c r="A436" t="s">
        <v>81</v>
      </c>
      <c r="B436" t="s">
        <v>33</v>
      </c>
      <c r="C436" t="s">
        <v>31</v>
      </c>
      <c r="D436" t="s">
        <v>19</v>
      </c>
      <c r="E436">
        <v>4</v>
      </c>
      <c r="F436">
        <v>153.6</v>
      </c>
      <c r="G436">
        <v>81.3</v>
      </c>
      <c r="I436">
        <v>2</v>
      </c>
      <c r="J436">
        <v>9.81</v>
      </c>
      <c r="K436">
        <v>7.45</v>
      </c>
      <c r="L436">
        <v>0</v>
      </c>
      <c r="M436" t="s">
        <v>34</v>
      </c>
      <c r="N436" t="s">
        <v>35</v>
      </c>
      <c r="O436">
        <v>14.57</v>
      </c>
      <c r="P436" s="1">
        <v>45352</v>
      </c>
      <c r="Q436" t="str">
        <f t="shared" si="6"/>
        <v>Medium Performance</v>
      </c>
      <c r="R436" s="2">
        <f>Table1_1[[#This Row],[tasks_completed]]/Table1_1[[#This Row],[monthly_hours_worked]]</f>
        <v>1.3020833333333334E-2</v>
      </c>
    </row>
    <row r="437" spans="1:18" x14ac:dyDescent="0.3">
      <c r="A437" t="s">
        <v>81</v>
      </c>
      <c r="B437" t="s">
        <v>27</v>
      </c>
      <c r="C437" t="s">
        <v>31</v>
      </c>
      <c r="D437" t="s">
        <v>39</v>
      </c>
      <c r="E437">
        <v>10</v>
      </c>
      <c r="F437">
        <v>171.6</v>
      </c>
      <c r="G437">
        <v>96.6</v>
      </c>
      <c r="H437">
        <v>2.1</v>
      </c>
      <c r="I437">
        <v>1</v>
      </c>
      <c r="J437">
        <v>8.5299999999999994</v>
      </c>
      <c r="K437">
        <v>7.97</v>
      </c>
      <c r="L437">
        <v>0</v>
      </c>
      <c r="M437" t="s">
        <v>34</v>
      </c>
      <c r="N437" t="s">
        <v>21</v>
      </c>
      <c r="O437">
        <v>11.42</v>
      </c>
      <c r="P437" s="1">
        <v>45352</v>
      </c>
      <c r="Q437" t="str">
        <f t="shared" si="6"/>
        <v>Medium Performance</v>
      </c>
      <c r="R437" s="2">
        <f>Table1_1[[#This Row],[tasks_completed]]/Table1_1[[#This Row],[monthly_hours_worked]]</f>
        <v>5.8275058275058279E-3</v>
      </c>
    </row>
    <row r="438" spans="1:18" x14ac:dyDescent="0.3">
      <c r="A438" t="s">
        <v>81</v>
      </c>
      <c r="B438" t="s">
        <v>23</v>
      </c>
      <c r="C438" t="s">
        <v>37</v>
      </c>
      <c r="D438" t="s">
        <v>19</v>
      </c>
      <c r="E438">
        <v>5</v>
      </c>
      <c r="F438">
        <v>158.30000000000001</v>
      </c>
      <c r="G438">
        <v>98.8</v>
      </c>
      <c r="H438">
        <v>5.2</v>
      </c>
      <c r="I438">
        <v>6</v>
      </c>
      <c r="J438">
        <v>5.42</v>
      </c>
      <c r="K438">
        <v>9.08</v>
      </c>
      <c r="L438">
        <v>0</v>
      </c>
      <c r="M438" t="s">
        <v>25</v>
      </c>
      <c r="N438" t="s">
        <v>35</v>
      </c>
      <c r="O438">
        <v>14.49</v>
      </c>
      <c r="P438" s="1">
        <v>45383</v>
      </c>
      <c r="Q438" t="str">
        <f t="shared" si="6"/>
        <v>Medium Performance</v>
      </c>
      <c r="R438" s="2">
        <f>Table1_1[[#This Row],[tasks_completed]]/Table1_1[[#This Row],[monthly_hours_worked]]</f>
        <v>3.7902716361339225E-2</v>
      </c>
    </row>
    <row r="439" spans="1:18" x14ac:dyDescent="0.3">
      <c r="A439" t="s">
        <v>81</v>
      </c>
      <c r="B439" t="s">
        <v>43</v>
      </c>
      <c r="C439" t="s">
        <v>41</v>
      </c>
      <c r="D439" t="s">
        <v>39</v>
      </c>
      <c r="E439">
        <v>1</v>
      </c>
      <c r="F439">
        <v>158.30000000000001</v>
      </c>
      <c r="G439">
        <v>93.4</v>
      </c>
      <c r="H439">
        <v>5.8</v>
      </c>
      <c r="I439">
        <v>8</v>
      </c>
      <c r="J439">
        <v>7.27</v>
      </c>
      <c r="K439">
        <v>7.7</v>
      </c>
      <c r="L439">
        <v>0</v>
      </c>
      <c r="M439" t="s">
        <v>25</v>
      </c>
      <c r="N439" t="s">
        <v>26</v>
      </c>
      <c r="O439">
        <v>11.46</v>
      </c>
      <c r="P439" s="1">
        <v>45413</v>
      </c>
      <c r="Q439" t="str">
        <f t="shared" si="6"/>
        <v>Medium Performance</v>
      </c>
      <c r="R439" s="2">
        <f>Table1_1[[#This Row],[tasks_completed]]/Table1_1[[#This Row],[monthly_hours_worked]]</f>
        <v>5.0536955148452301E-2</v>
      </c>
    </row>
    <row r="440" spans="1:18" x14ac:dyDescent="0.3">
      <c r="A440" t="s">
        <v>81</v>
      </c>
      <c r="B440" t="s">
        <v>27</v>
      </c>
      <c r="C440" t="s">
        <v>24</v>
      </c>
      <c r="D440" t="s">
        <v>29</v>
      </c>
      <c r="E440">
        <v>9</v>
      </c>
      <c r="F440">
        <v>169.5</v>
      </c>
      <c r="G440">
        <v>99.1</v>
      </c>
      <c r="H440">
        <v>4.4000000000000004</v>
      </c>
      <c r="I440">
        <v>8</v>
      </c>
      <c r="J440">
        <v>5.31</v>
      </c>
      <c r="K440">
        <v>8.52</v>
      </c>
      <c r="L440">
        <v>1</v>
      </c>
      <c r="M440" t="s">
        <v>20</v>
      </c>
      <c r="N440" t="s">
        <v>26</v>
      </c>
      <c r="O440">
        <v>5.76</v>
      </c>
      <c r="P440" s="1">
        <v>45444</v>
      </c>
      <c r="Q440" t="str">
        <f t="shared" si="6"/>
        <v>Low Performance</v>
      </c>
      <c r="R440" s="2">
        <f>Table1_1[[#This Row],[tasks_completed]]/Table1_1[[#This Row],[monthly_hours_worked]]</f>
        <v>4.71976401179941E-2</v>
      </c>
    </row>
    <row r="441" spans="1:18" x14ac:dyDescent="0.3">
      <c r="A441" t="s">
        <v>81</v>
      </c>
      <c r="B441" t="s">
        <v>17</v>
      </c>
      <c r="C441" t="s">
        <v>18</v>
      </c>
      <c r="D441" t="s">
        <v>19</v>
      </c>
      <c r="E441">
        <v>10</v>
      </c>
      <c r="F441">
        <v>160</v>
      </c>
      <c r="G441">
        <v>100</v>
      </c>
      <c r="H441">
        <v>9.1</v>
      </c>
      <c r="I441">
        <v>8</v>
      </c>
      <c r="J441">
        <v>5.8</v>
      </c>
      <c r="K441">
        <v>5.82</v>
      </c>
      <c r="L441">
        <v>0</v>
      </c>
      <c r="M441" t="s">
        <v>25</v>
      </c>
      <c r="N441" t="s">
        <v>35</v>
      </c>
      <c r="O441">
        <v>25.04</v>
      </c>
      <c r="P441" s="1">
        <v>45474</v>
      </c>
      <c r="Q441" t="str">
        <f t="shared" si="6"/>
        <v>High Performance</v>
      </c>
      <c r="R441" s="2">
        <f>Table1_1[[#This Row],[tasks_completed]]/Table1_1[[#This Row],[monthly_hours_worked]]</f>
        <v>0.05</v>
      </c>
    </row>
    <row r="442" spans="1:18" x14ac:dyDescent="0.3">
      <c r="A442" t="s">
        <v>81</v>
      </c>
      <c r="B442" t="s">
        <v>23</v>
      </c>
      <c r="C442" t="s">
        <v>24</v>
      </c>
      <c r="D442" t="s">
        <v>39</v>
      </c>
      <c r="E442">
        <v>1</v>
      </c>
      <c r="F442">
        <v>158.4</v>
      </c>
      <c r="G442">
        <v>85.1</v>
      </c>
      <c r="H442">
        <v>0</v>
      </c>
      <c r="I442">
        <v>4</v>
      </c>
      <c r="J442">
        <v>4.54</v>
      </c>
      <c r="K442">
        <v>8.59</v>
      </c>
      <c r="L442">
        <v>1</v>
      </c>
      <c r="M442" t="s">
        <v>34</v>
      </c>
      <c r="N442" t="s">
        <v>21</v>
      </c>
      <c r="O442">
        <v>15.31</v>
      </c>
      <c r="P442" s="1">
        <v>45505</v>
      </c>
      <c r="Q442" t="str">
        <f t="shared" si="6"/>
        <v>High Performance</v>
      </c>
      <c r="R442" s="2">
        <f>Table1_1[[#This Row],[tasks_completed]]/Table1_1[[#This Row],[monthly_hours_worked]]</f>
        <v>2.5252525252525252E-2</v>
      </c>
    </row>
    <row r="443" spans="1:18" x14ac:dyDescent="0.3">
      <c r="A443" t="s">
        <v>81</v>
      </c>
      <c r="B443" t="s">
        <v>33</v>
      </c>
      <c r="C443" t="s">
        <v>41</v>
      </c>
      <c r="D443" t="s">
        <v>39</v>
      </c>
      <c r="E443">
        <v>3</v>
      </c>
      <c r="F443">
        <v>149.19999999999999</v>
      </c>
      <c r="G443">
        <v>95.6</v>
      </c>
      <c r="H443">
        <v>4.7</v>
      </c>
      <c r="I443">
        <v>4</v>
      </c>
      <c r="J443">
        <v>8.26</v>
      </c>
      <c r="K443">
        <v>5.87</v>
      </c>
      <c r="L443">
        <v>0</v>
      </c>
      <c r="M443" t="s">
        <v>25</v>
      </c>
      <c r="N443" t="s">
        <v>35</v>
      </c>
      <c r="O443">
        <v>5.63</v>
      </c>
      <c r="P443" s="1">
        <v>45536</v>
      </c>
      <c r="Q443" t="str">
        <f t="shared" si="6"/>
        <v>Low Performance</v>
      </c>
      <c r="R443" s="2">
        <f>Table1_1[[#This Row],[tasks_completed]]/Table1_1[[#This Row],[monthly_hours_worked]]</f>
        <v>2.6809651474530832E-2</v>
      </c>
    </row>
    <row r="444" spans="1:18" x14ac:dyDescent="0.3">
      <c r="A444" t="s">
        <v>81</v>
      </c>
      <c r="B444" t="s">
        <v>23</v>
      </c>
      <c r="C444" t="s">
        <v>41</v>
      </c>
      <c r="D444" t="s">
        <v>39</v>
      </c>
      <c r="E444">
        <v>10</v>
      </c>
      <c r="F444">
        <v>163.9</v>
      </c>
      <c r="G444">
        <v>97.5</v>
      </c>
      <c r="H444">
        <v>5.9</v>
      </c>
      <c r="I444">
        <v>9</v>
      </c>
      <c r="J444">
        <v>7.57</v>
      </c>
      <c r="K444">
        <v>5.44</v>
      </c>
      <c r="L444">
        <v>1</v>
      </c>
      <c r="M444" t="s">
        <v>25</v>
      </c>
      <c r="N444" t="s">
        <v>26</v>
      </c>
      <c r="O444">
        <v>19.38</v>
      </c>
      <c r="P444" s="1">
        <v>45566</v>
      </c>
      <c r="Q444" t="str">
        <f t="shared" si="6"/>
        <v>High Performance</v>
      </c>
      <c r="R444" s="2">
        <f>Table1_1[[#This Row],[tasks_completed]]/Table1_1[[#This Row],[monthly_hours_worked]]</f>
        <v>5.4911531421598533E-2</v>
      </c>
    </row>
    <row r="445" spans="1:18" x14ac:dyDescent="0.3">
      <c r="A445" t="s">
        <v>81</v>
      </c>
      <c r="B445" t="s">
        <v>33</v>
      </c>
      <c r="C445" t="s">
        <v>41</v>
      </c>
      <c r="D445" t="s">
        <v>19</v>
      </c>
      <c r="E445">
        <v>9</v>
      </c>
      <c r="F445">
        <v>169.7</v>
      </c>
      <c r="G445">
        <v>96.5</v>
      </c>
      <c r="H445">
        <v>3.5</v>
      </c>
      <c r="I445">
        <v>5</v>
      </c>
      <c r="J445">
        <v>10</v>
      </c>
      <c r="K445">
        <v>8.7100000000000009</v>
      </c>
      <c r="L445">
        <v>0</v>
      </c>
      <c r="M445" t="s">
        <v>25</v>
      </c>
      <c r="N445" t="s">
        <v>26</v>
      </c>
      <c r="O445">
        <v>16.239999999999998</v>
      </c>
      <c r="P445" s="1">
        <v>45597</v>
      </c>
      <c r="Q445" t="str">
        <f t="shared" si="6"/>
        <v>High Performance</v>
      </c>
      <c r="R445" s="2">
        <f>Table1_1[[#This Row],[tasks_completed]]/Table1_1[[#This Row],[monthly_hours_worked]]</f>
        <v>2.9463759575721865E-2</v>
      </c>
    </row>
    <row r="446" spans="1:18" x14ac:dyDescent="0.3">
      <c r="A446" t="s">
        <v>82</v>
      </c>
      <c r="B446" t="s">
        <v>23</v>
      </c>
      <c r="C446" t="s">
        <v>41</v>
      </c>
      <c r="D446" t="s">
        <v>19</v>
      </c>
      <c r="E446">
        <v>8</v>
      </c>
      <c r="F446">
        <v>153.69999999999999</v>
      </c>
      <c r="G446">
        <v>85.6</v>
      </c>
      <c r="H446">
        <v>2.2999999999999998</v>
      </c>
      <c r="I446">
        <v>10</v>
      </c>
      <c r="J446">
        <v>9.94</v>
      </c>
      <c r="K446">
        <v>6.86</v>
      </c>
      <c r="L446">
        <v>0</v>
      </c>
      <c r="M446" t="s">
        <v>25</v>
      </c>
      <c r="N446" t="s">
        <v>21</v>
      </c>
      <c r="O446">
        <v>10.64</v>
      </c>
      <c r="P446" s="1">
        <v>45292</v>
      </c>
      <c r="Q446" t="str">
        <f t="shared" si="6"/>
        <v>Medium Performance</v>
      </c>
      <c r="R446" s="2">
        <f>Table1_1[[#This Row],[tasks_completed]]/Table1_1[[#This Row],[monthly_hours_worked]]</f>
        <v>6.5061808718282377E-2</v>
      </c>
    </row>
    <row r="447" spans="1:18" x14ac:dyDescent="0.3">
      <c r="A447" t="s">
        <v>82</v>
      </c>
      <c r="B447" t="s">
        <v>27</v>
      </c>
      <c r="C447" t="s">
        <v>41</v>
      </c>
      <c r="D447" t="s">
        <v>39</v>
      </c>
      <c r="E447">
        <v>10</v>
      </c>
      <c r="F447">
        <v>161.4</v>
      </c>
      <c r="G447">
        <v>94.7</v>
      </c>
      <c r="I447">
        <v>7</v>
      </c>
      <c r="J447">
        <v>7.56</v>
      </c>
      <c r="K447">
        <v>7.68</v>
      </c>
      <c r="L447">
        <v>0</v>
      </c>
      <c r="M447" t="s">
        <v>34</v>
      </c>
      <c r="N447" t="s">
        <v>21</v>
      </c>
      <c r="O447">
        <v>9.17</v>
      </c>
      <c r="P447" s="1">
        <v>45292</v>
      </c>
      <c r="Q447" t="str">
        <f t="shared" si="6"/>
        <v>Low Performance</v>
      </c>
      <c r="R447" s="2">
        <f>Table1_1[[#This Row],[tasks_completed]]/Table1_1[[#This Row],[monthly_hours_worked]]</f>
        <v>4.3370508054522923E-2</v>
      </c>
    </row>
    <row r="448" spans="1:18" x14ac:dyDescent="0.3">
      <c r="A448" t="s">
        <v>82</v>
      </c>
      <c r="B448" t="s">
        <v>17</v>
      </c>
      <c r="C448" t="s">
        <v>18</v>
      </c>
      <c r="D448" t="s">
        <v>29</v>
      </c>
      <c r="E448">
        <v>9</v>
      </c>
      <c r="F448">
        <v>142.30000000000001</v>
      </c>
      <c r="G448">
        <v>96.8</v>
      </c>
      <c r="H448">
        <v>4.2</v>
      </c>
      <c r="I448">
        <v>4</v>
      </c>
      <c r="J448">
        <v>7.8</v>
      </c>
      <c r="K448">
        <v>2.46</v>
      </c>
      <c r="L448">
        <v>0</v>
      </c>
      <c r="M448" t="s">
        <v>34</v>
      </c>
      <c r="N448" t="s">
        <v>26</v>
      </c>
      <c r="O448">
        <v>11.85</v>
      </c>
      <c r="P448" s="1">
        <v>45352</v>
      </c>
      <c r="Q448" t="str">
        <f t="shared" si="6"/>
        <v>Medium Performance</v>
      </c>
      <c r="R448" s="2">
        <f>Table1_1[[#This Row],[tasks_completed]]/Table1_1[[#This Row],[monthly_hours_worked]]</f>
        <v>2.8109627547434995E-2</v>
      </c>
    </row>
    <row r="449" spans="1:18" x14ac:dyDescent="0.3">
      <c r="A449" t="s">
        <v>82</v>
      </c>
      <c r="B449" t="s">
        <v>33</v>
      </c>
      <c r="C449" t="s">
        <v>24</v>
      </c>
      <c r="D449" t="s">
        <v>19</v>
      </c>
      <c r="E449">
        <v>8</v>
      </c>
      <c r="F449">
        <v>145.69999999999999</v>
      </c>
      <c r="G449">
        <v>99.5</v>
      </c>
      <c r="H449">
        <v>8</v>
      </c>
      <c r="I449">
        <v>5</v>
      </c>
      <c r="J449">
        <v>5.84</v>
      </c>
      <c r="K449">
        <v>10</v>
      </c>
      <c r="L449">
        <v>0</v>
      </c>
      <c r="M449" t="s">
        <v>20</v>
      </c>
      <c r="N449" t="s">
        <v>26</v>
      </c>
      <c r="O449">
        <v>12.91</v>
      </c>
      <c r="P449" s="1">
        <v>45352</v>
      </c>
      <c r="Q449" t="str">
        <f t="shared" si="6"/>
        <v>Medium Performance</v>
      </c>
      <c r="R449" s="2">
        <f>Table1_1[[#This Row],[tasks_completed]]/Table1_1[[#This Row],[monthly_hours_worked]]</f>
        <v>3.4317089910775568E-2</v>
      </c>
    </row>
    <row r="450" spans="1:18" x14ac:dyDescent="0.3">
      <c r="A450" t="s">
        <v>82</v>
      </c>
      <c r="B450" t="s">
        <v>17</v>
      </c>
      <c r="C450" t="s">
        <v>31</v>
      </c>
      <c r="D450" t="s">
        <v>19</v>
      </c>
      <c r="E450">
        <v>4</v>
      </c>
      <c r="F450">
        <v>161.1</v>
      </c>
      <c r="G450">
        <v>93.4</v>
      </c>
      <c r="H450">
        <v>6.3</v>
      </c>
      <c r="I450">
        <v>5</v>
      </c>
      <c r="J450">
        <v>7.38</v>
      </c>
      <c r="K450">
        <v>8.4</v>
      </c>
      <c r="L450">
        <v>0</v>
      </c>
      <c r="M450" t="s">
        <v>34</v>
      </c>
      <c r="N450" t="s">
        <v>35</v>
      </c>
      <c r="O450">
        <v>9.35</v>
      </c>
      <c r="P450" s="1">
        <v>45383</v>
      </c>
      <c r="Q450" t="str">
        <f t="shared" ref="Q450:Q513" si="7">IF(O450&gt;=15, "High Performance", IF(O450&gt;=10, "Medium Performance", "Low Performance"))</f>
        <v>Low Performance</v>
      </c>
      <c r="R450" s="2">
        <f>Table1_1[[#This Row],[tasks_completed]]/Table1_1[[#This Row],[monthly_hours_worked]]</f>
        <v>3.1036623215394167E-2</v>
      </c>
    </row>
    <row r="451" spans="1:18" x14ac:dyDescent="0.3">
      <c r="A451" t="s">
        <v>82</v>
      </c>
      <c r="B451" t="s">
        <v>33</v>
      </c>
      <c r="C451" t="s">
        <v>31</v>
      </c>
      <c r="D451" t="s">
        <v>29</v>
      </c>
      <c r="E451">
        <v>9</v>
      </c>
      <c r="F451">
        <v>160.30000000000001</v>
      </c>
      <c r="G451">
        <v>89.2</v>
      </c>
      <c r="H451">
        <v>4.0999999999999996</v>
      </c>
      <c r="I451">
        <v>5</v>
      </c>
      <c r="J451">
        <v>9.0500000000000007</v>
      </c>
      <c r="K451">
        <v>10</v>
      </c>
      <c r="L451">
        <v>0</v>
      </c>
      <c r="M451" t="s">
        <v>34</v>
      </c>
      <c r="N451" t="s">
        <v>35</v>
      </c>
      <c r="O451">
        <v>17.54</v>
      </c>
      <c r="P451" s="1">
        <v>45413</v>
      </c>
      <c r="Q451" t="str">
        <f t="shared" si="7"/>
        <v>High Performance</v>
      </c>
      <c r="R451" s="2">
        <f>Table1_1[[#This Row],[tasks_completed]]/Table1_1[[#This Row],[monthly_hours_worked]]</f>
        <v>3.119151590767311E-2</v>
      </c>
    </row>
    <row r="452" spans="1:18" x14ac:dyDescent="0.3">
      <c r="A452" t="s">
        <v>82</v>
      </c>
      <c r="B452" t="s">
        <v>33</v>
      </c>
      <c r="C452" t="s">
        <v>31</v>
      </c>
      <c r="D452" t="s">
        <v>29</v>
      </c>
      <c r="E452">
        <v>5</v>
      </c>
      <c r="F452">
        <v>165.1</v>
      </c>
      <c r="G452">
        <v>91.8</v>
      </c>
      <c r="H452">
        <v>5.6</v>
      </c>
      <c r="I452">
        <v>8</v>
      </c>
      <c r="J452">
        <v>7.14</v>
      </c>
      <c r="K452">
        <v>7.58</v>
      </c>
      <c r="L452">
        <v>0</v>
      </c>
      <c r="M452" t="s">
        <v>34</v>
      </c>
      <c r="N452" t="s">
        <v>21</v>
      </c>
      <c r="O452">
        <v>17.16</v>
      </c>
      <c r="P452" s="1">
        <v>45444</v>
      </c>
      <c r="Q452" t="str">
        <f t="shared" si="7"/>
        <v>High Performance</v>
      </c>
      <c r="R452" s="2">
        <f>Table1_1[[#This Row],[tasks_completed]]/Table1_1[[#This Row],[monthly_hours_worked]]</f>
        <v>4.8455481526347668E-2</v>
      </c>
    </row>
    <row r="453" spans="1:18" x14ac:dyDescent="0.3">
      <c r="A453" t="s">
        <v>82</v>
      </c>
      <c r="B453" t="s">
        <v>23</v>
      </c>
      <c r="C453" t="s">
        <v>31</v>
      </c>
      <c r="D453" t="s">
        <v>39</v>
      </c>
      <c r="E453">
        <v>10</v>
      </c>
      <c r="F453">
        <v>149.5</v>
      </c>
      <c r="G453">
        <v>90.5</v>
      </c>
      <c r="H453">
        <v>4.0999999999999996</v>
      </c>
      <c r="I453">
        <v>10</v>
      </c>
      <c r="J453">
        <v>5.93</v>
      </c>
      <c r="K453">
        <v>9.6</v>
      </c>
      <c r="L453">
        <v>0</v>
      </c>
      <c r="M453" t="s">
        <v>20</v>
      </c>
      <c r="N453" t="s">
        <v>35</v>
      </c>
      <c r="O453">
        <v>9.85</v>
      </c>
      <c r="P453" s="1">
        <v>45474</v>
      </c>
      <c r="Q453" t="str">
        <f t="shared" si="7"/>
        <v>Low Performance</v>
      </c>
      <c r="R453" s="2">
        <f>Table1_1[[#This Row],[tasks_completed]]/Table1_1[[#This Row],[monthly_hours_worked]]</f>
        <v>6.6889632107023408E-2</v>
      </c>
    </row>
    <row r="454" spans="1:18" x14ac:dyDescent="0.3">
      <c r="A454" t="s">
        <v>82</v>
      </c>
      <c r="B454" t="s">
        <v>23</v>
      </c>
      <c r="C454" t="s">
        <v>37</v>
      </c>
      <c r="D454" t="s">
        <v>19</v>
      </c>
      <c r="E454">
        <v>5</v>
      </c>
      <c r="F454">
        <v>163.1</v>
      </c>
      <c r="G454">
        <v>98.3</v>
      </c>
      <c r="H454">
        <v>6.3</v>
      </c>
      <c r="I454">
        <v>6</v>
      </c>
      <c r="J454">
        <v>10</v>
      </c>
      <c r="K454">
        <v>4.01</v>
      </c>
      <c r="L454">
        <v>0</v>
      </c>
      <c r="M454" t="s">
        <v>25</v>
      </c>
      <c r="N454" t="s">
        <v>35</v>
      </c>
      <c r="O454">
        <v>3.4</v>
      </c>
      <c r="P454" s="1">
        <v>45505</v>
      </c>
      <c r="Q454" t="str">
        <f t="shared" si="7"/>
        <v>Low Performance</v>
      </c>
      <c r="R454" s="2">
        <f>Table1_1[[#This Row],[tasks_completed]]/Table1_1[[#This Row],[monthly_hours_worked]]</f>
        <v>3.6787247087676271E-2</v>
      </c>
    </row>
    <row r="455" spans="1:18" x14ac:dyDescent="0.3">
      <c r="A455" t="s">
        <v>82</v>
      </c>
      <c r="B455" t="s">
        <v>33</v>
      </c>
      <c r="C455" t="s">
        <v>37</v>
      </c>
      <c r="D455" t="s">
        <v>39</v>
      </c>
      <c r="E455">
        <v>5</v>
      </c>
      <c r="F455">
        <v>170.9</v>
      </c>
      <c r="G455">
        <v>89.4</v>
      </c>
      <c r="H455">
        <v>4.2</v>
      </c>
      <c r="I455">
        <v>4</v>
      </c>
      <c r="J455">
        <v>8.6300000000000008</v>
      </c>
      <c r="K455">
        <v>5.1100000000000003</v>
      </c>
      <c r="L455">
        <v>0</v>
      </c>
      <c r="M455" t="s">
        <v>25</v>
      </c>
      <c r="N455" t="s">
        <v>35</v>
      </c>
      <c r="O455">
        <v>14.52</v>
      </c>
      <c r="P455" s="1">
        <v>45536</v>
      </c>
      <c r="Q455" t="str">
        <f t="shared" si="7"/>
        <v>Medium Performance</v>
      </c>
      <c r="R455" s="2">
        <f>Table1_1[[#This Row],[tasks_completed]]/Table1_1[[#This Row],[monthly_hours_worked]]</f>
        <v>2.3405500292568753E-2</v>
      </c>
    </row>
    <row r="456" spans="1:18" x14ac:dyDescent="0.3">
      <c r="A456" t="s">
        <v>82</v>
      </c>
      <c r="B456" t="s">
        <v>27</v>
      </c>
      <c r="C456" t="s">
        <v>41</v>
      </c>
      <c r="D456" t="s">
        <v>29</v>
      </c>
      <c r="E456">
        <v>1</v>
      </c>
      <c r="F456">
        <v>163.4</v>
      </c>
      <c r="G456">
        <v>98.2</v>
      </c>
      <c r="H456">
        <v>3.8</v>
      </c>
      <c r="I456">
        <v>5</v>
      </c>
      <c r="J456">
        <v>6.69</v>
      </c>
      <c r="K456">
        <v>6.46</v>
      </c>
      <c r="L456">
        <v>1</v>
      </c>
      <c r="M456" t="s">
        <v>20</v>
      </c>
      <c r="N456" t="s">
        <v>21</v>
      </c>
      <c r="O456">
        <v>20.73</v>
      </c>
      <c r="P456" s="1">
        <v>45566</v>
      </c>
      <c r="Q456" t="str">
        <f t="shared" si="7"/>
        <v>High Performance</v>
      </c>
      <c r="R456" s="2">
        <f>Table1_1[[#This Row],[tasks_completed]]/Table1_1[[#This Row],[monthly_hours_worked]]</f>
        <v>3.0599755201958383E-2</v>
      </c>
    </row>
    <row r="457" spans="1:18" x14ac:dyDescent="0.3">
      <c r="A457" t="s">
        <v>82</v>
      </c>
      <c r="B457" t="s">
        <v>43</v>
      </c>
      <c r="C457" t="s">
        <v>18</v>
      </c>
      <c r="D457" t="s">
        <v>39</v>
      </c>
      <c r="E457">
        <v>1</v>
      </c>
      <c r="F457">
        <v>172.7</v>
      </c>
      <c r="G457">
        <v>90.1</v>
      </c>
      <c r="I457">
        <v>8</v>
      </c>
      <c r="J457">
        <v>8.07</v>
      </c>
      <c r="K457">
        <v>4.22</v>
      </c>
      <c r="L457">
        <v>0</v>
      </c>
      <c r="M457" t="s">
        <v>20</v>
      </c>
      <c r="N457" t="s">
        <v>21</v>
      </c>
      <c r="O457">
        <v>10.27</v>
      </c>
      <c r="P457" s="1">
        <v>45597</v>
      </c>
      <c r="Q457" t="str">
        <f t="shared" si="7"/>
        <v>Medium Performance</v>
      </c>
      <c r="R457" s="2">
        <f>Table1_1[[#This Row],[tasks_completed]]/Table1_1[[#This Row],[monthly_hours_worked]]</f>
        <v>4.6323103647944418E-2</v>
      </c>
    </row>
    <row r="458" spans="1:18" x14ac:dyDescent="0.3">
      <c r="A458" t="s">
        <v>83</v>
      </c>
      <c r="B458" t="s">
        <v>23</v>
      </c>
      <c r="C458" t="s">
        <v>18</v>
      </c>
      <c r="D458" t="s">
        <v>29</v>
      </c>
      <c r="E458">
        <v>1</v>
      </c>
      <c r="F458">
        <v>163.5</v>
      </c>
      <c r="G458">
        <v>100</v>
      </c>
      <c r="H458">
        <v>7.1</v>
      </c>
      <c r="I458">
        <v>6</v>
      </c>
      <c r="J458">
        <v>7.75</v>
      </c>
      <c r="K458">
        <v>10</v>
      </c>
      <c r="L458">
        <v>1</v>
      </c>
      <c r="M458" t="s">
        <v>20</v>
      </c>
      <c r="N458" t="s">
        <v>35</v>
      </c>
      <c r="O458">
        <v>18.149999999999999</v>
      </c>
      <c r="P458" s="1">
        <v>45292</v>
      </c>
      <c r="Q458" t="str">
        <f t="shared" si="7"/>
        <v>High Performance</v>
      </c>
      <c r="R458" s="2">
        <f>Table1_1[[#This Row],[tasks_completed]]/Table1_1[[#This Row],[monthly_hours_worked]]</f>
        <v>3.669724770642202E-2</v>
      </c>
    </row>
    <row r="459" spans="1:18" x14ac:dyDescent="0.3">
      <c r="A459" t="s">
        <v>83</v>
      </c>
      <c r="B459" t="s">
        <v>27</v>
      </c>
      <c r="C459" t="s">
        <v>31</v>
      </c>
      <c r="D459" t="s">
        <v>29</v>
      </c>
      <c r="E459">
        <v>8</v>
      </c>
      <c r="F459">
        <v>140.1</v>
      </c>
      <c r="G459">
        <v>91.6</v>
      </c>
      <c r="H459">
        <v>4.5999999999999996</v>
      </c>
      <c r="I459">
        <v>8</v>
      </c>
      <c r="J459">
        <v>5.85</v>
      </c>
      <c r="K459">
        <v>8.6</v>
      </c>
      <c r="L459">
        <v>1</v>
      </c>
      <c r="M459" t="s">
        <v>25</v>
      </c>
      <c r="N459" t="s">
        <v>35</v>
      </c>
      <c r="O459">
        <v>4.43</v>
      </c>
      <c r="P459" s="1">
        <v>45292</v>
      </c>
      <c r="Q459" t="str">
        <f t="shared" si="7"/>
        <v>Low Performance</v>
      </c>
      <c r="R459" s="2">
        <f>Table1_1[[#This Row],[tasks_completed]]/Table1_1[[#This Row],[monthly_hours_worked]]</f>
        <v>5.7102069950035694E-2</v>
      </c>
    </row>
    <row r="460" spans="1:18" x14ac:dyDescent="0.3">
      <c r="A460" t="s">
        <v>83</v>
      </c>
      <c r="B460" t="s">
        <v>27</v>
      </c>
      <c r="C460" t="s">
        <v>37</v>
      </c>
      <c r="D460" t="s">
        <v>29</v>
      </c>
      <c r="E460">
        <v>8</v>
      </c>
      <c r="F460">
        <v>160.9</v>
      </c>
      <c r="G460">
        <v>100</v>
      </c>
      <c r="H460">
        <v>5.3</v>
      </c>
      <c r="I460">
        <v>8</v>
      </c>
      <c r="J460">
        <v>3.65</v>
      </c>
      <c r="K460">
        <v>6.93</v>
      </c>
      <c r="L460">
        <v>2</v>
      </c>
      <c r="M460" t="s">
        <v>25</v>
      </c>
      <c r="N460" t="s">
        <v>35</v>
      </c>
      <c r="O460">
        <v>6.41</v>
      </c>
      <c r="P460" s="1">
        <v>45352</v>
      </c>
      <c r="Q460" t="str">
        <f t="shared" si="7"/>
        <v>Low Performance</v>
      </c>
      <c r="R460" s="2">
        <f>Table1_1[[#This Row],[tasks_completed]]/Table1_1[[#This Row],[monthly_hours_worked]]</f>
        <v>4.9720323182100679E-2</v>
      </c>
    </row>
    <row r="461" spans="1:18" x14ac:dyDescent="0.3">
      <c r="A461" t="s">
        <v>83</v>
      </c>
      <c r="B461" t="s">
        <v>27</v>
      </c>
      <c r="C461" t="s">
        <v>31</v>
      </c>
      <c r="D461" t="s">
        <v>39</v>
      </c>
      <c r="E461">
        <v>10</v>
      </c>
      <c r="F461">
        <v>171.8</v>
      </c>
      <c r="G461">
        <v>97</v>
      </c>
      <c r="H461">
        <v>3.1</v>
      </c>
      <c r="I461">
        <v>6</v>
      </c>
      <c r="J461">
        <v>6.31</v>
      </c>
      <c r="K461">
        <v>9.7100000000000009</v>
      </c>
      <c r="L461">
        <v>0</v>
      </c>
      <c r="M461" t="s">
        <v>20</v>
      </c>
      <c r="N461" t="s">
        <v>35</v>
      </c>
      <c r="O461">
        <v>23.07</v>
      </c>
      <c r="P461" s="1">
        <v>45352</v>
      </c>
      <c r="Q461" t="str">
        <f t="shared" si="7"/>
        <v>High Performance</v>
      </c>
      <c r="R461" s="2">
        <f>Table1_1[[#This Row],[tasks_completed]]/Table1_1[[#This Row],[monthly_hours_worked]]</f>
        <v>3.4924330616996506E-2</v>
      </c>
    </row>
    <row r="462" spans="1:18" x14ac:dyDescent="0.3">
      <c r="A462" t="s">
        <v>83</v>
      </c>
      <c r="B462" t="s">
        <v>17</v>
      </c>
      <c r="C462" t="s">
        <v>18</v>
      </c>
      <c r="D462" t="s">
        <v>39</v>
      </c>
      <c r="E462">
        <v>2</v>
      </c>
      <c r="F462">
        <v>156.5</v>
      </c>
      <c r="G462">
        <v>94</v>
      </c>
      <c r="H462">
        <v>4.4000000000000004</v>
      </c>
      <c r="I462">
        <v>8</v>
      </c>
      <c r="J462">
        <v>6.89</v>
      </c>
      <c r="K462">
        <v>7.27</v>
      </c>
      <c r="L462">
        <v>0</v>
      </c>
      <c r="M462" t="s">
        <v>34</v>
      </c>
      <c r="N462" t="s">
        <v>35</v>
      </c>
      <c r="O462">
        <v>13.79</v>
      </c>
      <c r="P462" s="1">
        <v>45383</v>
      </c>
      <c r="Q462" t="str">
        <f t="shared" si="7"/>
        <v>Medium Performance</v>
      </c>
      <c r="R462" s="2">
        <f>Table1_1[[#This Row],[tasks_completed]]/Table1_1[[#This Row],[monthly_hours_worked]]</f>
        <v>5.1118210862619806E-2</v>
      </c>
    </row>
    <row r="463" spans="1:18" x14ac:dyDescent="0.3">
      <c r="A463" t="s">
        <v>83</v>
      </c>
      <c r="B463" t="s">
        <v>23</v>
      </c>
      <c r="C463" t="s">
        <v>24</v>
      </c>
      <c r="D463" t="s">
        <v>19</v>
      </c>
      <c r="E463">
        <v>6</v>
      </c>
      <c r="F463">
        <v>144.19999999999999</v>
      </c>
      <c r="G463">
        <v>93.8</v>
      </c>
      <c r="H463">
        <v>5.3</v>
      </c>
      <c r="I463">
        <v>6</v>
      </c>
      <c r="J463">
        <v>8.41</v>
      </c>
      <c r="K463">
        <v>3.9</v>
      </c>
      <c r="L463">
        <v>0</v>
      </c>
      <c r="M463" t="s">
        <v>20</v>
      </c>
      <c r="N463" t="s">
        <v>21</v>
      </c>
      <c r="O463">
        <v>14.49</v>
      </c>
      <c r="P463" s="1">
        <v>45413</v>
      </c>
      <c r="Q463" t="str">
        <f t="shared" si="7"/>
        <v>Medium Performance</v>
      </c>
      <c r="R463" s="2">
        <f>Table1_1[[#This Row],[tasks_completed]]/Table1_1[[#This Row],[monthly_hours_worked]]</f>
        <v>4.1608876560332873E-2</v>
      </c>
    </row>
    <row r="464" spans="1:18" x14ac:dyDescent="0.3">
      <c r="A464" t="s">
        <v>83</v>
      </c>
      <c r="B464" t="s">
        <v>17</v>
      </c>
      <c r="C464" t="s">
        <v>37</v>
      </c>
      <c r="D464" t="s">
        <v>39</v>
      </c>
      <c r="E464">
        <v>8</v>
      </c>
      <c r="F464">
        <v>160.80000000000001</v>
      </c>
      <c r="G464">
        <v>93.6</v>
      </c>
      <c r="H464">
        <v>2.4</v>
      </c>
      <c r="I464">
        <v>5</v>
      </c>
      <c r="J464">
        <v>6.06</v>
      </c>
      <c r="K464">
        <v>7.27</v>
      </c>
      <c r="L464">
        <v>1</v>
      </c>
      <c r="M464" t="s">
        <v>34</v>
      </c>
      <c r="N464" t="s">
        <v>26</v>
      </c>
      <c r="O464">
        <v>15.49</v>
      </c>
      <c r="P464" s="1">
        <v>45444</v>
      </c>
      <c r="Q464" t="str">
        <f t="shared" si="7"/>
        <v>High Performance</v>
      </c>
      <c r="R464" s="2">
        <f>Table1_1[[#This Row],[tasks_completed]]/Table1_1[[#This Row],[monthly_hours_worked]]</f>
        <v>3.1094527363184077E-2</v>
      </c>
    </row>
    <row r="465" spans="1:18" x14ac:dyDescent="0.3">
      <c r="A465" t="s">
        <v>83</v>
      </c>
      <c r="B465" t="s">
        <v>43</v>
      </c>
      <c r="C465" t="s">
        <v>37</v>
      </c>
      <c r="D465" t="s">
        <v>19</v>
      </c>
      <c r="E465">
        <v>4</v>
      </c>
      <c r="F465">
        <v>176.5</v>
      </c>
      <c r="G465">
        <v>98.1</v>
      </c>
      <c r="H465">
        <v>5.5</v>
      </c>
      <c r="I465">
        <v>2</v>
      </c>
      <c r="J465">
        <v>8.23</v>
      </c>
      <c r="K465">
        <v>7.19</v>
      </c>
      <c r="L465">
        <v>1</v>
      </c>
      <c r="M465" t="s">
        <v>25</v>
      </c>
      <c r="N465" t="s">
        <v>21</v>
      </c>
      <c r="O465">
        <v>8.09</v>
      </c>
      <c r="P465" s="1">
        <v>45474</v>
      </c>
      <c r="Q465" t="str">
        <f t="shared" si="7"/>
        <v>Low Performance</v>
      </c>
      <c r="R465" s="2">
        <f>Table1_1[[#This Row],[tasks_completed]]/Table1_1[[#This Row],[monthly_hours_worked]]</f>
        <v>1.1331444759206799E-2</v>
      </c>
    </row>
    <row r="466" spans="1:18" x14ac:dyDescent="0.3">
      <c r="A466" t="s">
        <v>83</v>
      </c>
      <c r="B466" t="s">
        <v>43</v>
      </c>
      <c r="C466" t="s">
        <v>24</v>
      </c>
      <c r="D466" t="s">
        <v>39</v>
      </c>
      <c r="E466">
        <v>8</v>
      </c>
      <c r="F466">
        <v>166</v>
      </c>
      <c r="G466">
        <v>92.4</v>
      </c>
      <c r="H466">
        <v>2.8</v>
      </c>
      <c r="I466">
        <v>7</v>
      </c>
      <c r="J466">
        <v>10</v>
      </c>
      <c r="K466">
        <v>5.2</v>
      </c>
      <c r="L466">
        <v>0</v>
      </c>
      <c r="M466" t="s">
        <v>34</v>
      </c>
      <c r="N466" t="s">
        <v>35</v>
      </c>
      <c r="O466">
        <v>19</v>
      </c>
      <c r="P466" s="1">
        <v>45505</v>
      </c>
      <c r="Q466" t="str">
        <f t="shared" si="7"/>
        <v>High Performance</v>
      </c>
      <c r="R466" s="2">
        <f>Table1_1[[#This Row],[tasks_completed]]/Table1_1[[#This Row],[monthly_hours_worked]]</f>
        <v>4.2168674698795178E-2</v>
      </c>
    </row>
    <row r="467" spans="1:18" x14ac:dyDescent="0.3">
      <c r="A467" t="s">
        <v>83</v>
      </c>
      <c r="B467" t="s">
        <v>43</v>
      </c>
      <c r="C467" t="s">
        <v>37</v>
      </c>
      <c r="D467" t="s">
        <v>29</v>
      </c>
      <c r="E467">
        <v>2</v>
      </c>
      <c r="F467">
        <v>168.6</v>
      </c>
      <c r="G467">
        <v>95.9</v>
      </c>
      <c r="H467">
        <v>7.3</v>
      </c>
      <c r="I467">
        <v>5</v>
      </c>
      <c r="J467">
        <v>5.67</v>
      </c>
      <c r="K467">
        <v>6.57</v>
      </c>
      <c r="L467">
        <v>0</v>
      </c>
      <c r="M467" t="s">
        <v>20</v>
      </c>
      <c r="N467" t="s">
        <v>21</v>
      </c>
      <c r="O467">
        <v>17.440000000000001</v>
      </c>
      <c r="P467" s="1">
        <v>45536</v>
      </c>
      <c r="Q467" t="str">
        <f t="shared" si="7"/>
        <v>High Performance</v>
      </c>
      <c r="R467" s="2">
        <f>Table1_1[[#This Row],[tasks_completed]]/Table1_1[[#This Row],[monthly_hours_worked]]</f>
        <v>2.9655990510083038E-2</v>
      </c>
    </row>
    <row r="468" spans="1:18" x14ac:dyDescent="0.3">
      <c r="A468" t="s">
        <v>83</v>
      </c>
      <c r="B468" t="s">
        <v>27</v>
      </c>
      <c r="C468" t="s">
        <v>41</v>
      </c>
      <c r="D468" t="s">
        <v>29</v>
      </c>
      <c r="E468">
        <v>4</v>
      </c>
      <c r="F468">
        <v>155.30000000000001</v>
      </c>
      <c r="G468">
        <v>95.7</v>
      </c>
      <c r="H468">
        <v>6.1</v>
      </c>
      <c r="I468">
        <v>5</v>
      </c>
      <c r="J468">
        <v>5.99</v>
      </c>
      <c r="K468">
        <v>5.15</v>
      </c>
      <c r="L468">
        <v>0</v>
      </c>
      <c r="M468" t="s">
        <v>20</v>
      </c>
      <c r="N468" t="s">
        <v>26</v>
      </c>
      <c r="O468">
        <v>11.94</v>
      </c>
      <c r="P468" s="1">
        <v>45566</v>
      </c>
      <c r="Q468" t="str">
        <f t="shared" si="7"/>
        <v>Medium Performance</v>
      </c>
      <c r="R468" s="2">
        <f>Table1_1[[#This Row],[tasks_completed]]/Table1_1[[#This Row],[monthly_hours_worked]]</f>
        <v>3.2195750160978746E-2</v>
      </c>
    </row>
    <row r="469" spans="1:18" x14ac:dyDescent="0.3">
      <c r="A469" t="s">
        <v>83</v>
      </c>
      <c r="B469" t="s">
        <v>33</v>
      </c>
      <c r="C469" t="s">
        <v>18</v>
      </c>
      <c r="D469" t="s">
        <v>39</v>
      </c>
      <c r="E469">
        <v>1</v>
      </c>
      <c r="F469">
        <v>170.1</v>
      </c>
      <c r="G469">
        <v>95.4</v>
      </c>
      <c r="H469">
        <v>5.3</v>
      </c>
      <c r="I469">
        <v>5</v>
      </c>
      <c r="J469">
        <v>5.91</v>
      </c>
      <c r="K469">
        <v>5.28</v>
      </c>
      <c r="L469">
        <v>0</v>
      </c>
      <c r="M469" t="s">
        <v>34</v>
      </c>
      <c r="N469" t="s">
        <v>35</v>
      </c>
      <c r="O469">
        <v>14.38</v>
      </c>
      <c r="P469" s="1">
        <v>45597</v>
      </c>
      <c r="Q469" t="str">
        <f t="shared" si="7"/>
        <v>Medium Performance</v>
      </c>
      <c r="R469" s="2">
        <f>Table1_1[[#This Row],[tasks_completed]]/Table1_1[[#This Row],[monthly_hours_worked]]</f>
        <v>2.9394473838918283E-2</v>
      </c>
    </row>
    <row r="470" spans="1:18" x14ac:dyDescent="0.3">
      <c r="A470" t="s">
        <v>84</v>
      </c>
      <c r="B470" t="s">
        <v>27</v>
      </c>
      <c r="C470" t="s">
        <v>37</v>
      </c>
      <c r="D470" t="s">
        <v>19</v>
      </c>
      <c r="E470">
        <v>4</v>
      </c>
      <c r="F470">
        <v>152.9</v>
      </c>
      <c r="G470">
        <v>95.8</v>
      </c>
      <c r="H470">
        <v>6.2</v>
      </c>
      <c r="I470">
        <v>7</v>
      </c>
      <c r="J470">
        <v>8.59</v>
      </c>
      <c r="K470">
        <v>2.52</v>
      </c>
      <c r="L470">
        <v>0</v>
      </c>
      <c r="M470" t="s">
        <v>34</v>
      </c>
      <c r="N470" t="s">
        <v>26</v>
      </c>
      <c r="O470">
        <v>13.49</v>
      </c>
      <c r="P470" s="1">
        <v>45292</v>
      </c>
      <c r="Q470" t="str">
        <f t="shared" si="7"/>
        <v>Medium Performance</v>
      </c>
      <c r="R470" s="2">
        <f>Table1_1[[#This Row],[tasks_completed]]/Table1_1[[#This Row],[monthly_hours_worked]]</f>
        <v>4.5781556572923481E-2</v>
      </c>
    </row>
    <row r="471" spans="1:18" x14ac:dyDescent="0.3">
      <c r="A471" t="s">
        <v>84</v>
      </c>
      <c r="B471" t="s">
        <v>17</v>
      </c>
      <c r="C471" t="s">
        <v>24</v>
      </c>
      <c r="D471" t="s">
        <v>29</v>
      </c>
      <c r="E471">
        <v>5</v>
      </c>
      <c r="F471">
        <v>167.5</v>
      </c>
      <c r="G471">
        <v>97</v>
      </c>
      <c r="H471">
        <v>7.4</v>
      </c>
      <c r="I471">
        <v>8</v>
      </c>
      <c r="J471">
        <v>6.46</v>
      </c>
      <c r="K471">
        <v>7.1</v>
      </c>
      <c r="L471">
        <v>0</v>
      </c>
      <c r="M471" t="s">
        <v>20</v>
      </c>
      <c r="N471" t="s">
        <v>35</v>
      </c>
      <c r="O471">
        <v>17.93</v>
      </c>
      <c r="P471" s="1">
        <v>45292</v>
      </c>
      <c r="Q471" t="str">
        <f t="shared" si="7"/>
        <v>High Performance</v>
      </c>
      <c r="R471" s="2">
        <f>Table1_1[[#This Row],[tasks_completed]]/Table1_1[[#This Row],[monthly_hours_worked]]</f>
        <v>4.7761194029850747E-2</v>
      </c>
    </row>
    <row r="472" spans="1:18" x14ac:dyDescent="0.3">
      <c r="A472" t="s">
        <v>84</v>
      </c>
      <c r="B472" t="s">
        <v>33</v>
      </c>
      <c r="C472" t="s">
        <v>41</v>
      </c>
      <c r="D472" t="s">
        <v>39</v>
      </c>
      <c r="E472">
        <v>8</v>
      </c>
      <c r="F472">
        <v>159.9</v>
      </c>
      <c r="G472">
        <v>100</v>
      </c>
      <c r="I472">
        <v>7</v>
      </c>
      <c r="J472">
        <v>6.7</v>
      </c>
      <c r="K472">
        <v>9.4</v>
      </c>
      <c r="L472">
        <v>1</v>
      </c>
      <c r="M472" t="s">
        <v>25</v>
      </c>
      <c r="N472" t="s">
        <v>21</v>
      </c>
      <c r="O472">
        <v>13.9</v>
      </c>
      <c r="P472" s="1">
        <v>45352</v>
      </c>
      <c r="Q472" t="str">
        <f t="shared" si="7"/>
        <v>Medium Performance</v>
      </c>
      <c r="R472" s="2">
        <f>Table1_1[[#This Row],[tasks_completed]]/Table1_1[[#This Row],[monthly_hours_worked]]</f>
        <v>4.3777360850531584E-2</v>
      </c>
    </row>
    <row r="473" spans="1:18" x14ac:dyDescent="0.3">
      <c r="A473" t="s">
        <v>84</v>
      </c>
      <c r="B473" t="s">
        <v>27</v>
      </c>
      <c r="C473" t="s">
        <v>41</v>
      </c>
      <c r="D473" t="s">
        <v>39</v>
      </c>
      <c r="E473">
        <v>1</v>
      </c>
      <c r="F473">
        <v>167.4</v>
      </c>
      <c r="G473">
        <v>100</v>
      </c>
      <c r="H473">
        <v>4.0999999999999996</v>
      </c>
      <c r="I473">
        <v>5</v>
      </c>
      <c r="J473">
        <v>7.29</v>
      </c>
      <c r="K473">
        <v>4.41</v>
      </c>
      <c r="L473">
        <v>0</v>
      </c>
      <c r="M473" t="s">
        <v>34</v>
      </c>
      <c r="N473" t="s">
        <v>21</v>
      </c>
      <c r="O473">
        <v>9.93</v>
      </c>
      <c r="P473" s="1">
        <v>45352</v>
      </c>
      <c r="Q473" t="str">
        <f t="shared" si="7"/>
        <v>Low Performance</v>
      </c>
      <c r="R473" s="2">
        <f>Table1_1[[#This Row],[tasks_completed]]/Table1_1[[#This Row],[monthly_hours_worked]]</f>
        <v>2.986857825567503E-2</v>
      </c>
    </row>
    <row r="474" spans="1:18" x14ac:dyDescent="0.3">
      <c r="A474" t="s">
        <v>84</v>
      </c>
      <c r="B474" t="s">
        <v>17</v>
      </c>
      <c r="C474" t="s">
        <v>18</v>
      </c>
      <c r="D474" t="s">
        <v>29</v>
      </c>
      <c r="E474">
        <v>5</v>
      </c>
      <c r="F474">
        <v>164.4</v>
      </c>
      <c r="G474">
        <v>91</v>
      </c>
      <c r="H474">
        <v>5.7</v>
      </c>
      <c r="I474">
        <v>3</v>
      </c>
      <c r="J474">
        <v>6.07</v>
      </c>
      <c r="K474">
        <v>8.49</v>
      </c>
      <c r="L474">
        <v>0</v>
      </c>
      <c r="M474" t="s">
        <v>34</v>
      </c>
      <c r="N474" t="s">
        <v>35</v>
      </c>
      <c r="O474">
        <v>13.29</v>
      </c>
      <c r="P474" s="1">
        <v>45383</v>
      </c>
      <c r="Q474" t="str">
        <f t="shared" si="7"/>
        <v>Medium Performance</v>
      </c>
      <c r="R474" s="2">
        <f>Table1_1[[#This Row],[tasks_completed]]/Table1_1[[#This Row],[monthly_hours_worked]]</f>
        <v>1.824817518248175E-2</v>
      </c>
    </row>
    <row r="475" spans="1:18" x14ac:dyDescent="0.3">
      <c r="A475" t="s">
        <v>84</v>
      </c>
      <c r="B475" t="s">
        <v>43</v>
      </c>
      <c r="C475" t="s">
        <v>41</v>
      </c>
      <c r="D475" t="s">
        <v>39</v>
      </c>
      <c r="E475">
        <v>7</v>
      </c>
      <c r="F475">
        <v>167</v>
      </c>
      <c r="G475">
        <v>94.4</v>
      </c>
      <c r="H475">
        <v>8.3000000000000007</v>
      </c>
      <c r="I475">
        <v>1</v>
      </c>
      <c r="J475">
        <v>10</v>
      </c>
      <c r="K475">
        <v>8.41</v>
      </c>
      <c r="L475">
        <v>0</v>
      </c>
      <c r="M475" t="s">
        <v>25</v>
      </c>
      <c r="N475" t="s">
        <v>26</v>
      </c>
      <c r="O475">
        <v>14.72</v>
      </c>
      <c r="P475" s="1">
        <v>45413</v>
      </c>
      <c r="Q475" t="str">
        <f t="shared" si="7"/>
        <v>Medium Performance</v>
      </c>
      <c r="R475" s="2">
        <f>Table1_1[[#This Row],[tasks_completed]]/Table1_1[[#This Row],[monthly_hours_worked]]</f>
        <v>5.9880239520958087E-3</v>
      </c>
    </row>
    <row r="476" spans="1:18" x14ac:dyDescent="0.3">
      <c r="A476" t="s">
        <v>84</v>
      </c>
      <c r="B476" t="s">
        <v>27</v>
      </c>
      <c r="C476" t="s">
        <v>24</v>
      </c>
      <c r="D476" t="s">
        <v>39</v>
      </c>
      <c r="E476">
        <v>8</v>
      </c>
      <c r="F476">
        <v>161.80000000000001</v>
      </c>
      <c r="G476">
        <v>91.3</v>
      </c>
      <c r="H476">
        <v>6</v>
      </c>
      <c r="I476">
        <v>6</v>
      </c>
      <c r="J476">
        <v>6.41</v>
      </c>
      <c r="K476">
        <v>7.96</v>
      </c>
      <c r="L476">
        <v>0</v>
      </c>
      <c r="M476" t="s">
        <v>34</v>
      </c>
      <c r="N476" t="s">
        <v>35</v>
      </c>
      <c r="O476">
        <v>9.1300000000000008</v>
      </c>
      <c r="P476" s="1">
        <v>45444</v>
      </c>
      <c r="Q476" t="str">
        <f t="shared" si="7"/>
        <v>Low Performance</v>
      </c>
      <c r="R476" s="2">
        <f>Table1_1[[#This Row],[tasks_completed]]/Table1_1[[#This Row],[monthly_hours_worked]]</f>
        <v>3.7082818294190356E-2</v>
      </c>
    </row>
    <row r="477" spans="1:18" x14ac:dyDescent="0.3">
      <c r="A477" t="s">
        <v>84</v>
      </c>
      <c r="B477" t="s">
        <v>23</v>
      </c>
      <c r="C477" t="s">
        <v>31</v>
      </c>
      <c r="D477" t="s">
        <v>19</v>
      </c>
      <c r="E477">
        <v>6</v>
      </c>
      <c r="F477">
        <v>168.2</v>
      </c>
      <c r="G477">
        <v>90.8</v>
      </c>
      <c r="H477">
        <v>6.1</v>
      </c>
      <c r="I477">
        <v>6</v>
      </c>
      <c r="J477">
        <v>6.98</v>
      </c>
      <c r="K477">
        <v>4.12</v>
      </c>
      <c r="L477">
        <v>0</v>
      </c>
      <c r="M477" t="s">
        <v>34</v>
      </c>
      <c r="N477" t="s">
        <v>35</v>
      </c>
      <c r="O477">
        <v>16.989999999999998</v>
      </c>
      <c r="P477" s="1">
        <v>45474</v>
      </c>
      <c r="Q477" t="str">
        <f t="shared" si="7"/>
        <v>High Performance</v>
      </c>
      <c r="R477" s="2">
        <f>Table1_1[[#This Row],[tasks_completed]]/Table1_1[[#This Row],[monthly_hours_worked]]</f>
        <v>3.5671819262782407E-2</v>
      </c>
    </row>
    <row r="478" spans="1:18" x14ac:dyDescent="0.3">
      <c r="A478" t="s">
        <v>84</v>
      </c>
      <c r="B478" t="s">
        <v>27</v>
      </c>
      <c r="C478" t="s">
        <v>37</v>
      </c>
      <c r="D478" t="s">
        <v>19</v>
      </c>
      <c r="E478">
        <v>9</v>
      </c>
      <c r="F478">
        <v>146.6</v>
      </c>
      <c r="G478">
        <v>100</v>
      </c>
      <c r="H478">
        <v>7.3</v>
      </c>
      <c r="I478">
        <v>9</v>
      </c>
      <c r="J478">
        <v>7.36</v>
      </c>
      <c r="K478">
        <v>4.24</v>
      </c>
      <c r="L478">
        <v>0</v>
      </c>
      <c r="M478" t="s">
        <v>34</v>
      </c>
      <c r="N478" t="s">
        <v>26</v>
      </c>
      <c r="O478">
        <v>19.2</v>
      </c>
      <c r="P478" s="1">
        <v>45505</v>
      </c>
      <c r="Q478" t="str">
        <f t="shared" si="7"/>
        <v>High Performance</v>
      </c>
      <c r="R478" s="2">
        <f>Table1_1[[#This Row],[tasks_completed]]/Table1_1[[#This Row],[monthly_hours_worked]]</f>
        <v>6.1391541609822652E-2</v>
      </c>
    </row>
    <row r="479" spans="1:18" x14ac:dyDescent="0.3">
      <c r="A479" t="s">
        <v>84</v>
      </c>
      <c r="B479" t="s">
        <v>43</v>
      </c>
      <c r="C479" t="s">
        <v>41</v>
      </c>
      <c r="D479" t="s">
        <v>39</v>
      </c>
      <c r="E479">
        <v>7</v>
      </c>
      <c r="F479">
        <v>165.9</v>
      </c>
      <c r="G479">
        <v>93.9</v>
      </c>
      <c r="H479">
        <v>5.0999999999999996</v>
      </c>
      <c r="I479">
        <v>5</v>
      </c>
      <c r="K479">
        <v>5.45</v>
      </c>
      <c r="L479">
        <v>0</v>
      </c>
      <c r="M479" t="s">
        <v>20</v>
      </c>
      <c r="N479" t="s">
        <v>21</v>
      </c>
      <c r="O479">
        <v>8.76</v>
      </c>
      <c r="P479" s="1">
        <v>45536</v>
      </c>
      <c r="Q479" t="str">
        <f t="shared" si="7"/>
        <v>Low Performance</v>
      </c>
      <c r="R479" s="2">
        <f>Table1_1[[#This Row],[tasks_completed]]/Table1_1[[#This Row],[monthly_hours_worked]]</f>
        <v>3.013863773357444E-2</v>
      </c>
    </row>
    <row r="480" spans="1:18" x14ac:dyDescent="0.3">
      <c r="A480" t="s">
        <v>84</v>
      </c>
      <c r="B480" t="s">
        <v>33</v>
      </c>
      <c r="C480" t="s">
        <v>37</v>
      </c>
      <c r="D480" t="s">
        <v>19</v>
      </c>
      <c r="E480">
        <v>8</v>
      </c>
      <c r="F480">
        <v>179.7</v>
      </c>
      <c r="G480">
        <v>92.3</v>
      </c>
      <c r="H480">
        <v>3</v>
      </c>
      <c r="I480">
        <v>8</v>
      </c>
      <c r="J480">
        <v>5.21</v>
      </c>
      <c r="K480">
        <v>9.26</v>
      </c>
      <c r="L480">
        <v>0</v>
      </c>
      <c r="M480" t="s">
        <v>25</v>
      </c>
      <c r="N480" t="s">
        <v>35</v>
      </c>
      <c r="O480">
        <v>4.74</v>
      </c>
      <c r="P480" s="1">
        <v>45566</v>
      </c>
      <c r="Q480" t="str">
        <f t="shared" si="7"/>
        <v>Low Performance</v>
      </c>
      <c r="R480" s="2">
        <f>Table1_1[[#This Row],[tasks_completed]]/Table1_1[[#This Row],[monthly_hours_worked]]</f>
        <v>4.4518642181413472E-2</v>
      </c>
    </row>
    <row r="481" spans="1:18" x14ac:dyDescent="0.3">
      <c r="A481" t="s">
        <v>84</v>
      </c>
      <c r="B481" t="s">
        <v>27</v>
      </c>
      <c r="C481" t="s">
        <v>37</v>
      </c>
      <c r="D481" t="s">
        <v>19</v>
      </c>
      <c r="E481">
        <v>7</v>
      </c>
      <c r="F481">
        <v>161.4</v>
      </c>
      <c r="G481">
        <v>99.4</v>
      </c>
      <c r="H481">
        <v>2.5</v>
      </c>
      <c r="I481">
        <v>7</v>
      </c>
      <c r="J481">
        <v>5.2</v>
      </c>
      <c r="K481">
        <v>6.24</v>
      </c>
      <c r="L481">
        <v>0</v>
      </c>
      <c r="M481" t="s">
        <v>34</v>
      </c>
      <c r="N481" t="s">
        <v>26</v>
      </c>
      <c r="O481">
        <v>7.05</v>
      </c>
      <c r="P481" s="1">
        <v>45597</v>
      </c>
      <c r="Q481" t="str">
        <f t="shared" si="7"/>
        <v>Low Performance</v>
      </c>
      <c r="R481" s="2">
        <f>Table1_1[[#This Row],[tasks_completed]]/Table1_1[[#This Row],[monthly_hours_worked]]</f>
        <v>4.3370508054522923E-2</v>
      </c>
    </row>
    <row r="482" spans="1:18" x14ac:dyDescent="0.3">
      <c r="A482" t="s">
        <v>85</v>
      </c>
      <c r="B482" t="s">
        <v>17</v>
      </c>
      <c r="C482" t="s">
        <v>41</v>
      </c>
      <c r="D482" t="s">
        <v>39</v>
      </c>
      <c r="E482">
        <v>6</v>
      </c>
      <c r="F482">
        <v>180.8</v>
      </c>
      <c r="G482">
        <v>96.8</v>
      </c>
      <c r="H482">
        <v>4.8</v>
      </c>
      <c r="I482">
        <v>6</v>
      </c>
      <c r="J482">
        <v>9.36</v>
      </c>
      <c r="K482">
        <v>4.4400000000000004</v>
      </c>
      <c r="L482">
        <v>1</v>
      </c>
      <c r="M482" t="s">
        <v>20</v>
      </c>
      <c r="N482" t="s">
        <v>26</v>
      </c>
      <c r="O482">
        <v>17.46</v>
      </c>
      <c r="P482" s="1">
        <v>45292</v>
      </c>
      <c r="Q482" t="str">
        <f t="shared" si="7"/>
        <v>High Performance</v>
      </c>
      <c r="R482" s="2">
        <f>Table1_1[[#This Row],[tasks_completed]]/Table1_1[[#This Row],[monthly_hours_worked]]</f>
        <v>3.3185840707964598E-2</v>
      </c>
    </row>
    <row r="483" spans="1:18" x14ac:dyDescent="0.3">
      <c r="A483" t="s">
        <v>85</v>
      </c>
      <c r="B483" t="s">
        <v>27</v>
      </c>
      <c r="C483" t="s">
        <v>41</v>
      </c>
      <c r="D483" t="s">
        <v>29</v>
      </c>
      <c r="E483">
        <v>3</v>
      </c>
      <c r="F483">
        <v>132.9</v>
      </c>
      <c r="G483">
        <v>94.3</v>
      </c>
      <c r="H483">
        <v>2.1</v>
      </c>
      <c r="I483">
        <v>2</v>
      </c>
      <c r="J483">
        <v>6.79</v>
      </c>
      <c r="K483">
        <v>4.05</v>
      </c>
      <c r="L483">
        <v>2</v>
      </c>
      <c r="M483" t="s">
        <v>34</v>
      </c>
      <c r="N483" t="s">
        <v>21</v>
      </c>
      <c r="O483">
        <v>16.93</v>
      </c>
      <c r="P483" s="1">
        <v>45292</v>
      </c>
      <c r="Q483" t="str">
        <f t="shared" si="7"/>
        <v>High Performance</v>
      </c>
      <c r="R483" s="2">
        <f>Table1_1[[#This Row],[tasks_completed]]/Table1_1[[#This Row],[monthly_hours_worked]]</f>
        <v>1.5048908954100828E-2</v>
      </c>
    </row>
    <row r="484" spans="1:18" x14ac:dyDescent="0.3">
      <c r="A484" t="s">
        <v>85</v>
      </c>
      <c r="B484" t="s">
        <v>27</v>
      </c>
      <c r="C484" t="s">
        <v>31</v>
      </c>
      <c r="D484" t="s">
        <v>29</v>
      </c>
      <c r="E484">
        <v>10</v>
      </c>
      <c r="F484">
        <v>162.9</v>
      </c>
      <c r="G484">
        <v>94.8</v>
      </c>
      <c r="H484">
        <v>6.6</v>
      </c>
      <c r="I484">
        <v>5</v>
      </c>
      <c r="K484">
        <v>4.0599999999999996</v>
      </c>
      <c r="L484">
        <v>0</v>
      </c>
      <c r="M484" t="s">
        <v>34</v>
      </c>
      <c r="N484" t="s">
        <v>26</v>
      </c>
      <c r="O484">
        <v>11.3</v>
      </c>
      <c r="P484" s="1">
        <v>45352</v>
      </c>
      <c r="Q484" t="str">
        <f t="shared" si="7"/>
        <v>Medium Performance</v>
      </c>
      <c r="R484" s="2">
        <f>Table1_1[[#This Row],[tasks_completed]]/Table1_1[[#This Row],[monthly_hours_worked]]</f>
        <v>3.0693677102516879E-2</v>
      </c>
    </row>
    <row r="485" spans="1:18" x14ac:dyDescent="0.3">
      <c r="A485" t="s">
        <v>85</v>
      </c>
      <c r="B485" t="s">
        <v>27</v>
      </c>
      <c r="C485" t="s">
        <v>31</v>
      </c>
      <c r="D485" t="s">
        <v>29</v>
      </c>
      <c r="E485">
        <v>6</v>
      </c>
      <c r="F485">
        <v>159.4</v>
      </c>
      <c r="G485">
        <v>91.7</v>
      </c>
      <c r="H485">
        <v>7</v>
      </c>
      <c r="I485">
        <v>4</v>
      </c>
      <c r="J485">
        <v>7.69</v>
      </c>
      <c r="K485">
        <v>4.83</v>
      </c>
      <c r="L485">
        <v>0</v>
      </c>
      <c r="M485" t="s">
        <v>34</v>
      </c>
      <c r="N485" t="s">
        <v>21</v>
      </c>
      <c r="O485">
        <v>11.29</v>
      </c>
      <c r="P485" s="1">
        <v>45352</v>
      </c>
      <c r="Q485" t="str">
        <f t="shared" si="7"/>
        <v>Medium Performance</v>
      </c>
      <c r="R485" s="2">
        <f>Table1_1[[#This Row],[tasks_completed]]/Table1_1[[#This Row],[monthly_hours_worked]]</f>
        <v>2.5094102885821833E-2</v>
      </c>
    </row>
    <row r="486" spans="1:18" x14ac:dyDescent="0.3">
      <c r="A486" t="s">
        <v>85</v>
      </c>
      <c r="B486" t="s">
        <v>17</v>
      </c>
      <c r="C486" t="s">
        <v>41</v>
      </c>
      <c r="D486" t="s">
        <v>19</v>
      </c>
      <c r="E486">
        <v>7</v>
      </c>
      <c r="F486">
        <v>162.1</v>
      </c>
      <c r="G486">
        <v>92.9</v>
      </c>
      <c r="H486">
        <v>6.9</v>
      </c>
      <c r="I486">
        <v>8</v>
      </c>
      <c r="J486">
        <v>7.44</v>
      </c>
      <c r="K486">
        <v>4.7699999999999996</v>
      </c>
      <c r="L486">
        <v>1</v>
      </c>
      <c r="M486" t="s">
        <v>25</v>
      </c>
      <c r="N486" t="s">
        <v>21</v>
      </c>
      <c r="O486">
        <v>8.64</v>
      </c>
      <c r="P486" s="1">
        <v>45383</v>
      </c>
      <c r="Q486" t="str">
        <f t="shared" si="7"/>
        <v>Low Performance</v>
      </c>
      <c r="R486" s="2">
        <f>Table1_1[[#This Row],[tasks_completed]]/Table1_1[[#This Row],[monthly_hours_worked]]</f>
        <v>4.9352251696483655E-2</v>
      </c>
    </row>
    <row r="487" spans="1:18" x14ac:dyDescent="0.3">
      <c r="A487" t="s">
        <v>85</v>
      </c>
      <c r="B487" t="s">
        <v>17</v>
      </c>
      <c r="C487" t="s">
        <v>31</v>
      </c>
      <c r="D487" t="s">
        <v>39</v>
      </c>
      <c r="E487">
        <v>8</v>
      </c>
      <c r="F487">
        <v>170.2</v>
      </c>
      <c r="G487">
        <v>83.2</v>
      </c>
      <c r="H487">
        <v>6.6</v>
      </c>
      <c r="I487">
        <v>5</v>
      </c>
      <c r="J487">
        <v>5.82</v>
      </c>
      <c r="K487">
        <v>8.32</v>
      </c>
      <c r="L487">
        <v>1</v>
      </c>
      <c r="M487" t="s">
        <v>20</v>
      </c>
      <c r="N487" t="s">
        <v>21</v>
      </c>
      <c r="O487">
        <v>10.26</v>
      </c>
      <c r="P487" s="1">
        <v>45413</v>
      </c>
      <c r="Q487" t="str">
        <f t="shared" si="7"/>
        <v>Medium Performance</v>
      </c>
      <c r="R487" s="2">
        <f>Table1_1[[#This Row],[tasks_completed]]/Table1_1[[#This Row],[monthly_hours_worked]]</f>
        <v>2.9377203290246772E-2</v>
      </c>
    </row>
    <row r="488" spans="1:18" x14ac:dyDescent="0.3">
      <c r="A488" t="s">
        <v>85</v>
      </c>
      <c r="B488" t="s">
        <v>43</v>
      </c>
      <c r="C488" t="s">
        <v>24</v>
      </c>
      <c r="D488" t="s">
        <v>39</v>
      </c>
      <c r="E488">
        <v>8</v>
      </c>
      <c r="F488">
        <v>163.9</v>
      </c>
      <c r="G488">
        <v>93</v>
      </c>
      <c r="H488">
        <v>6</v>
      </c>
      <c r="I488">
        <v>5</v>
      </c>
      <c r="J488">
        <v>9.61</v>
      </c>
      <c r="K488">
        <v>2.54</v>
      </c>
      <c r="L488">
        <v>1</v>
      </c>
      <c r="M488" t="s">
        <v>34</v>
      </c>
      <c r="N488" t="s">
        <v>26</v>
      </c>
      <c r="O488">
        <v>11.11</v>
      </c>
      <c r="P488" s="1">
        <v>45444</v>
      </c>
      <c r="Q488" t="str">
        <f t="shared" si="7"/>
        <v>Medium Performance</v>
      </c>
      <c r="R488" s="2">
        <f>Table1_1[[#This Row],[tasks_completed]]/Table1_1[[#This Row],[monthly_hours_worked]]</f>
        <v>3.0506406345332519E-2</v>
      </c>
    </row>
    <row r="489" spans="1:18" x14ac:dyDescent="0.3">
      <c r="A489" t="s">
        <v>85</v>
      </c>
      <c r="B489" t="s">
        <v>43</v>
      </c>
      <c r="C489" t="s">
        <v>18</v>
      </c>
      <c r="D489" t="s">
        <v>19</v>
      </c>
      <c r="E489">
        <v>9</v>
      </c>
      <c r="F489">
        <v>155.5</v>
      </c>
      <c r="G489">
        <v>93.1</v>
      </c>
      <c r="H489">
        <v>2.5</v>
      </c>
      <c r="I489">
        <v>8</v>
      </c>
      <c r="J489">
        <v>9.4499999999999993</v>
      </c>
      <c r="K489">
        <v>7.96</v>
      </c>
      <c r="L489">
        <v>0</v>
      </c>
      <c r="M489" t="s">
        <v>25</v>
      </c>
      <c r="N489" t="s">
        <v>26</v>
      </c>
      <c r="O489">
        <v>21.53</v>
      </c>
      <c r="P489" s="1">
        <v>45474</v>
      </c>
      <c r="Q489" t="str">
        <f t="shared" si="7"/>
        <v>High Performance</v>
      </c>
      <c r="R489" s="2">
        <f>Table1_1[[#This Row],[tasks_completed]]/Table1_1[[#This Row],[monthly_hours_worked]]</f>
        <v>5.1446945337620578E-2</v>
      </c>
    </row>
    <row r="490" spans="1:18" x14ac:dyDescent="0.3">
      <c r="A490" t="s">
        <v>85</v>
      </c>
      <c r="B490" t="s">
        <v>23</v>
      </c>
      <c r="C490" t="s">
        <v>41</v>
      </c>
      <c r="D490" t="s">
        <v>39</v>
      </c>
      <c r="E490">
        <v>7</v>
      </c>
      <c r="F490">
        <v>183.9</v>
      </c>
      <c r="G490">
        <v>91.2</v>
      </c>
      <c r="H490">
        <v>4.8</v>
      </c>
      <c r="I490">
        <v>10</v>
      </c>
      <c r="J490">
        <v>6.82</v>
      </c>
      <c r="K490">
        <v>5.81</v>
      </c>
      <c r="L490">
        <v>1</v>
      </c>
      <c r="M490" t="s">
        <v>34</v>
      </c>
      <c r="N490" t="s">
        <v>35</v>
      </c>
      <c r="O490">
        <v>10.76</v>
      </c>
      <c r="P490" s="1">
        <v>45505</v>
      </c>
      <c r="Q490" t="str">
        <f t="shared" si="7"/>
        <v>Medium Performance</v>
      </c>
      <c r="R490" s="2">
        <f>Table1_1[[#This Row],[tasks_completed]]/Table1_1[[#This Row],[monthly_hours_worked]]</f>
        <v>5.4377379010331697E-2</v>
      </c>
    </row>
    <row r="491" spans="1:18" x14ac:dyDescent="0.3">
      <c r="A491" t="s">
        <v>85</v>
      </c>
      <c r="B491" t="s">
        <v>27</v>
      </c>
      <c r="C491" t="s">
        <v>31</v>
      </c>
      <c r="D491" t="s">
        <v>39</v>
      </c>
      <c r="E491">
        <v>8</v>
      </c>
      <c r="F491">
        <v>158.19999999999999</v>
      </c>
      <c r="G491">
        <v>85.2</v>
      </c>
      <c r="H491">
        <v>6.8</v>
      </c>
      <c r="I491">
        <v>9</v>
      </c>
      <c r="J491">
        <v>6.78</v>
      </c>
      <c r="K491">
        <v>9.06</v>
      </c>
      <c r="L491">
        <v>1</v>
      </c>
      <c r="M491" t="s">
        <v>25</v>
      </c>
      <c r="N491" t="s">
        <v>35</v>
      </c>
      <c r="O491">
        <v>8.57</v>
      </c>
      <c r="P491" s="1">
        <v>45536</v>
      </c>
      <c r="Q491" t="str">
        <f t="shared" si="7"/>
        <v>Low Performance</v>
      </c>
      <c r="R491" s="2">
        <f>Table1_1[[#This Row],[tasks_completed]]/Table1_1[[#This Row],[monthly_hours_worked]]</f>
        <v>5.6890012642225034E-2</v>
      </c>
    </row>
    <row r="492" spans="1:18" x14ac:dyDescent="0.3">
      <c r="A492" t="s">
        <v>85</v>
      </c>
      <c r="B492" t="s">
        <v>27</v>
      </c>
      <c r="C492" t="s">
        <v>37</v>
      </c>
      <c r="D492" t="s">
        <v>19</v>
      </c>
      <c r="E492">
        <v>2</v>
      </c>
      <c r="F492">
        <v>153.80000000000001</v>
      </c>
      <c r="G492">
        <v>96.4</v>
      </c>
      <c r="H492">
        <v>5.3</v>
      </c>
      <c r="I492">
        <v>4</v>
      </c>
      <c r="J492">
        <v>8.67</v>
      </c>
      <c r="K492">
        <v>6.63</v>
      </c>
      <c r="L492">
        <v>0</v>
      </c>
      <c r="M492" t="s">
        <v>20</v>
      </c>
      <c r="N492" t="s">
        <v>26</v>
      </c>
      <c r="O492">
        <v>19.420000000000002</v>
      </c>
      <c r="P492" s="1">
        <v>45566</v>
      </c>
      <c r="Q492" t="str">
        <f t="shared" si="7"/>
        <v>High Performance</v>
      </c>
      <c r="R492" s="2">
        <f>Table1_1[[#This Row],[tasks_completed]]/Table1_1[[#This Row],[monthly_hours_worked]]</f>
        <v>2.600780234070221E-2</v>
      </c>
    </row>
    <row r="493" spans="1:18" x14ac:dyDescent="0.3">
      <c r="A493" t="s">
        <v>85</v>
      </c>
      <c r="B493" t="s">
        <v>33</v>
      </c>
      <c r="C493" t="s">
        <v>41</v>
      </c>
      <c r="D493" t="s">
        <v>39</v>
      </c>
      <c r="E493">
        <v>3</v>
      </c>
      <c r="F493">
        <v>135.30000000000001</v>
      </c>
      <c r="G493">
        <v>97.8</v>
      </c>
      <c r="H493">
        <v>6.9</v>
      </c>
      <c r="I493">
        <v>5</v>
      </c>
      <c r="J493">
        <v>6.57</v>
      </c>
      <c r="K493">
        <v>10</v>
      </c>
      <c r="L493">
        <v>0</v>
      </c>
      <c r="M493" t="s">
        <v>25</v>
      </c>
      <c r="N493" t="s">
        <v>21</v>
      </c>
      <c r="O493">
        <v>12.58</v>
      </c>
      <c r="P493" s="1">
        <v>45597</v>
      </c>
      <c r="Q493" t="str">
        <f t="shared" si="7"/>
        <v>Medium Performance</v>
      </c>
      <c r="R493" s="2">
        <f>Table1_1[[#This Row],[tasks_completed]]/Table1_1[[#This Row],[monthly_hours_worked]]</f>
        <v>3.6954915003695486E-2</v>
      </c>
    </row>
    <row r="494" spans="1:18" x14ac:dyDescent="0.3">
      <c r="A494" t="s">
        <v>86</v>
      </c>
      <c r="B494" t="s">
        <v>33</v>
      </c>
      <c r="C494" t="s">
        <v>41</v>
      </c>
      <c r="D494" t="s">
        <v>39</v>
      </c>
      <c r="E494">
        <v>4</v>
      </c>
      <c r="F494">
        <v>161.4</v>
      </c>
      <c r="G494">
        <v>87.3</v>
      </c>
      <c r="H494">
        <v>3.9</v>
      </c>
      <c r="I494">
        <v>4</v>
      </c>
      <c r="J494">
        <v>9.18</v>
      </c>
      <c r="K494">
        <v>8.3800000000000008</v>
      </c>
      <c r="L494">
        <v>0</v>
      </c>
      <c r="M494" t="s">
        <v>25</v>
      </c>
      <c r="N494" t="s">
        <v>35</v>
      </c>
      <c r="O494">
        <v>10.53</v>
      </c>
      <c r="P494" s="1">
        <v>45292</v>
      </c>
      <c r="Q494" t="str">
        <f t="shared" si="7"/>
        <v>Medium Performance</v>
      </c>
      <c r="R494" s="2">
        <f>Table1_1[[#This Row],[tasks_completed]]/Table1_1[[#This Row],[monthly_hours_worked]]</f>
        <v>2.4783147459727383E-2</v>
      </c>
    </row>
    <row r="495" spans="1:18" x14ac:dyDescent="0.3">
      <c r="A495" t="s">
        <v>86</v>
      </c>
      <c r="B495" t="s">
        <v>33</v>
      </c>
      <c r="C495" t="s">
        <v>24</v>
      </c>
      <c r="D495" t="s">
        <v>19</v>
      </c>
      <c r="E495">
        <v>7</v>
      </c>
      <c r="F495">
        <v>150.69999999999999</v>
      </c>
      <c r="G495">
        <v>94.4</v>
      </c>
      <c r="H495">
        <v>4.7</v>
      </c>
      <c r="I495">
        <v>9</v>
      </c>
      <c r="J495">
        <v>7.25</v>
      </c>
      <c r="K495">
        <v>2.85</v>
      </c>
      <c r="L495">
        <v>0</v>
      </c>
      <c r="M495" t="s">
        <v>34</v>
      </c>
      <c r="N495" t="s">
        <v>35</v>
      </c>
      <c r="O495">
        <v>12.4</v>
      </c>
      <c r="P495" s="1">
        <v>45292</v>
      </c>
      <c r="Q495" t="str">
        <f t="shared" si="7"/>
        <v>Medium Performance</v>
      </c>
      <c r="R495" s="2">
        <f>Table1_1[[#This Row],[tasks_completed]]/Table1_1[[#This Row],[monthly_hours_worked]]</f>
        <v>5.9721300597213013E-2</v>
      </c>
    </row>
    <row r="496" spans="1:18" x14ac:dyDescent="0.3">
      <c r="A496" t="s">
        <v>86</v>
      </c>
      <c r="B496" t="s">
        <v>33</v>
      </c>
      <c r="C496" t="s">
        <v>31</v>
      </c>
      <c r="D496" t="s">
        <v>39</v>
      </c>
      <c r="E496">
        <v>10</v>
      </c>
      <c r="F496">
        <v>154.80000000000001</v>
      </c>
      <c r="G496">
        <v>93.2</v>
      </c>
      <c r="H496">
        <v>4.3</v>
      </c>
      <c r="I496">
        <v>11</v>
      </c>
      <c r="J496">
        <v>7.76</v>
      </c>
      <c r="K496">
        <v>2.0699999999999998</v>
      </c>
      <c r="L496">
        <v>1</v>
      </c>
      <c r="M496" t="s">
        <v>34</v>
      </c>
      <c r="N496" t="s">
        <v>26</v>
      </c>
      <c r="O496">
        <v>18.38</v>
      </c>
      <c r="P496" s="1">
        <v>45352</v>
      </c>
      <c r="Q496" t="str">
        <f t="shared" si="7"/>
        <v>High Performance</v>
      </c>
      <c r="R496" s="2">
        <f>Table1_1[[#This Row],[tasks_completed]]/Table1_1[[#This Row],[monthly_hours_worked]]</f>
        <v>7.10594315245478E-2</v>
      </c>
    </row>
    <row r="497" spans="1:18" x14ac:dyDescent="0.3">
      <c r="A497" t="s">
        <v>86</v>
      </c>
      <c r="B497" t="s">
        <v>33</v>
      </c>
      <c r="C497" t="s">
        <v>37</v>
      </c>
      <c r="D497" t="s">
        <v>29</v>
      </c>
      <c r="E497">
        <v>4</v>
      </c>
      <c r="F497">
        <v>153.5</v>
      </c>
      <c r="G497">
        <v>88.4</v>
      </c>
      <c r="H497">
        <v>5.7</v>
      </c>
      <c r="I497">
        <v>5</v>
      </c>
      <c r="J497">
        <v>5.25</v>
      </c>
      <c r="K497">
        <v>8.48</v>
      </c>
      <c r="L497">
        <v>1</v>
      </c>
      <c r="M497" t="s">
        <v>34</v>
      </c>
      <c r="N497" t="s">
        <v>26</v>
      </c>
      <c r="O497">
        <v>9.6300000000000008</v>
      </c>
      <c r="P497" s="1">
        <v>45352</v>
      </c>
      <c r="Q497" t="str">
        <f t="shared" si="7"/>
        <v>Low Performance</v>
      </c>
      <c r="R497" s="2">
        <f>Table1_1[[#This Row],[tasks_completed]]/Table1_1[[#This Row],[monthly_hours_worked]]</f>
        <v>3.2573289902280131E-2</v>
      </c>
    </row>
    <row r="498" spans="1:18" x14ac:dyDescent="0.3">
      <c r="A498" t="s">
        <v>86</v>
      </c>
      <c r="B498" t="s">
        <v>27</v>
      </c>
      <c r="C498" t="s">
        <v>31</v>
      </c>
      <c r="D498" t="s">
        <v>39</v>
      </c>
      <c r="E498">
        <v>9</v>
      </c>
      <c r="F498">
        <v>147.30000000000001</v>
      </c>
      <c r="G498">
        <v>97.2</v>
      </c>
      <c r="H498">
        <v>8.4</v>
      </c>
      <c r="I498">
        <v>8</v>
      </c>
      <c r="J498">
        <v>7.45</v>
      </c>
      <c r="K498">
        <v>7.23</v>
      </c>
      <c r="L498">
        <v>0</v>
      </c>
      <c r="M498" t="s">
        <v>20</v>
      </c>
      <c r="N498" t="s">
        <v>21</v>
      </c>
      <c r="O498">
        <v>8.3800000000000008</v>
      </c>
      <c r="P498" s="1">
        <v>45383</v>
      </c>
      <c r="Q498" t="str">
        <f t="shared" si="7"/>
        <v>Low Performance</v>
      </c>
      <c r="R498" s="2">
        <f>Table1_1[[#This Row],[tasks_completed]]/Table1_1[[#This Row],[monthly_hours_worked]]</f>
        <v>5.4310930074677521E-2</v>
      </c>
    </row>
    <row r="499" spans="1:18" x14ac:dyDescent="0.3">
      <c r="A499" t="s">
        <v>86</v>
      </c>
      <c r="B499" t="s">
        <v>33</v>
      </c>
      <c r="C499" t="s">
        <v>18</v>
      </c>
      <c r="D499" t="s">
        <v>39</v>
      </c>
      <c r="E499">
        <v>5</v>
      </c>
      <c r="F499">
        <v>159.6</v>
      </c>
      <c r="G499">
        <v>94.4</v>
      </c>
      <c r="H499">
        <v>4.4000000000000004</v>
      </c>
      <c r="I499">
        <v>5</v>
      </c>
      <c r="J499">
        <v>6.75</v>
      </c>
      <c r="K499">
        <v>6.19</v>
      </c>
      <c r="L499">
        <v>0</v>
      </c>
      <c r="M499" t="s">
        <v>34</v>
      </c>
      <c r="N499" t="s">
        <v>21</v>
      </c>
      <c r="O499">
        <v>14.68</v>
      </c>
      <c r="P499" s="1">
        <v>45413</v>
      </c>
      <c r="Q499" t="str">
        <f t="shared" si="7"/>
        <v>Medium Performance</v>
      </c>
      <c r="R499" s="2">
        <f>Table1_1[[#This Row],[tasks_completed]]/Table1_1[[#This Row],[monthly_hours_worked]]</f>
        <v>3.1328320802005011E-2</v>
      </c>
    </row>
    <row r="500" spans="1:18" x14ac:dyDescent="0.3">
      <c r="A500" t="s">
        <v>86</v>
      </c>
      <c r="B500" t="s">
        <v>33</v>
      </c>
      <c r="C500" t="s">
        <v>31</v>
      </c>
      <c r="D500" t="s">
        <v>19</v>
      </c>
      <c r="E500">
        <v>9</v>
      </c>
      <c r="F500">
        <v>151.69999999999999</v>
      </c>
      <c r="G500">
        <v>100</v>
      </c>
      <c r="H500">
        <v>4.5999999999999996</v>
      </c>
      <c r="I500">
        <v>4</v>
      </c>
      <c r="J500">
        <v>9</v>
      </c>
      <c r="K500">
        <v>9.0299999999999994</v>
      </c>
      <c r="L500">
        <v>0</v>
      </c>
      <c r="M500" t="s">
        <v>20</v>
      </c>
      <c r="N500" t="s">
        <v>26</v>
      </c>
      <c r="O500">
        <v>10.9</v>
      </c>
      <c r="P500" s="1">
        <v>45444</v>
      </c>
      <c r="Q500" t="str">
        <f t="shared" si="7"/>
        <v>Medium Performance</v>
      </c>
      <c r="R500" s="2">
        <f>Table1_1[[#This Row],[tasks_completed]]/Table1_1[[#This Row],[monthly_hours_worked]]</f>
        <v>2.6367831245880029E-2</v>
      </c>
    </row>
    <row r="501" spans="1:18" x14ac:dyDescent="0.3">
      <c r="A501" t="s">
        <v>86</v>
      </c>
      <c r="B501" t="s">
        <v>43</v>
      </c>
      <c r="C501" t="s">
        <v>24</v>
      </c>
      <c r="D501" t="s">
        <v>29</v>
      </c>
      <c r="E501">
        <v>3</v>
      </c>
      <c r="F501">
        <v>149.6</v>
      </c>
      <c r="G501">
        <v>98</v>
      </c>
      <c r="H501">
        <v>5</v>
      </c>
      <c r="I501">
        <v>8</v>
      </c>
      <c r="J501">
        <v>10</v>
      </c>
      <c r="K501">
        <v>10</v>
      </c>
      <c r="L501">
        <v>0</v>
      </c>
      <c r="M501" t="s">
        <v>34</v>
      </c>
      <c r="N501" t="s">
        <v>35</v>
      </c>
      <c r="O501">
        <v>21.11</v>
      </c>
      <c r="P501" s="1">
        <v>45474</v>
      </c>
      <c r="Q501" t="str">
        <f t="shared" si="7"/>
        <v>High Performance</v>
      </c>
      <c r="R501" s="2">
        <f>Table1_1[[#This Row],[tasks_completed]]/Table1_1[[#This Row],[monthly_hours_worked]]</f>
        <v>5.3475935828877004E-2</v>
      </c>
    </row>
    <row r="502" spans="1:18" x14ac:dyDescent="0.3">
      <c r="A502" t="s">
        <v>86</v>
      </c>
      <c r="B502" t="s">
        <v>27</v>
      </c>
      <c r="C502" t="s">
        <v>37</v>
      </c>
      <c r="D502" t="s">
        <v>29</v>
      </c>
      <c r="E502">
        <v>3</v>
      </c>
      <c r="F502">
        <v>169.6</v>
      </c>
      <c r="G502">
        <v>88</v>
      </c>
      <c r="H502">
        <v>3.1</v>
      </c>
      <c r="I502">
        <v>3</v>
      </c>
      <c r="J502">
        <v>6.33</v>
      </c>
      <c r="K502">
        <v>6.12</v>
      </c>
      <c r="L502">
        <v>1</v>
      </c>
      <c r="M502" t="s">
        <v>25</v>
      </c>
      <c r="N502" t="s">
        <v>26</v>
      </c>
      <c r="O502">
        <v>8.75</v>
      </c>
      <c r="P502" s="1">
        <v>45505</v>
      </c>
      <c r="Q502" t="str">
        <f t="shared" si="7"/>
        <v>Low Performance</v>
      </c>
      <c r="R502" s="2">
        <f>Table1_1[[#This Row],[tasks_completed]]/Table1_1[[#This Row],[monthly_hours_worked]]</f>
        <v>1.7688679245283018E-2</v>
      </c>
    </row>
    <row r="503" spans="1:18" x14ac:dyDescent="0.3">
      <c r="A503" t="s">
        <v>86</v>
      </c>
      <c r="B503" t="s">
        <v>27</v>
      </c>
      <c r="C503" t="s">
        <v>24</v>
      </c>
      <c r="D503" t="s">
        <v>29</v>
      </c>
      <c r="E503">
        <v>10</v>
      </c>
      <c r="F503">
        <v>164.1</v>
      </c>
      <c r="G503">
        <v>91.2</v>
      </c>
      <c r="H503">
        <v>4.4000000000000004</v>
      </c>
      <c r="I503">
        <v>6</v>
      </c>
      <c r="J503">
        <v>6.85</v>
      </c>
      <c r="K503">
        <v>9.82</v>
      </c>
      <c r="L503">
        <v>0</v>
      </c>
      <c r="M503" t="s">
        <v>25</v>
      </c>
      <c r="N503" t="s">
        <v>26</v>
      </c>
      <c r="O503">
        <v>11.32</v>
      </c>
      <c r="P503" s="1">
        <v>45536</v>
      </c>
      <c r="Q503" t="str">
        <f t="shared" si="7"/>
        <v>Medium Performance</v>
      </c>
      <c r="R503" s="2">
        <f>Table1_1[[#This Row],[tasks_completed]]/Table1_1[[#This Row],[monthly_hours_worked]]</f>
        <v>3.6563071297989032E-2</v>
      </c>
    </row>
    <row r="504" spans="1:18" x14ac:dyDescent="0.3">
      <c r="A504" t="s">
        <v>86</v>
      </c>
      <c r="B504" t="s">
        <v>27</v>
      </c>
      <c r="C504" t="s">
        <v>24</v>
      </c>
      <c r="D504" t="s">
        <v>19</v>
      </c>
      <c r="E504">
        <v>1</v>
      </c>
      <c r="F504">
        <v>158.5</v>
      </c>
      <c r="G504">
        <v>93.3</v>
      </c>
      <c r="H504">
        <v>4.3</v>
      </c>
      <c r="I504">
        <v>4</v>
      </c>
      <c r="J504">
        <v>6.99</v>
      </c>
      <c r="K504">
        <v>3.34</v>
      </c>
      <c r="L504">
        <v>0</v>
      </c>
      <c r="M504" t="s">
        <v>25</v>
      </c>
      <c r="N504" t="s">
        <v>21</v>
      </c>
      <c r="O504">
        <v>15.24</v>
      </c>
      <c r="P504" s="1">
        <v>45566</v>
      </c>
      <c r="Q504" t="str">
        <f t="shared" si="7"/>
        <v>High Performance</v>
      </c>
      <c r="R504" s="2">
        <f>Table1_1[[#This Row],[tasks_completed]]/Table1_1[[#This Row],[monthly_hours_worked]]</f>
        <v>2.5236593059936908E-2</v>
      </c>
    </row>
    <row r="505" spans="1:18" x14ac:dyDescent="0.3">
      <c r="A505" t="s">
        <v>86</v>
      </c>
      <c r="B505" t="s">
        <v>17</v>
      </c>
      <c r="C505" t="s">
        <v>31</v>
      </c>
      <c r="D505" t="s">
        <v>39</v>
      </c>
      <c r="E505">
        <v>10</v>
      </c>
      <c r="F505">
        <v>155</v>
      </c>
      <c r="G505">
        <v>91.7</v>
      </c>
      <c r="H505">
        <v>3</v>
      </c>
      <c r="I505">
        <v>4</v>
      </c>
      <c r="J505">
        <v>6.78</v>
      </c>
      <c r="K505">
        <v>7.56</v>
      </c>
      <c r="L505">
        <v>0</v>
      </c>
      <c r="M505" t="s">
        <v>34</v>
      </c>
      <c r="N505" t="s">
        <v>35</v>
      </c>
      <c r="O505">
        <v>3.14</v>
      </c>
      <c r="P505" s="1">
        <v>45597</v>
      </c>
      <c r="Q505" t="str">
        <f t="shared" si="7"/>
        <v>Low Performance</v>
      </c>
      <c r="R505" s="2">
        <f>Table1_1[[#This Row],[tasks_completed]]/Table1_1[[#This Row],[monthly_hours_worked]]</f>
        <v>2.5806451612903226E-2</v>
      </c>
    </row>
    <row r="506" spans="1:18" x14ac:dyDescent="0.3">
      <c r="A506" t="s">
        <v>87</v>
      </c>
      <c r="B506" t="s">
        <v>17</v>
      </c>
      <c r="C506" t="s">
        <v>24</v>
      </c>
      <c r="D506" t="s">
        <v>29</v>
      </c>
      <c r="E506">
        <v>5</v>
      </c>
      <c r="F506">
        <v>169.6</v>
      </c>
      <c r="G506">
        <v>98.3</v>
      </c>
      <c r="H506">
        <v>2.9</v>
      </c>
      <c r="I506">
        <v>4</v>
      </c>
      <c r="J506">
        <v>8.07</v>
      </c>
      <c r="K506">
        <v>4.79</v>
      </c>
      <c r="L506">
        <v>0</v>
      </c>
      <c r="M506" t="s">
        <v>34</v>
      </c>
      <c r="N506" t="s">
        <v>21</v>
      </c>
      <c r="O506">
        <v>16.399999999999999</v>
      </c>
      <c r="P506" s="1">
        <v>45292</v>
      </c>
      <c r="Q506" t="str">
        <f t="shared" si="7"/>
        <v>High Performance</v>
      </c>
      <c r="R506" s="2">
        <f>Table1_1[[#This Row],[tasks_completed]]/Table1_1[[#This Row],[monthly_hours_worked]]</f>
        <v>2.358490566037736E-2</v>
      </c>
    </row>
    <row r="507" spans="1:18" x14ac:dyDescent="0.3">
      <c r="A507" t="s">
        <v>87</v>
      </c>
      <c r="B507" t="s">
        <v>43</v>
      </c>
      <c r="C507" t="s">
        <v>31</v>
      </c>
      <c r="D507" t="s">
        <v>39</v>
      </c>
      <c r="E507">
        <v>3</v>
      </c>
      <c r="F507">
        <v>147.30000000000001</v>
      </c>
      <c r="G507">
        <v>100</v>
      </c>
      <c r="H507">
        <v>4.2</v>
      </c>
      <c r="I507">
        <v>6</v>
      </c>
      <c r="J507">
        <v>8.41</v>
      </c>
      <c r="K507">
        <v>4.55</v>
      </c>
      <c r="L507">
        <v>0</v>
      </c>
      <c r="M507" t="s">
        <v>34</v>
      </c>
      <c r="N507" t="s">
        <v>21</v>
      </c>
      <c r="O507">
        <v>20.83</v>
      </c>
      <c r="P507" s="1">
        <v>45292</v>
      </c>
      <c r="Q507" t="str">
        <f t="shared" si="7"/>
        <v>High Performance</v>
      </c>
      <c r="R507" s="2">
        <f>Table1_1[[#This Row],[tasks_completed]]/Table1_1[[#This Row],[monthly_hours_worked]]</f>
        <v>4.0733197556008141E-2</v>
      </c>
    </row>
    <row r="508" spans="1:18" x14ac:dyDescent="0.3">
      <c r="A508" t="s">
        <v>87</v>
      </c>
      <c r="B508" t="s">
        <v>33</v>
      </c>
      <c r="C508" t="s">
        <v>37</v>
      </c>
      <c r="D508" t="s">
        <v>39</v>
      </c>
      <c r="E508">
        <v>7</v>
      </c>
      <c r="F508">
        <v>148.80000000000001</v>
      </c>
      <c r="G508">
        <v>94.9</v>
      </c>
      <c r="H508">
        <v>5.6</v>
      </c>
      <c r="I508">
        <v>2</v>
      </c>
      <c r="J508">
        <v>8.7200000000000006</v>
      </c>
      <c r="K508">
        <v>4.6399999999999997</v>
      </c>
      <c r="L508">
        <v>0</v>
      </c>
      <c r="M508" t="s">
        <v>34</v>
      </c>
      <c r="N508" t="s">
        <v>21</v>
      </c>
      <c r="O508">
        <v>14.81</v>
      </c>
      <c r="P508" s="1">
        <v>45352</v>
      </c>
      <c r="Q508" t="str">
        <f t="shared" si="7"/>
        <v>Medium Performance</v>
      </c>
      <c r="R508" s="2">
        <f>Table1_1[[#This Row],[tasks_completed]]/Table1_1[[#This Row],[monthly_hours_worked]]</f>
        <v>1.3440860215053762E-2</v>
      </c>
    </row>
    <row r="509" spans="1:18" x14ac:dyDescent="0.3">
      <c r="A509" t="s">
        <v>87</v>
      </c>
      <c r="B509" t="s">
        <v>17</v>
      </c>
      <c r="C509" t="s">
        <v>41</v>
      </c>
      <c r="D509" t="s">
        <v>29</v>
      </c>
      <c r="E509">
        <v>7</v>
      </c>
      <c r="F509">
        <v>156.30000000000001</v>
      </c>
      <c r="G509">
        <v>99</v>
      </c>
      <c r="H509">
        <v>7.2</v>
      </c>
      <c r="I509">
        <v>2</v>
      </c>
      <c r="J509">
        <v>7.92</v>
      </c>
      <c r="K509">
        <v>8</v>
      </c>
      <c r="L509">
        <v>1</v>
      </c>
      <c r="M509" t="s">
        <v>34</v>
      </c>
      <c r="N509" t="s">
        <v>26</v>
      </c>
      <c r="O509">
        <v>13.82</v>
      </c>
      <c r="P509" s="1">
        <v>45352</v>
      </c>
      <c r="Q509" t="str">
        <f t="shared" si="7"/>
        <v>Medium Performance</v>
      </c>
      <c r="R509" s="2">
        <f>Table1_1[[#This Row],[tasks_completed]]/Table1_1[[#This Row],[monthly_hours_worked]]</f>
        <v>1.2795905310300703E-2</v>
      </c>
    </row>
    <row r="510" spans="1:18" x14ac:dyDescent="0.3">
      <c r="A510" t="s">
        <v>87</v>
      </c>
      <c r="B510" t="s">
        <v>17</v>
      </c>
      <c r="C510" t="s">
        <v>24</v>
      </c>
      <c r="D510" t="s">
        <v>39</v>
      </c>
      <c r="E510">
        <v>8</v>
      </c>
      <c r="F510">
        <v>165.8</v>
      </c>
      <c r="G510">
        <v>91.7</v>
      </c>
      <c r="H510">
        <v>5.7</v>
      </c>
      <c r="I510">
        <v>5</v>
      </c>
      <c r="J510">
        <v>9.1199999999999992</v>
      </c>
      <c r="K510">
        <v>5.94</v>
      </c>
      <c r="L510">
        <v>0</v>
      </c>
      <c r="M510" t="s">
        <v>25</v>
      </c>
      <c r="N510" t="s">
        <v>21</v>
      </c>
      <c r="O510">
        <v>10.94</v>
      </c>
      <c r="P510" s="1">
        <v>45383</v>
      </c>
      <c r="Q510" t="str">
        <f t="shared" si="7"/>
        <v>Medium Performance</v>
      </c>
      <c r="R510" s="2">
        <f>Table1_1[[#This Row],[tasks_completed]]/Table1_1[[#This Row],[monthly_hours_worked]]</f>
        <v>3.0156815440289503E-2</v>
      </c>
    </row>
    <row r="511" spans="1:18" x14ac:dyDescent="0.3">
      <c r="A511" t="s">
        <v>87</v>
      </c>
      <c r="B511" t="s">
        <v>43</v>
      </c>
      <c r="C511" t="s">
        <v>31</v>
      </c>
      <c r="D511" t="s">
        <v>29</v>
      </c>
      <c r="E511">
        <v>3</v>
      </c>
      <c r="F511">
        <v>127.5</v>
      </c>
      <c r="G511">
        <v>100</v>
      </c>
      <c r="H511">
        <v>1.9</v>
      </c>
      <c r="I511">
        <v>7</v>
      </c>
      <c r="J511">
        <v>9.85</v>
      </c>
      <c r="K511">
        <v>5.57</v>
      </c>
      <c r="L511">
        <v>1</v>
      </c>
      <c r="M511" t="s">
        <v>34</v>
      </c>
      <c r="N511" t="s">
        <v>35</v>
      </c>
      <c r="O511">
        <v>13.57</v>
      </c>
      <c r="P511" s="1">
        <v>45413</v>
      </c>
      <c r="Q511" t="str">
        <f t="shared" si="7"/>
        <v>Medium Performance</v>
      </c>
      <c r="R511" s="2">
        <f>Table1_1[[#This Row],[tasks_completed]]/Table1_1[[#This Row],[monthly_hours_worked]]</f>
        <v>5.4901960784313725E-2</v>
      </c>
    </row>
    <row r="512" spans="1:18" x14ac:dyDescent="0.3">
      <c r="A512" t="s">
        <v>87</v>
      </c>
      <c r="B512" t="s">
        <v>17</v>
      </c>
      <c r="C512" t="s">
        <v>18</v>
      </c>
      <c r="D512" t="s">
        <v>39</v>
      </c>
      <c r="E512">
        <v>8</v>
      </c>
      <c r="F512">
        <v>176.6</v>
      </c>
      <c r="G512">
        <v>93.8</v>
      </c>
      <c r="H512">
        <v>7.4</v>
      </c>
      <c r="I512">
        <v>9</v>
      </c>
      <c r="J512">
        <v>8.2200000000000006</v>
      </c>
      <c r="K512">
        <v>8.01</v>
      </c>
      <c r="L512">
        <v>1</v>
      </c>
      <c r="M512" t="s">
        <v>34</v>
      </c>
      <c r="N512" t="s">
        <v>26</v>
      </c>
      <c r="O512">
        <v>14.58</v>
      </c>
      <c r="P512" s="1">
        <v>45444</v>
      </c>
      <c r="Q512" t="str">
        <f t="shared" si="7"/>
        <v>Medium Performance</v>
      </c>
      <c r="R512" s="2">
        <f>Table1_1[[#This Row],[tasks_completed]]/Table1_1[[#This Row],[monthly_hours_worked]]</f>
        <v>5.0962627406568518E-2</v>
      </c>
    </row>
    <row r="513" spans="1:18" x14ac:dyDescent="0.3">
      <c r="A513" t="s">
        <v>87</v>
      </c>
      <c r="B513" t="s">
        <v>17</v>
      </c>
      <c r="C513" t="s">
        <v>37</v>
      </c>
      <c r="D513" t="s">
        <v>39</v>
      </c>
      <c r="E513">
        <v>6</v>
      </c>
      <c r="F513">
        <v>159.6</v>
      </c>
      <c r="G513">
        <v>92.4</v>
      </c>
      <c r="H513">
        <v>7.1</v>
      </c>
      <c r="I513">
        <v>4</v>
      </c>
      <c r="J513">
        <v>8.19</v>
      </c>
      <c r="K513">
        <v>7.51</v>
      </c>
      <c r="L513">
        <v>0</v>
      </c>
      <c r="M513" t="s">
        <v>20</v>
      </c>
      <c r="N513" t="s">
        <v>26</v>
      </c>
      <c r="O513">
        <v>4.4400000000000004</v>
      </c>
      <c r="P513" s="1">
        <v>45474</v>
      </c>
      <c r="Q513" t="str">
        <f t="shared" si="7"/>
        <v>Low Performance</v>
      </c>
      <c r="R513" s="2">
        <f>Table1_1[[#This Row],[tasks_completed]]/Table1_1[[#This Row],[monthly_hours_worked]]</f>
        <v>2.5062656641604012E-2</v>
      </c>
    </row>
    <row r="514" spans="1:18" x14ac:dyDescent="0.3">
      <c r="A514" t="s">
        <v>87</v>
      </c>
      <c r="B514" t="s">
        <v>27</v>
      </c>
      <c r="C514" t="s">
        <v>41</v>
      </c>
      <c r="D514" t="s">
        <v>39</v>
      </c>
      <c r="E514">
        <v>9</v>
      </c>
      <c r="F514">
        <v>174.6</v>
      </c>
      <c r="G514">
        <v>99.5</v>
      </c>
      <c r="I514">
        <v>7</v>
      </c>
      <c r="J514">
        <v>7.62</v>
      </c>
      <c r="K514">
        <v>4.93</v>
      </c>
      <c r="L514">
        <v>0</v>
      </c>
      <c r="M514" t="s">
        <v>25</v>
      </c>
      <c r="N514" t="s">
        <v>26</v>
      </c>
      <c r="O514">
        <v>9.43</v>
      </c>
      <c r="P514" s="1">
        <v>45505</v>
      </c>
      <c r="Q514" t="str">
        <f t="shared" ref="Q514:Q577" si="8">IF(O514&gt;=15, "High Performance", IF(O514&gt;=10, "Medium Performance", "Low Performance"))</f>
        <v>Low Performance</v>
      </c>
      <c r="R514" s="2">
        <f>Table1_1[[#This Row],[tasks_completed]]/Table1_1[[#This Row],[monthly_hours_worked]]</f>
        <v>4.0091638029782363E-2</v>
      </c>
    </row>
    <row r="515" spans="1:18" x14ac:dyDescent="0.3">
      <c r="A515" t="s">
        <v>87</v>
      </c>
      <c r="B515" t="s">
        <v>43</v>
      </c>
      <c r="C515" t="s">
        <v>37</v>
      </c>
      <c r="D515" t="s">
        <v>29</v>
      </c>
      <c r="E515">
        <v>7</v>
      </c>
      <c r="F515">
        <v>165.2</v>
      </c>
      <c r="G515">
        <v>81.599999999999994</v>
      </c>
      <c r="H515">
        <v>6</v>
      </c>
      <c r="I515">
        <v>6</v>
      </c>
      <c r="J515">
        <v>6.01</v>
      </c>
      <c r="K515">
        <v>5.43</v>
      </c>
      <c r="L515">
        <v>1</v>
      </c>
      <c r="M515" t="s">
        <v>25</v>
      </c>
      <c r="N515" t="s">
        <v>35</v>
      </c>
      <c r="O515">
        <v>13.04</v>
      </c>
      <c r="P515" s="1">
        <v>45536</v>
      </c>
      <c r="Q515" t="str">
        <f t="shared" si="8"/>
        <v>Medium Performance</v>
      </c>
      <c r="R515" s="2">
        <f>Table1_1[[#This Row],[tasks_completed]]/Table1_1[[#This Row],[monthly_hours_worked]]</f>
        <v>3.6319612590799036E-2</v>
      </c>
    </row>
    <row r="516" spans="1:18" x14ac:dyDescent="0.3">
      <c r="A516" t="s">
        <v>87</v>
      </c>
      <c r="B516" t="s">
        <v>23</v>
      </c>
      <c r="C516" t="s">
        <v>31</v>
      </c>
      <c r="D516" t="s">
        <v>19</v>
      </c>
      <c r="E516">
        <v>4</v>
      </c>
      <c r="F516">
        <v>141.4</v>
      </c>
      <c r="G516">
        <v>100</v>
      </c>
      <c r="H516">
        <v>6.7</v>
      </c>
      <c r="I516">
        <v>8</v>
      </c>
      <c r="J516">
        <v>6.57</v>
      </c>
      <c r="K516">
        <v>7.01</v>
      </c>
      <c r="L516">
        <v>0</v>
      </c>
      <c r="M516" t="s">
        <v>20</v>
      </c>
      <c r="N516" t="s">
        <v>26</v>
      </c>
      <c r="O516">
        <v>14.05</v>
      </c>
      <c r="P516" s="1">
        <v>45566</v>
      </c>
      <c r="Q516" t="str">
        <f t="shared" si="8"/>
        <v>Medium Performance</v>
      </c>
      <c r="R516" s="2">
        <f>Table1_1[[#This Row],[tasks_completed]]/Table1_1[[#This Row],[monthly_hours_worked]]</f>
        <v>5.6577086280056574E-2</v>
      </c>
    </row>
    <row r="517" spans="1:18" x14ac:dyDescent="0.3">
      <c r="A517" t="s">
        <v>87</v>
      </c>
      <c r="B517" t="s">
        <v>23</v>
      </c>
      <c r="C517" t="s">
        <v>18</v>
      </c>
      <c r="D517" t="s">
        <v>19</v>
      </c>
      <c r="E517">
        <v>3</v>
      </c>
      <c r="F517">
        <v>149.1</v>
      </c>
      <c r="G517">
        <v>94.3</v>
      </c>
      <c r="I517">
        <v>4</v>
      </c>
      <c r="J517">
        <v>8.1199999999999992</v>
      </c>
      <c r="K517">
        <v>6.21</v>
      </c>
      <c r="L517">
        <v>0</v>
      </c>
      <c r="M517" t="s">
        <v>20</v>
      </c>
      <c r="N517" t="s">
        <v>35</v>
      </c>
      <c r="O517">
        <v>9.52</v>
      </c>
      <c r="P517" s="1">
        <v>45597</v>
      </c>
      <c r="Q517" t="str">
        <f t="shared" si="8"/>
        <v>Low Performance</v>
      </c>
      <c r="R517" s="2">
        <f>Table1_1[[#This Row],[tasks_completed]]/Table1_1[[#This Row],[monthly_hours_worked]]</f>
        <v>2.6827632461435279E-2</v>
      </c>
    </row>
    <row r="518" spans="1:18" x14ac:dyDescent="0.3">
      <c r="A518" t="s">
        <v>88</v>
      </c>
      <c r="B518" t="s">
        <v>27</v>
      </c>
      <c r="C518" t="s">
        <v>24</v>
      </c>
      <c r="D518" t="s">
        <v>29</v>
      </c>
      <c r="E518">
        <v>5</v>
      </c>
      <c r="F518">
        <v>133</v>
      </c>
      <c r="G518">
        <v>94.5</v>
      </c>
      <c r="H518">
        <v>3.9</v>
      </c>
      <c r="I518">
        <v>4</v>
      </c>
      <c r="J518">
        <v>5.92</v>
      </c>
      <c r="K518">
        <v>3.66</v>
      </c>
      <c r="L518">
        <v>0</v>
      </c>
      <c r="M518" t="s">
        <v>34</v>
      </c>
      <c r="N518" t="s">
        <v>26</v>
      </c>
      <c r="O518">
        <v>13.82</v>
      </c>
      <c r="P518" s="1">
        <v>45292</v>
      </c>
      <c r="Q518" t="str">
        <f t="shared" si="8"/>
        <v>Medium Performance</v>
      </c>
      <c r="R518" s="2">
        <f>Table1_1[[#This Row],[tasks_completed]]/Table1_1[[#This Row],[monthly_hours_worked]]</f>
        <v>3.007518796992481E-2</v>
      </c>
    </row>
    <row r="519" spans="1:18" x14ac:dyDescent="0.3">
      <c r="A519" t="s">
        <v>88</v>
      </c>
      <c r="B519" t="s">
        <v>43</v>
      </c>
      <c r="C519" t="s">
        <v>31</v>
      </c>
      <c r="D519" t="s">
        <v>19</v>
      </c>
      <c r="E519">
        <v>1</v>
      </c>
      <c r="F519">
        <v>171.1</v>
      </c>
      <c r="G519">
        <v>96</v>
      </c>
      <c r="H519">
        <v>5.5</v>
      </c>
      <c r="I519">
        <v>6</v>
      </c>
      <c r="J519">
        <v>6.98</v>
      </c>
      <c r="K519">
        <v>7.93</v>
      </c>
      <c r="L519">
        <v>0</v>
      </c>
      <c r="M519" t="s">
        <v>20</v>
      </c>
      <c r="N519" t="s">
        <v>21</v>
      </c>
      <c r="O519">
        <v>13.04</v>
      </c>
      <c r="P519" s="1">
        <v>45292</v>
      </c>
      <c r="Q519" t="str">
        <f t="shared" si="8"/>
        <v>Medium Performance</v>
      </c>
      <c r="R519" s="2">
        <f>Table1_1[[#This Row],[tasks_completed]]/Table1_1[[#This Row],[monthly_hours_worked]]</f>
        <v>3.5067212156633547E-2</v>
      </c>
    </row>
    <row r="520" spans="1:18" x14ac:dyDescent="0.3">
      <c r="A520" t="s">
        <v>88</v>
      </c>
      <c r="B520" t="s">
        <v>43</v>
      </c>
      <c r="C520" t="s">
        <v>18</v>
      </c>
      <c r="D520" t="s">
        <v>29</v>
      </c>
      <c r="E520">
        <v>7</v>
      </c>
      <c r="F520">
        <v>170.9</v>
      </c>
      <c r="G520">
        <v>98.9</v>
      </c>
      <c r="H520">
        <v>9.4</v>
      </c>
      <c r="I520">
        <v>5</v>
      </c>
      <c r="K520">
        <v>8.8800000000000008</v>
      </c>
      <c r="L520">
        <v>0</v>
      </c>
      <c r="M520" t="s">
        <v>25</v>
      </c>
      <c r="N520" t="s">
        <v>35</v>
      </c>
      <c r="O520">
        <v>20.63</v>
      </c>
      <c r="P520" s="1">
        <v>45352</v>
      </c>
      <c r="Q520" t="str">
        <f t="shared" si="8"/>
        <v>High Performance</v>
      </c>
      <c r="R520" s="2">
        <f>Table1_1[[#This Row],[tasks_completed]]/Table1_1[[#This Row],[monthly_hours_worked]]</f>
        <v>2.9256875365710942E-2</v>
      </c>
    </row>
    <row r="521" spans="1:18" x14ac:dyDescent="0.3">
      <c r="A521" t="s">
        <v>88</v>
      </c>
      <c r="B521" t="s">
        <v>33</v>
      </c>
      <c r="C521" t="s">
        <v>24</v>
      </c>
      <c r="D521" t="s">
        <v>29</v>
      </c>
      <c r="E521">
        <v>10</v>
      </c>
      <c r="F521">
        <v>163.69999999999999</v>
      </c>
      <c r="G521">
        <v>95.6</v>
      </c>
      <c r="H521">
        <v>6.9</v>
      </c>
      <c r="I521">
        <v>3</v>
      </c>
      <c r="J521">
        <v>8.67</v>
      </c>
      <c r="K521">
        <v>6.37</v>
      </c>
      <c r="L521">
        <v>0</v>
      </c>
      <c r="M521" t="s">
        <v>20</v>
      </c>
      <c r="N521" t="s">
        <v>35</v>
      </c>
      <c r="O521">
        <v>14.94</v>
      </c>
      <c r="P521" s="1">
        <v>45352</v>
      </c>
      <c r="Q521" t="str">
        <f t="shared" si="8"/>
        <v>Medium Performance</v>
      </c>
      <c r="R521" s="2">
        <f>Table1_1[[#This Row],[tasks_completed]]/Table1_1[[#This Row],[monthly_hours_worked]]</f>
        <v>1.8326206475259621E-2</v>
      </c>
    </row>
    <row r="522" spans="1:18" x14ac:dyDescent="0.3">
      <c r="A522" t="s">
        <v>88</v>
      </c>
      <c r="B522" t="s">
        <v>23</v>
      </c>
      <c r="C522" t="s">
        <v>31</v>
      </c>
      <c r="D522" t="s">
        <v>39</v>
      </c>
      <c r="E522">
        <v>1</v>
      </c>
      <c r="F522">
        <v>147.5</v>
      </c>
      <c r="G522">
        <v>96.1</v>
      </c>
      <c r="H522">
        <v>3.5</v>
      </c>
      <c r="I522">
        <v>5</v>
      </c>
      <c r="J522">
        <v>4.83</v>
      </c>
      <c r="K522">
        <v>8.5500000000000007</v>
      </c>
      <c r="L522">
        <v>0</v>
      </c>
      <c r="M522" t="s">
        <v>20</v>
      </c>
      <c r="N522" t="s">
        <v>35</v>
      </c>
      <c r="O522">
        <v>13.91</v>
      </c>
      <c r="P522" s="1">
        <v>45383</v>
      </c>
      <c r="Q522" t="str">
        <f t="shared" si="8"/>
        <v>Medium Performance</v>
      </c>
      <c r="R522" s="2">
        <f>Table1_1[[#This Row],[tasks_completed]]/Table1_1[[#This Row],[monthly_hours_worked]]</f>
        <v>3.3898305084745763E-2</v>
      </c>
    </row>
    <row r="523" spans="1:18" x14ac:dyDescent="0.3">
      <c r="A523" t="s">
        <v>88</v>
      </c>
      <c r="B523" t="s">
        <v>27</v>
      </c>
      <c r="C523" t="s">
        <v>41</v>
      </c>
      <c r="D523" t="s">
        <v>29</v>
      </c>
      <c r="E523">
        <v>5</v>
      </c>
      <c r="F523">
        <v>158.69999999999999</v>
      </c>
      <c r="G523">
        <v>100</v>
      </c>
      <c r="H523">
        <v>4.5</v>
      </c>
      <c r="I523">
        <v>6</v>
      </c>
      <c r="J523">
        <v>5.84</v>
      </c>
      <c r="K523">
        <v>6.94</v>
      </c>
      <c r="L523">
        <v>1</v>
      </c>
      <c r="M523" t="s">
        <v>20</v>
      </c>
      <c r="N523" t="s">
        <v>26</v>
      </c>
      <c r="O523">
        <v>8.89</v>
      </c>
      <c r="P523" s="1">
        <v>45413</v>
      </c>
      <c r="Q523" t="str">
        <f t="shared" si="8"/>
        <v>Low Performance</v>
      </c>
      <c r="R523" s="2">
        <f>Table1_1[[#This Row],[tasks_completed]]/Table1_1[[#This Row],[monthly_hours_worked]]</f>
        <v>3.780718336483932E-2</v>
      </c>
    </row>
    <row r="524" spans="1:18" x14ac:dyDescent="0.3">
      <c r="A524" t="s">
        <v>88</v>
      </c>
      <c r="B524" t="s">
        <v>33</v>
      </c>
      <c r="C524" t="s">
        <v>24</v>
      </c>
      <c r="D524" t="s">
        <v>29</v>
      </c>
      <c r="E524">
        <v>4</v>
      </c>
      <c r="F524">
        <v>175.8</v>
      </c>
      <c r="G524">
        <v>88</v>
      </c>
      <c r="H524">
        <v>2.1</v>
      </c>
      <c r="I524">
        <v>6</v>
      </c>
      <c r="J524">
        <v>4.95</v>
      </c>
      <c r="K524">
        <v>6.55</v>
      </c>
      <c r="L524">
        <v>1</v>
      </c>
      <c r="M524" t="s">
        <v>34</v>
      </c>
      <c r="N524" t="s">
        <v>21</v>
      </c>
      <c r="O524">
        <v>13.1</v>
      </c>
      <c r="P524" s="1">
        <v>45444</v>
      </c>
      <c r="Q524" t="str">
        <f t="shared" si="8"/>
        <v>Medium Performance</v>
      </c>
      <c r="R524" s="2">
        <f>Table1_1[[#This Row],[tasks_completed]]/Table1_1[[#This Row],[monthly_hours_worked]]</f>
        <v>3.4129692832764506E-2</v>
      </c>
    </row>
    <row r="525" spans="1:18" x14ac:dyDescent="0.3">
      <c r="A525" t="s">
        <v>88</v>
      </c>
      <c r="B525" t="s">
        <v>43</v>
      </c>
      <c r="C525" t="s">
        <v>37</v>
      </c>
      <c r="D525" t="s">
        <v>29</v>
      </c>
      <c r="E525">
        <v>8</v>
      </c>
      <c r="F525">
        <v>163.30000000000001</v>
      </c>
      <c r="G525">
        <v>82.5</v>
      </c>
      <c r="H525">
        <v>4</v>
      </c>
      <c r="I525">
        <v>4</v>
      </c>
      <c r="J525">
        <v>9.3000000000000007</v>
      </c>
      <c r="K525">
        <v>3.57</v>
      </c>
      <c r="L525">
        <v>1</v>
      </c>
      <c r="M525" t="s">
        <v>20</v>
      </c>
      <c r="N525" t="s">
        <v>26</v>
      </c>
      <c r="O525">
        <v>3.89</v>
      </c>
      <c r="P525" s="1">
        <v>45474</v>
      </c>
      <c r="Q525" t="str">
        <f t="shared" si="8"/>
        <v>Low Performance</v>
      </c>
      <c r="R525" s="2">
        <f>Table1_1[[#This Row],[tasks_completed]]/Table1_1[[#This Row],[monthly_hours_worked]]</f>
        <v>2.4494794856093079E-2</v>
      </c>
    </row>
    <row r="526" spans="1:18" x14ac:dyDescent="0.3">
      <c r="A526" t="s">
        <v>88</v>
      </c>
      <c r="B526" t="s">
        <v>27</v>
      </c>
      <c r="C526" t="s">
        <v>37</v>
      </c>
      <c r="D526" t="s">
        <v>19</v>
      </c>
      <c r="E526">
        <v>10</v>
      </c>
      <c r="F526">
        <v>174.1</v>
      </c>
      <c r="G526">
        <v>97.4</v>
      </c>
      <c r="H526">
        <v>4.2</v>
      </c>
      <c r="I526">
        <v>10</v>
      </c>
      <c r="J526">
        <v>8.07</v>
      </c>
      <c r="K526">
        <v>5</v>
      </c>
      <c r="L526">
        <v>1</v>
      </c>
      <c r="M526" t="s">
        <v>25</v>
      </c>
      <c r="N526" t="s">
        <v>26</v>
      </c>
      <c r="O526">
        <v>10.01</v>
      </c>
      <c r="P526" s="1">
        <v>45505</v>
      </c>
      <c r="Q526" t="str">
        <f t="shared" si="8"/>
        <v>Medium Performance</v>
      </c>
      <c r="R526" s="2">
        <f>Table1_1[[#This Row],[tasks_completed]]/Table1_1[[#This Row],[monthly_hours_worked]]</f>
        <v>5.7438253877082138E-2</v>
      </c>
    </row>
    <row r="527" spans="1:18" x14ac:dyDescent="0.3">
      <c r="A527" t="s">
        <v>88</v>
      </c>
      <c r="B527" t="s">
        <v>33</v>
      </c>
      <c r="C527" t="s">
        <v>37</v>
      </c>
      <c r="D527" t="s">
        <v>19</v>
      </c>
      <c r="E527">
        <v>5</v>
      </c>
      <c r="F527">
        <v>151.19999999999999</v>
      </c>
      <c r="G527">
        <v>89</v>
      </c>
      <c r="H527">
        <v>2.4</v>
      </c>
      <c r="I527">
        <v>3</v>
      </c>
      <c r="J527">
        <v>8.98</v>
      </c>
      <c r="K527">
        <v>7.74</v>
      </c>
      <c r="L527">
        <v>1</v>
      </c>
      <c r="M527" t="s">
        <v>25</v>
      </c>
      <c r="N527" t="s">
        <v>21</v>
      </c>
      <c r="O527">
        <v>10.07</v>
      </c>
      <c r="P527" s="1">
        <v>45536</v>
      </c>
      <c r="Q527" t="str">
        <f t="shared" si="8"/>
        <v>Medium Performance</v>
      </c>
      <c r="R527" s="2">
        <f>Table1_1[[#This Row],[tasks_completed]]/Table1_1[[#This Row],[monthly_hours_worked]]</f>
        <v>1.9841269841269844E-2</v>
      </c>
    </row>
    <row r="528" spans="1:18" x14ac:dyDescent="0.3">
      <c r="A528" t="s">
        <v>88</v>
      </c>
      <c r="B528" t="s">
        <v>23</v>
      </c>
      <c r="C528" t="s">
        <v>31</v>
      </c>
      <c r="D528" t="s">
        <v>29</v>
      </c>
      <c r="E528">
        <v>3</v>
      </c>
      <c r="F528">
        <v>168.2</v>
      </c>
      <c r="G528">
        <v>94</v>
      </c>
      <c r="H528">
        <v>5.6</v>
      </c>
      <c r="I528">
        <v>8</v>
      </c>
      <c r="J528">
        <v>10</v>
      </c>
      <c r="K528">
        <v>10</v>
      </c>
      <c r="L528">
        <v>0</v>
      </c>
      <c r="M528" t="s">
        <v>20</v>
      </c>
      <c r="N528" t="s">
        <v>26</v>
      </c>
      <c r="O528">
        <v>10.6</v>
      </c>
      <c r="P528" s="1">
        <v>45566</v>
      </c>
      <c r="Q528" t="str">
        <f t="shared" si="8"/>
        <v>Medium Performance</v>
      </c>
      <c r="R528" s="2">
        <f>Table1_1[[#This Row],[tasks_completed]]/Table1_1[[#This Row],[monthly_hours_worked]]</f>
        <v>4.7562425683709872E-2</v>
      </c>
    </row>
    <row r="529" spans="1:18" x14ac:dyDescent="0.3">
      <c r="A529" t="s">
        <v>88</v>
      </c>
      <c r="B529" t="s">
        <v>27</v>
      </c>
      <c r="C529" t="s">
        <v>37</v>
      </c>
      <c r="D529" t="s">
        <v>39</v>
      </c>
      <c r="E529">
        <v>9</v>
      </c>
      <c r="F529">
        <v>156.1</v>
      </c>
      <c r="G529">
        <v>89.8</v>
      </c>
      <c r="H529">
        <v>3.4</v>
      </c>
      <c r="I529">
        <v>10</v>
      </c>
      <c r="J529">
        <v>4.79</v>
      </c>
      <c r="K529">
        <v>9.11</v>
      </c>
      <c r="L529">
        <v>1</v>
      </c>
      <c r="M529" t="s">
        <v>34</v>
      </c>
      <c r="N529" t="s">
        <v>26</v>
      </c>
      <c r="O529">
        <v>16.02</v>
      </c>
      <c r="P529" s="1">
        <v>45597</v>
      </c>
      <c r="Q529" t="str">
        <f t="shared" si="8"/>
        <v>High Performance</v>
      </c>
      <c r="R529" s="2">
        <f>Table1_1[[#This Row],[tasks_completed]]/Table1_1[[#This Row],[monthly_hours_worked]]</f>
        <v>6.4061499039077513E-2</v>
      </c>
    </row>
    <row r="530" spans="1:18" x14ac:dyDescent="0.3">
      <c r="A530" t="s">
        <v>89</v>
      </c>
      <c r="B530" t="s">
        <v>43</v>
      </c>
      <c r="C530" t="s">
        <v>41</v>
      </c>
      <c r="D530" t="s">
        <v>19</v>
      </c>
      <c r="E530">
        <v>9</v>
      </c>
      <c r="F530">
        <v>155.80000000000001</v>
      </c>
      <c r="G530">
        <v>98.5</v>
      </c>
      <c r="H530">
        <v>7.2</v>
      </c>
      <c r="I530">
        <v>3</v>
      </c>
      <c r="J530">
        <v>9.3000000000000007</v>
      </c>
      <c r="K530">
        <v>8.08</v>
      </c>
      <c r="L530">
        <v>0</v>
      </c>
      <c r="M530" t="s">
        <v>25</v>
      </c>
      <c r="N530" t="s">
        <v>21</v>
      </c>
      <c r="O530">
        <v>17</v>
      </c>
      <c r="P530" s="1">
        <v>45292</v>
      </c>
      <c r="Q530" t="str">
        <f t="shared" si="8"/>
        <v>High Performance</v>
      </c>
      <c r="R530" s="2">
        <f>Table1_1[[#This Row],[tasks_completed]]/Table1_1[[#This Row],[monthly_hours_worked]]</f>
        <v>1.9255455712451859E-2</v>
      </c>
    </row>
    <row r="531" spans="1:18" x14ac:dyDescent="0.3">
      <c r="A531" t="s">
        <v>89</v>
      </c>
      <c r="B531" t="s">
        <v>27</v>
      </c>
      <c r="C531" t="s">
        <v>18</v>
      </c>
      <c r="D531" t="s">
        <v>19</v>
      </c>
      <c r="E531">
        <v>10</v>
      </c>
      <c r="F531">
        <v>157.19999999999999</v>
      </c>
      <c r="G531">
        <v>100</v>
      </c>
      <c r="H531">
        <v>3.1</v>
      </c>
      <c r="I531">
        <v>5</v>
      </c>
      <c r="J531">
        <v>6.14</v>
      </c>
      <c r="K531">
        <v>6.25</v>
      </c>
      <c r="L531">
        <v>0</v>
      </c>
      <c r="M531" t="s">
        <v>20</v>
      </c>
      <c r="N531" t="s">
        <v>26</v>
      </c>
      <c r="O531">
        <v>7.14</v>
      </c>
      <c r="P531" s="1">
        <v>45292</v>
      </c>
      <c r="Q531" t="str">
        <f t="shared" si="8"/>
        <v>Low Performance</v>
      </c>
      <c r="R531" s="2">
        <f>Table1_1[[#This Row],[tasks_completed]]/Table1_1[[#This Row],[monthly_hours_worked]]</f>
        <v>3.1806615776081425E-2</v>
      </c>
    </row>
    <row r="532" spans="1:18" x14ac:dyDescent="0.3">
      <c r="A532" t="s">
        <v>89</v>
      </c>
      <c r="B532" t="s">
        <v>33</v>
      </c>
      <c r="C532" t="s">
        <v>18</v>
      </c>
      <c r="D532" t="s">
        <v>19</v>
      </c>
      <c r="E532">
        <v>2</v>
      </c>
      <c r="F532">
        <v>151.6</v>
      </c>
      <c r="G532">
        <v>84.5</v>
      </c>
      <c r="H532">
        <v>2.2000000000000002</v>
      </c>
      <c r="I532">
        <v>4</v>
      </c>
      <c r="J532">
        <v>7.77</v>
      </c>
      <c r="K532">
        <v>10</v>
      </c>
      <c r="L532">
        <v>0</v>
      </c>
      <c r="M532" t="s">
        <v>25</v>
      </c>
      <c r="N532" t="s">
        <v>21</v>
      </c>
      <c r="O532">
        <v>11.67</v>
      </c>
      <c r="P532" s="1">
        <v>45352</v>
      </c>
      <c r="Q532" t="str">
        <f t="shared" si="8"/>
        <v>Medium Performance</v>
      </c>
      <c r="R532" s="2">
        <f>Table1_1[[#This Row],[tasks_completed]]/Table1_1[[#This Row],[monthly_hours_worked]]</f>
        <v>2.6385224274406333E-2</v>
      </c>
    </row>
    <row r="533" spans="1:18" x14ac:dyDescent="0.3">
      <c r="A533" t="s">
        <v>89</v>
      </c>
      <c r="B533" t="s">
        <v>27</v>
      </c>
      <c r="C533" t="s">
        <v>41</v>
      </c>
      <c r="D533" t="s">
        <v>29</v>
      </c>
      <c r="E533">
        <v>6</v>
      </c>
      <c r="F533">
        <v>164.8</v>
      </c>
      <c r="G533">
        <v>89.9</v>
      </c>
      <c r="H533">
        <v>5.0999999999999996</v>
      </c>
      <c r="I533">
        <v>3</v>
      </c>
      <c r="J533">
        <v>5.21</v>
      </c>
      <c r="K533">
        <v>4.82</v>
      </c>
      <c r="L533">
        <v>0</v>
      </c>
      <c r="M533" t="s">
        <v>34</v>
      </c>
      <c r="N533" t="s">
        <v>26</v>
      </c>
      <c r="O533">
        <v>13.36</v>
      </c>
      <c r="P533" s="1">
        <v>45352</v>
      </c>
      <c r="Q533" t="str">
        <f t="shared" si="8"/>
        <v>Medium Performance</v>
      </c>
      <c r="R533" s="2">
        <f>Table1_1[[#This Row],[tasks_completed]]/Table1_1[[#This Row],[monthly_hours_worked]]</f>
        <v>1.820388349514563E-2</v>
      </c>
    </row>
    <row r="534" spans="1:18" x14ac:dyDescent="0.3">
      <c r="A534" t="s">
        <v>89</v>
      </c>
      <c r="B534" t="s">
        <v>23</v>
      </c>
      <c r="C534" t="s">
        <v>24</v>
      </c>
      <c r="D534" t="s">
        <v>39</v>
      </c>
      <c r="E534">
        <v>7</v>
      </c>
      <c r="F534">
        <v>163.9</v>
      </c>
      <c r="G534">
        <v>89.1</v>
      </c>
      <c r="H534">
        <v>6.9</v>
      </c>
      <c r="I534">
        <v>3</v>
      </c>
      <c r="J534">
        <v>4.84</v>
      </c>
      <c r="K534">
        <v>10</v>
      </c>
      <c r="L534">
        <v>0</v>
      </c>
      <c r="M534" t="s">
        <v>34</v>
      </c>
      <c r="N534" t="s">
        <v>35</v>
      </c>
      <c r="O534">
        <v>8.52</v>
      </c>
      <c r="P534" s="1">
        <v>45383</v>
      </c>
      <c r="Q534" t="str">
        <f t="shared" si="8"/>
        <v>Low Performance</v>
      </c>
      <c r="R534" s="2">
        <f>Table1_1[[#This Row],[tasks_completed]]/Table1_1[[#This Row],[monthly_hours_worked]]</f>
        <v>1.8303843807199512E-2</v>
      </c>
    </row>
    <row r="535" spans="1:18" x14ac:dyDescent="0.3">
      <c r="A535" t="s">
        <v>89</v>
      </c>
      <c r="B535" t="s">
        <v>17</v>
      </c>
      <c r="C535" t="s">
        <v>24</v>
      </c>
      <c r="D535" t="s">
        <v>19</v>
      </c>
      <c r="E535">
        <v>10</v>
      </c>
      <c r="F535">
        <v>148.80000000000001</v>
      </c>
      <c r="G535">
        <v>83.3</v>
      </c>
      <c r="H535">
        <v>7.5</v>
      </c>
      <c r="I535">
        <v>13</v>
      </c>
      <c r="J535">
        <v>5.29</v>
      </c>
      <c r="K535">
        <v>9.31</v>
      </c>
      <c r="L535">
        <v>1</v>
      </c>
      <c r="M535" t="s">
        <v>34</v>
      </c>
      <c r="N535" t="s">
        <v>35</v>
      </c>
      <c r="O535">
        <v>19.63</v>
      </c>
      <c r="P535" s="1">
        <v>45413</v>
      </c>
      <c r="Q535" t="str">
        <f t="shared" si="8"/>
        <v>High Performance</v>
      </c>
      <c r="R535" s="2">
        <f>Table1_1[[#This Row],[tasks_completed]]/Table1_1[[#This Row],[monthly_hours_worked]]</f>
        <v>8.7365591397849454E-2</v>
      </c>
    </row>
    <row r="536" spans="1:18" x14ac:dyDescent="0.3">
      <c r="A536" t="s">
        <v>89</v>
      </c>
      <c r="B536" t="s">
        <v>17</v>
      </c>
      <c r="C536" t="s">
        <v>41</v>
      </c>
      <c r="D536" t="s">
        <v>39</v>
      </c>
      <c r="E536">
        <v>3</v>
      </c>
      <c r="F536">
        <v>146.5</v>
      </c>
      <c r="G536">
        <v>92.7</v>
      </c>
      <c r="H536">
        <v>2.2999999999999998</v>
      </c>
      <c r="I536">
        <v>6</v>
      </c>
      <c r="J536">
        <v>6.15</v>
      </c>
      <c r="K536">
        <v>10</v>
      </c>
      <c r="L536">
        <v>0</v>
      </c>
      <c r="M536" t="s">
        <v>25</v>
      </c>
      <c r="N536" t="s">
        <v>35</v>
      </c>
      <c r="O536">
        <v>21</v>
      </c>
      <c r="P536" s="1">
        <v>45444</v>
      </c>
      <c r="Q536" t="str">
        <f t="shared" si="8"/>
        <v>High Performance</v>
      </c>
      <c r="R536" s="2">
        <f>Table1_1[[#This Row],[tasks_completed]]/Table1_1[[#This Row],[monthly_hours_worked]]</f>
        <v>4.0955631399317405E-2</v>
      </c>
    </row>
    <row r="537" spans="1:18" x14ac:dyDescent="0.3">
      <c r="A537" t="s">
        <v>89</v>
      </c>
      <c r="B537" t="s">
        <v>23</v>
      </c>
      <c r="C537" t="s">
        <v>41</v>
      </c>
      <c r="D537" t="s">
        <v>39</v>
      </c>
      <c r="E537">
        <v>2</v>
      </c>
      <c r="F537">
        <v>173.6</v>
      </c>
      <c r="G537">
        <v>98.1</v>
      </c>
      <c r="H537">
        <v>6.5</v>
      </c>
      <c r="I537">
        <v>7</v>
      </c>
      <c r="J537">
        <v>7.45</v>
      </c>
      <c r="K537">
        <v>5.93</v>
      </c>
      <c r="L537">
        <v>1</v>
      </c>
      <c r="M537" t="s">
        <v>20</v>
      </c>
      <c r="N537" t="s">
        <v>26</v>
      </c>
      <c r="O537">
        <v>21.76</v>
      </c>
      <c r="P537" s="1">
        <v>45474</v>
      </c>
      <c r="Q537" t="str">
        <f t="shared" si="8"/>
        <v>High Performance</v>
      </c>
      <c r="R537" s="2">
        <f>Table1_1[[#This Row],[tasks_completed]]/Table1_1[[#This Row],[monthly_hours_worked]]</f>
        <v>4.0322580645161289E-2</v>
      </c>
    </row>
    <row r="538" spans="1:18" x14ac:dyDescent="0.3">
      <c r="A538" t="s">
        <v>89</v>
      </c>
      <c r="B538" t="s">
        <v>17</v>
      </c>
      <c r="C538" t="s">
        <v>41</v>
      </c>
      <c r="D538" t="s">
        <v>39</v>
      </c>
      <c r="E538">
        <v>5</v>
      </c>
      <c r="F538">
        <v>153.80000000000001</v>
      </c>
      <c r="G538">
        <v>98.8</v>
      </c>
      <c r="H538">
        <v>6.1</v>
      </c>
      <c r="I538">
        <v>1</v>
      </c>
      <c r="J538">
        <v>5.26</v>
      </c>
      <c r="K538">
        <v>7.54</v>
      </c>
      <c r="L538">
        <v>1</v>
      </c>
      <c r="M538" t="s">
        <v>34</v>
      </c>
      <c r="N538" t="s">
        <v>35</v>
      </c>
      <c r="O538">
        <v>4.45</v>
      </c>
      <c r="P538" s="1">
        <v>45505</v>
      </c>
      <c r="Q538" t="str">
        <f t="shared" si="8"/>
        <v>Low Performance</v>
      </c>
      <c r="R538" s="2">
        <f>Table1_1[[#This Row],[tasks_completed]]/Table1_1[[#This Row],[monthly_hours_worked]]</f>
        <v>6.5019505851755524E-3</v>
      </c>
    </row>
    <row r="539" spans="1:18" x14ac:dyDescent="0.3">
      <c r="A539" t="s">
        <v>89</v>
      </c>
      <c r="B539" t="s">
        <v>17</v>
      </c>
      <c r="C539" t="s">
        <v>31</v>
      </c>
      <c r="D539" t="s">
        <v>39</v>
      </c>
      <c r="E539">
        <v>7</v>
      </c>
      <c r="F539">
        <v>154.5</v>
      </c>
      <c r="G539">
        <v>94.9</v>
      </c>
      <c r="H539">
        <v>8.6999999999999993</v>
      </c>
      <c r="I539">
        <v>5</v>
      </c>
      <c r="J539">
        <v>7.98</v>
      </c>
      <c r="K539">
        <v>5.17</v>
      </c>
      <c r="L539">
        <v>0</v>
      </c>
      <c r="M539" t="s">
        <v>25</v>
      </c>
      <c r="N539" t="s">
        <v>26</v>
      </c>
      <c r="O539">
        <v>11.23</v>
      </c>
      <c r="P539" s="1">
        <v>45536</v>
      </c>
      <c r="Q539" t="str">
        <f t="shared" si="8"/>
        <v>Medium Performance</v>
      </c>
      <c r="R539" s="2">
        <f>Table1_1[[#This Row],[tasks_completed]]/Table1_1[[#This Row],[monthly_hours_worked]]</f>
        <v>3.2362459546925564E-2</v>
      </c>
    </row>
    <row r="540" spans="1:18" x14ac:dyDescent="0.3">
      <c r="A540" t="s">
        <v>89</v>
      </c>
      <c r="B540" t="s">
        <v>23</v>
      </c>
      <c r="C540" t="s">
        <v>41</v>
      </c>
      <c r="D540" t="s">
        <v>29</v>
      </c>
      <c r="E540">
        <v>8</v>
      </c>
      <c r="F540">
        <v>159.19999999999999</v>
      </c>
      <c r="G540">
        <v>94.7</v>
      </c>
      <c r="H540">
        <v>5.5</v>
      </c>
      <c r="I540">
        <v>4</v>
      </c>
      <c r="J540">
        <v>7.37</v>
      </c>
      <c r="K540">
        <v>1</v>
      </c>
      <c r="L540">
        <v>0</v>
      </c>
      <c r="M540" t="s">
        <v>25</v>
      </c>
      <c r="N540" t="s">
        <v>35</v>
      </c>
      <c r="O540">
        <v>12.85</v>
      </c>
      <c r="P540" s="1">
        <v>45566</v>
      </c>
      <c r="Q540" t="str">
        <f t="shared" si="8"/>
        <v>Medium Performance</v>
      </c>
      <c r="R540" s="2">
        <f>Table1_1[[#This Row],[tasks_completed]]/Table1_1[[#This Row],[monthly_hours_worked]]</f>
        <v>2.5125628140703519E-2</v>
      </c>
    </row>
    <row r="541" spans="1:18" x14ac:dyDescent="0.3">
      <c r="A541" t="s">
        <v>89</v>
      </c>
      <c r="B541" t="s">
        <v>33</v>
      </c>
      <c r="C541" t="s">
        <v>18</v>
      </c>
      <c r="D541" t="s">
        <v>19</v>
      </c>
      <c r="E541">
        <v>3</v>
      </c>
      <c r="F541">
        <v>138.69999999999999</v>
      </c>
      <c r="G541">
        <v>94.5</v>
      </c>
      <c r="H541">
        <v>5.3</v>
      </c>
      <c r="I541">
        <v>6</v>
      </c>
      <c r="J541">
        <v>5.78</v>
      </c>
      <c r="K541">
        <v>4.03</v>
      </c>
      <c r="L541">
        <v>0</v>
      </c>
      <c r="M541" t="s">
        <v>25</v>
      </c>
      <c r="N541" t="s">
        <v>21</v>
      </c>
      <c r="O541">
        <v>17.149999999999999</v>
      </c>
      <c r="P541" s="1">
        <v>45597</v>
      </c>
      <c r="Q541" t="str">
        <f t="shared" si="8"/>
        <v>High Performance</v>
      </c>
      <c r="R541" s="2">
        <f>Table1_1[[#This Row],[tasks_completed]]/Table1_1[[#This Row],[monthly_hours_worked]]</f>
        <v>4.3258832011535693E-2</v>
      </c>
    </row>
    <row r="542" spans="1:18" x14ac:dyDescent="0.3">
      <c r="A542" t="s">
        <v>90</v>
      </c>
      <c r="B542" t="s">
        <v>43</v>
      </c>
      <c r="C542" t="s">
        <v>18</v>
      </c>
      <c r="D542" t="s">
        <v>39</v>
      </c>
      <c r="E542">
        <v>4</v>
      </c>
      <c r="F542">
        <v>155.80000000000001</v>
      </c>
      <c r="G542">
        <v>85.4</v>
      </c>
      <c r="H542">
        <v>6.3</v>
      </c>
      <c r="I542">
        <v>6</v>
      </c>
      <c r="J542">
        <v>5.52</v>
      </c>
      <c r="K542">
        <v>7.56</v>
      </c>
      <c r="L542">
        <v>0</v>
      </c>
      <c r="M542" t="s">
        <v>20</v>
      </c>
      <c r="N542" t="s">
        <v>21</v>
      </c>
      <c r="O542">
        <v>18.29</v>
      </c>
      <c r="P542" s="1">
        <v>45292</v>
      </c>
      <c r="Q542" t="str">
        <f t="shared" si="8"/>
        <v>High Performance</v>
      </c>
      <c r="R542" s="2">
        <f>Table1_1[[#This Row],[tasks_completed]]/Table1_1[[#This Row],[monthly_hours_worked]]</f>
        <v>3.8510911424903718E-2</v>
      </c>
    </row>
    <row r="543" spans="1:18" x14ac:dyDescent="0.3">
      <c r="A543" t="s">
        <v>90</v>
      </c>
      <c r="B543" t="s">
        <v>23</v>
      </c>
      <c r="C543" t="s">
        <v>31</v>
      </c>
      <c r="D543" t="s">
        <v>39</v>
      </c>
      <c r="E543">
        <v>8</v>
      </c>
      <c r="F543">
        <v>160.9</v>
      </c>
      <c r="G543">
        <v>100</v>
      </c>
      <c r="H543">
        <v>10.3</v>
      </c>
      <c r="I543">
        <v>6</v>
      </c>
      <c r="J543">
        <v>7.65</v>
      </c>
      <c r="K543">
        <v>7.46</v>
      </c>
      <c r="L543">
        <v>1</v>
      </c>
      <c r="M543" t="s">
        <v>20</v>
      </c>
      <c r="N543" t="s">
        <v>35</v>
      </c>
      <c r="O543">
        <v>15.52</v>
      </c>
      <c r="P543" s="1">
        <v>45292</v>
      </c>
      <c r="Q543" t="str">
        <f t="shared" si="8"/>
        <v>High Performance</v>
      </c>
      <c r="R543" s="2">
        <f>Table1_1[[#This Row],[tasks_completed]]/Table1_1[[#This Row],[monthly_hours_worked]]</f>
        <v>3.7290242386575509E-2</v>
      </c>
    </row>
    <row r="544" spans="1:18" x14ac:dyDescent="0.3">
      <c r="A544" t="s">
        <v>90</v>
      </c>
      <c r="B544" t="s">
        <v>43</v>
      </c>
      <c r="C544" t="s">
        <v>31</v>
      </c>
      <c r="D544" t="s">
        <v>29</v>
      </c>
      <c r="E544">
        <v>9</v>
      </c>
      <c r="F544">
        <v>154.9</v>
      </c>
      <c r="G544">
        <v>95.9</v>
      </c>
      <c r="H544">
        <v>4.0999999999999996</v>
      </c>
      <c r="I544">
        <v>6</v>
      </c>
      <c r="J544">
        <v>10</v>
      </c>
      <c r="K544">
        <v>3.86</v>
      </c>
      <c r="L544">
        <v>1</v>
      </c>
      <c r="M544" t="s">
        <v>34</v>
      </c>
      <c r="N544" t="s">
        <v>26</v>
      </c>
      <c r="O544">
        <v>12.35</v>
      </c>
      <c r="P544" s="1">
        <v>45352</v>
      </c>
      <c r="Q544" t="str">
        <f t="shared" si="8"/>
        <v>Medium Performance</v>
      </c>
      <c r="R544" s="2">
        <f>Table1_1[[#This Row],[tasks_completed]]/Table1_1[[#This Row],[monthly_hours_worked]]</f>
        <v>3.8734667527437053E-2</v>
      </c>
    </row>
    <row r="545" spans="1:18" x14ac:dyDescent="0.3">
      <c r="A545" t="s">
        <v>90</v>
      </c>
      <c r="B545" t="s">
        <v>27</v>
      </c>
      <c r="C545" t="s">
        <v>24</v>
      </c>
      <c r="D545" t="s">
        <v>19</v>
      </c>
      <c r="E545">
        <v>6</v>
      </c>
      <c r="F545">
        <v>165.5</v>
      </c>
      <c r="G545">
        <v>99</v>
      </c>
      <c r="H545">
        <v>4.0999999999999996</v>
      </c>
      <c r="I545">
        <v>7</v>
      </c>
      <c r="J545">
        <v>8.24</v>
      </c>
      <c r="K545">
        <v>7.81</v>
      </c>
      <c r="L545">
        <v>1</v>
      </c>
      <c r="M545" t="s">
        <v>20</v>
      </c>
      <c r="N545" t="s">
        <v>21</v>
      </c>
      <c r="O545">
        <v>12.05</v>
      </c>
      <c r="P545" s="1">
        <v>45352</v>
      </c>
      <c r="Q545" t="str">
        <f t="shared" si="8"/>
        <v>Medium Performance</v>
      </c>
      <c r="R545" s="2">
        <f>Table1_1[[#This Row],[tasks_completed]]/Table1_1[[#This Row],[monthly_hours_worked]]</f>
        <v>4.2296072507552872E-2</v>
      </c>
    </row>
    <row r="546" spans="1:18" x14ac:dyDescent="0.3">
      <c r="A546" t="s">
        <v>90</v>
      </c>
      <c r="B546" t="s">
        <v>23</v>
      </c>
      <c r="C546" t="s">
        <v>41</v>
      </c>
      <c r="D546" t="s">
        <v>39</v>
      </c>
      <c r="E546">
        <v>1</v>
      </c>
      <c r="F546">
        <v>161</v>
      </c>
      <c r="G546">
        <v>99.2</v>
      </c>
      <c r="I546">
        <v>5</v>
      </c>
      <c r="J546">
        <v>6.49</v>
      </c>
      <c r="K546">
        <v>7.15</v>
      </c>
      <c r="L546">
        <v>0</v>
      </c>
      <c r="M546" t="s">
        <v>34</v>
      </c>
      <c r="N546" t="s">
        <v>21</v>
      </c>
      <c r="O546">
        <v>26.23</v>
      </c>
      <c r="P546" s="1">
        <v>45383</v>
      </c>
      <c r="Q546" t="str">
        <f t="shared" si="8"/>
        <v>High Performance</v>
      </c>
      <c r="R546" s="2">
        <f>Table1_1[[#This Row],[tasks_completed]]/Table1_1[[#This Row],[monthly_hours_worked]]</f>
        <v>3.1055900621118012E-2</v>
      </c>
    </row>
    <row r="547" spans="1:18" x14ac:dyDescent="0.3">
      <c r="A547" t="s">
        <v>90</v>
      </c>
      <c r="B547" t="s">
        <v>23</v>
      </c>
      <c r="C547" t="s">
        <v>18</v>
      </c>
      <c r="D547" t="s">
        <v>29</v>
      </c>
      <c r="E547">
        <v>1</v>
      </c>
      <c r="F547">
        <v>167.1</v>
      </c>
      <c r="G547">
        <v>93.8</v>
      </c>
      <c r="H547">
        <v>6.4</v>
      </c>
      <c r="I547">
        <v>10</v>
      </c>
      <c r="J547">
        <v>8.67</v>
      </c>
      <c r="K547">
        <v>10</v>
      </c>
      <c r="L547">
        <v>1</v>
      </c>
      <c r="M547" t="s">
        <v>20</v>
      </c>
      <c r="N547" t="s">
        <v>35</v>
      </c>
      <c r="O547">
        <v>1.24</v>
      </c>
      <c r="P547" s="1">
        <v>45413</v>
      </c>
      <c r="Q547" t="str">
        <f t="shared" si="8"/>
        <v>Low Performance</v>
      </c>
      <c r="R547" s="2">
        <f>Table1_1[[#This Row],[tasks_completed]]/Table1_1[[#This Row],[monthly_hours_worked]]</f>
        <v>5.9844404548174746E-2</v>
      </c>
    </row>
    <row r="548" spans="1:18" x14ac:dyDescent="0.3">
      <c r="A548" t="s">
        <v>90</v>
      </c>
      <c r="B548" t="s">
        <v>27</v>
      </c>
      <c r="C548" t="s">
        <v>31</v>
      </c>
      <c r="D548" t="s">
        <v>19</v>
      </c>
      <c r="E548">
        <v>1</v>
      </c>
      <c r="F548">
        <v>154.69999999999999</v>
      </c>
      <c r="G548">
        <v>96.6</v>
      </c>
      <c r="H548">
        <v>5.2</v>
      </c>
      <c r="I548">
        <v>3</v>
      </c>
      <c r="J548">
        <v>7.69</v>
      </c>
      <c r="K548">
        <v>9.2200000000000006</v>
      </c>
      <c r="L548">
        <v>0</v>
      </c>
      <c r="M548" t="s">
        <v>20</v>
      </c>
      <c r="N548" t="s">
        <v>21</v>
      </c>
      <c r="O548">
        <v>14.85</v>
      </c>
      <c r="P548" s="1">
        <v>45444</v>
      </c>
      <c r="Q548" t="str">
        <f t="shared" si="8"/>
        <v>Medium Performance</v>
      </c>
      <c r="R548" s="2">
        <f>Table1_1[[#This Row],[tasks_completed]]/Table1_1[[#This Row],[monthly_hours_worked]]</f>
        <v>1.9392372333548805E-2</v>
      </c>
    </row>
    <row r="549" spans="1:18" x14ac:dyDescent="0.3">
      <c r="A549" t="s">
        <v>90</v>
      </c>
      <c r="B549" t="s">
        <v>23</v>
      </c>
      <c r="C549" t="s">
        <v>31</v>
      </c>
      <c r="D549" t="s">
        <v>39</v>
      </c>
      <c r="E549">
        <v>4</v>
      </c>
      <c r="F549">
        <v>154.6</v>
      </c>
      <c r="G549">
        <v>96.6</v>
      </c>
      <c r="H549">
        <v>4.0999999999999996</v>
      </c>
      <c r="I549">
        <v>6</v>
      </c>
      <c r="J549">
        <v>6.94</v>
      </c>
      <c r="K549">
        <v>8.9600000000000009</v>
      </c>
      <c r="L549">
        <v>0</v>
      </c>
      <c r="M549" t="s">
        <v>25</v>
      </c>
      <c r="N549" t="s">
        <v>35</v>
      </c>
      <c r="O549">
        <v>10.92</v>
      </c>
      <c r="P549" s="1">
        <v>45474</v>
      </c>
      <c r="Q549" t="str">
        <f t="shared" si="8"/>
        <v>Medium Performance</v>
      </c>
      <c r="R549" s="2">
        <f>Table1_1[[#This Row],[tasks_completed]]/Table1_1[[#This Row],[monthly_hours_worked]]</f>
        <v>3.8809831824062099E-2</v>
      </c>
    </row>
    <row r="550" spans="1:18" x14ac:dyDescent="0.3">
      <c r="A550" t="s">
        <v>90</v>
      </c>
      <c r="B550" t="s">
        <v>23</v>
      </c>
      <c r="C550" t="s">
        <v>18</v>
      </c>
      <c r="D550" t="s">
        <v>29</v>
      </c>
      <c r="E550">
        <v>3</v>
      </c>
      <c r="F550">
        <v>164.6</v>
      </c>
      <c r="G550">
        <v>87.4</v>
      </c>
      <c r="H550">
        <v>6.6</v>
      </c>
      <c r="I550">
        <v>2</v>
      </c>
      <c r="J550">
        <v>6.67</v>
      </c>
      <c r="K550">
        <v>9.24</v>
      </c>
      <c r="L550">
        <v>1</v>
      </c>
      <c r="M550" t="s">
        <v>34</v>
      </c>
      <c r="N550" t="s">
        <v>35</v>
      </c>
      <c r="O550">
        <v>5.49</v>
      </c>
      <c r="P550" s="1">
        <v>45505</v>
      </c>
      <c r="Q550" t="str">
        <f t="shared" si="8"/>
        <v>Low Performance</v>
      </c>
      <c r="R550" s="2">
        <f>Table1_1[[#This Row],[tasks_completed]]/Table1_1[[#This Row],[monthly_hours_worked]]</f>
        <v>1.2150668286755772E-2</v>
      </c>
    </row>
    <row r="551" spans="1:18" x14ac:dyDescent="0.3">
      <c r="A551" t="s">
        <v>90</v>
      </c>
      <c r="B551" t="s">
        <v>27</v>
      </c>
      <c r="C551" t="s">
        <v>18</v>
      </c>
      <c r="D551" t="s">
        <v>29</v>
      </c>
      <c r="E551">
        <v>2</v>
      </c>
      <c r="F551">
        <v>171.4</v>
      </c>
      <c r="G551">
        <v>91.8</v>
      </c>
      <c r="H551">
        <v>6</v>
      </c>
      <c r="I551">
        <v>10</v>
      </c>
      <c r="J551">
        <v>5.79</v>
      </c>
      <c r="K551">
        <v>5.51</v>
      </c>
      <c r="L551">
        <v>1</v>
      </c>
      <c r="M551" t="s">
        <v>25</v>
      </c>
      <c r="N551" t="s">
        <v>21</v>
      </c>
      <c r="O551">
        <v>10.95</v>
      </c>
      <c r="P551" s="1">
        <v>45536</v>
      </c>
      <c r="Q551" t="str">
        <f t="shared" si="8"/>
        <v>Medium Performance</v>
      </c>
      <c r="R551" s="2">
        <f>Table1_1[[#This Row],[tasks_completed]]/Table1_1[[#This Row],[monthly_hours_worked]]</f>
        <v>5.8343057176196034E-2</v>
      </c>
    </row>
    <row r="552" spans="1:18" x14ac:dyDescent="0.3">
      <c r="A552" t="s">
        <v>90</v>
      </c>
      <c r="B552" t="s">
        <v>17</v>
      </c>
      <c r="C552" t="s">
        <v>41</v>
      </c>
      <c r="D552" t="s">
        <v>29</v>
      </c>
      <c r="E552">
        <v>6</v>
      </c>
      <c r="F552">
        <v>150</v>
      </c>
      <c r="G552">
        <v>100</v>
      </c>
      <c r="H552">
        <v>6.7</v>
      </c>
      <c r="I552">
        <v>11</v>
      </c>
      <c r="J552">
        <v>6.3</v>
      </c>
      <c r="K552">
        <v>5.43</v>
      </c>
      <c r="L552">
        <v>1</v>
      </c>
      <c r="M552" t="s">
        <v>20</v>
      </c>
      <c r="N552" t="s">
        <v>26</v>
      </c>
      <c r="O552">
        <v>16.149999999999999</v>
      </c>
      <c r="P552" s="1">
        <v>45566</v>
      </c>
      <c r="Q552" t="str">
        <f t="shared" si="8"/>
        <v>High Performance</v>
      </c>
      <c r="R552" s="2">
        <f>Table1_1[[#This Row],[tasks_completed]]/Table1_1[[#This Row],[monthly_hours_worked]]</f>
        <v>7.3333333333333334E-2</v>
      </c>
    </row>
    <row r="553" spans="1:18" x14ac:dyDescent="0.3">
      <c r="A553" t="s">
        <v>90</v>
      </c>
      <c r="B553" t="s">
        <v>17</v>
      </c>
      <c r="C553" t="s">
        <v>24</v>
      </c>
      <c r="D553" t="s">
        <v>19</v>
      </c>
      <c r="E553">
        <v>1</v>
      </c>
      <c r="F553">
        <v>170</v>
      </c>
      <c r="G553">
        <v>84.9</v>
      </c>
      <c r="H553">
        <v>6.7</v>
      </c>
      <c r="I553">
        <v>5</v>
      </c>
      <c r="J553">
        <v>5.87</v>
      </c>
      <c r="K553">
        <v>10</v>
      </c>
      <c r="L553">
        <v>1</v>
      </c>
      <c r="M553" t="s">
        <v>25</v>
      </c>
      <c r="N553" t="s">
        <v>35</v>
      </c>
      <c r="O553">
        <v>9.92</v>
      </c>
      <c r="P553" s="1">
        <v>45597</v>
      </c>
      <c r="Q553" t="str">
        <f t="shared" si="8"/>
        <v>Low Performance</v>
      </c>
      <c r="R553" s="2">
        <f>Table1_1[[#This Row],[tasks_completed]]/Table1_1[[#This Row],[monthly_hours_worked]]</f>
        <v>2.9411764705882353E-2</v>
      </c>
    </row>
    <row r="554" spans="1:18" x14ac:dyDescent="0.3">
      <c r="A554" t="s">
        <v>91</v>
      </c>
      <c r="B554" t="s">
        <v>43</v>
      </c>
      <c r="C554" t="s">
        <v>24</v>
      </c>
      <c r="D554" t="s">
        <v>19</v>
      </c>
      <c r="E554">
        <v>6</v>
      </c>
      <c r="F554">
        <v>161</v>
      </c>
      <c r="G554">
        <v>93.5</v>
      </c>
      <c r="H554">
        <v>6.3</v>
      </c>
      <c r="I554">
        <v>5</v>
      </c>
      <c r="J554">
        <v>6.92</v>
      </c>
      <c r="K554">
        <v>9.6300000000000008</v>
      </c>
      <c r="L554">
        <v>0</v>
      </c>
      <c r="M554" t="s">
        <v>25</v>
      </c>
      <c r="N554" t="s">
        <v>21</v>
      </c>
      <c r="O554">
        <v>9.02</v>
      </c>
      <c r="P554" s="1">
        <v>45292</v>
      </c>
      <c r="Q554" t="str">
        <f t="shared" si="8"/>
        <v>Low Performance</v>
      </c>
      <c r="R554" s="2">
        <f>Table1_1[[#This Row],[tasks_completed]]/Table1_1[[#This Row],[monthly_hours_worked]]</f>
        <v>3.1055900621118012E-2</v>
      </c>
    </row>
    <row r="555" spans="1:18" x14ac:dyDescent="0.3">
      <c r="A555" t="s">
        <v>91</v>
      </c>
      <c r="B555" t="s">
        <v>23</v>
      </c>
      <c r="C555" t="s">
        <v>41</v>
      </c>
      <c r="D555" t="s">
        <v>39</v>
      </c>
      <c r="E555">
        <v>9</v>
      </c>
      <c r="F555">
        <v>160.19999999999999</v>
      </c>
      <c r="G555">
        <v>92.9</v>
      </c>
      <c r="H555">
        <v>7.7</v>
      </c>
      <c r="I555">
        <v>8</v>
      </c>
      <c r="J555">
        <v>4.6900000000000004</v>
      </c>
      <c r="K555">
        <v>1.57</v>
      </c>
      <c r="L555">
        <v>2</v>
      </c>
      <c r="M555" t="s">
        <v>25</v>
      </c>
      <c r="N555" t="s">
        <v>26</v>
      </c>
      <c r="O555">
        <v>16.55</v>
      </c>
      <c r="P555" s="1">
        <v>45292</v>
      </c>
      <c r="Q555" t="str">
        <f t="shared" si="8"/>
        <v>High Performance</v>
      </c>
      <c r="R555" s="2">
        <f>Table1_1[[#This Row],[tasks_completed]]/Table1_1[[#This Row],[monthly_hours_worked]]</f>
        <v>4.9937578027465672E-2</v>
      </c>
    </row>
    <row r="556" spans="1:18" x14ac:dyDescent="0.3">
      <c r="A556" t="s">
        <v>91</v>
      </c>
      <c r="B556" t="s">
        <v>27</v>
      </c>
      <c r="C556" t="s">
        <v>37</v>
      </c>
      <c r="D556" t="s">
        <v>19</v>
      </c>
      <c r="E556">
        <v>8</v>
      </c>
      <c r="F556">
        <v>161.9</v>
      </c>
      <c r="G556">
        <v>100</v>
      </c>
      <c r="H556">
        <v>4.9000000000000004</v>
      </c>
      <c r="I556">
        <v>9</v>
      </c>
      <c r="J556">
        <v>7.22</v>
      </c>
      <c r="K556">
        <v>1</v>
      </c>
      <c r="L556">
        <v>0</v>
      </c>
      <c r="M556" t="s">
        <v>34</v>
      </c>
      <c r="N556" t="s">
        <v>26</v>
      </c>
      <c r="O556">
        <v>15.9</v>
      </c>
      <c r="P556" s="1">
        <v>45352</v>
      </c>
      <c r="Q556" t="str">
        <f t="shared" si="8"/>
        <v>High Performance</v>
      </c>
      <c r="R556" s="2">
        <f>Table1_1[[#This Row],[tasks_completed]]/Table1_1[[#This Row],[monthly_hours_worked]]</f>
        <v>5.5589870290302656E-2</v>
      </c>
    </row>
    <row r="557" spans="1:18" x14ac:dyDescent="0.3">
      <c r="A557" t="s">
        <v>91</v>
      </c>
      <c r="B557" t="s">
        <v>33</v>
      </c>
      <c r="C557" t="s">
        <v>24</v>
      </c>
      <c r="D557" t="s">
        <v>39</v>
      </c>
      <c r="E557">
        <v>9</v>
      </c>
      <c r="F557">
        <v>155.69999999999999</v>
      </c>
      <c r="G557">
        <v>98.3</v>
      </c>
      <c r="H557">
        <v>3</v>
      </c>
      <c r="I557">
        <v>10</v>
      </c>
      <c r="J557">
        <v>7.55</v>
      </c>
      <c r="K557">
        <v>8.5</v>
      </c>
      <c r="L557">
        <v>1</v>
      </c>
      <c r="M557" t="s">
        <v>25</v>
      </c>
      <c r="N557" t="s">
        <v>26</v>
      </c>
      <c r="O557">
        <v>22.02</v>
      </c>
      <c r="P557" s="1">
        <v>45352</v>
      </c>
      <c r="Q557" t="str">
        <f t="shared" si="8"/>
        <v>High Performance</v>
      </c>
      <c r="R557" s="2">
        <f>Table1_1[[#This Row],[tasks_completed]]/Table1_1[[#This Row],[monthly_hours_worked]]</f>
        <v>6.4226075786769435E-2</v>
      </c>
    </row>
    <row r="558" spans="1:18" x14ac:dyDescent="0.3">
      <c r="A558" t="s">
        <v>91</v>
      </c>
      <c r="B558" t="s">
        <v>27</v>
      </c>
      <c r="C558" t="s">
        <v>24</v>
      </c>
      <c r="D558" t="s">
        <v>39</v>
      </c>
      <c r="E558">
        <v>3</v>
      </c>
      <c r="F558">
        <v>148.1</v>
      </c>
      <c r="G558">
        <v>100</v>
      </c>
      <c r="I558">
        <v>7</v>
      </c>
      <c r="J558">
        <v>6.33</v>
      </c>
      <c r="K558">
        <v>5.72</v>
      </c>
      <c r="L558">
        <v>1</v>
      </c>
      <c r="M558" t="s">
        <v>20</v>
      </c>
      <c r="N558" t="s">
        <v>35</v>
      </c>
      <c r="O558">
        <v>19.16</v>
      </c>
      <c r="P558" s="1">
        <v>45383</v>
      </c>
      <c r="Q558" t="str">
        <f t="shared" si="8"/>
        <v>High Performance</v>
      </c>
      <c r="R558" s="2">
        <f>Table1_1[[#This Row],[tasks_completed]]/Table1_1[[#This Row],[monthly_hours_worked]]</f>
        <v>4.7265361242403783E-2</v>
      </c>
    </row>
    <row r="559" spans="1:18" x14ac:dyDescent="0.3">
      <c r="A559" t="s">
        <v>91</v>
      </c>
      <c r="B559" t="s">
        <v>17</v>
      </c>
      <c r="C559" t="s">
        <v>41</v>
      </c>
      <c r="D559" t="s">
        <v>19</v>
      </c>
      <c r="E559">
        <v>6</v>
      </c>
      <c r="F559">
        <v>165.8</v>
      </c>
      <c r="G559">
        <v>94</v>
      </c>
      <c r="H559">
        <v>4.4000000000000004</v>
      </c>
      <c r="I559">
        <v>5</v>
      </c>
      <c r="J559">
        <v>9.5399999999999991</v>
      </c>
      <c r="K559">
        <v>9.0399999999999991</v>
      </c>
      <c r="L559">
        <v>0</v>
      </c>
      <c r="M559" t="s">
        <v>34</v>
      </c>
      <c r="N559" t="s">
        <v>21</v>
      </c>
      <c r="O559">
        <v>24.03</v>
      </c>
      <c r="P559" s="1">
        <v>45413</v>
      </c>
      <c r="Q559" t="str">
        <f t="shared" si="8"/>
        <v>High Performance</v>
      </c>
      <c r="R559" s="2">
        <f>Table1_1[[#This Row],[tasks_completed]]/Table1_1[[#This Row],[monthly_hours_worked]]</f>
        <v>3.0156815440289503E-2</v>
      </c>
    </row>
    <row r="560" spans="1:18" x14ac:dyDescent="0.3">
      <c r="A560" t="s">
        <v>91</v>
      </c>
      <c r="B560" t="s">
        <v>43</v>
      </c>
      <c r="C560" t="s">
        <v>41</v>
      </c>
      <c r="D560" t="s">
        <v>39</v>
      </c>
      <c r="E560">
        <v>8</v>
      </c>
      <c r="F560">
        <v>143.9</v>
      </c>
      <c r="G560">
        <v>96.6</v>
      </c>
      <c r="H560">
        <v>2.2999999999999998</v>
      </c>
      <c r="I560">
        <v>12</v>
      </c>
      <c r="J560">
        <v>4.6100000000000003</v>
      </c>
      <c r="K560">
        <v>6.76</v>
      </c>
      <c r="L560">
        <v>1</v>
      </c>
      <c r="M560" t="s">
        <v>25</v>
      </c>
      <c r="N560" t="s">
        <v>35</v>
      </c>
      <c r="O560">
        <v>21.59</v>
      </c>
      <c r="P560" s="1">
        <v>45444</v>
      </c>
      <c r="Q560" t="str">
        <f t="shared" si="8"/>
        <v>High Performance</v>
      </c>
      <c r="R560" s="2">
        <f>Table1_1[[#This Row],[tasks_completed]]/Table1_1[[#This Row],[monthly_hours_worked]]</f>
        <v>8.3391243919388458E-2</v>
      </c>
    </row>
    <row r="561" spans="1:18" x14ac:dyDescent="0.3">
      <c r="A561" t="s">
        <v>91</v>
      </c>
      <c r="B561" t="s">
        <v>43</v>
      </c>
      <c r="C561" t="s">
        <v>41</v>
      </c>
      <c r="D561" t="s">
        <v>39</v>
      </c>
      <c r="E561">
        <v>2</v>
      </c>
      <c r="F561">
        <v>160.6</v>
      </c>
      <c r="G561">
        <v>98.6</v>
      </c>
      <c r="H561">
        <v>4.2</v>
      </c>
      <c r="I561">
        <v>4</v>
      </c>
      <c r="J561">
        <v>7.63</v>
      </c>
      <c r="K561">
        <v>7.94</v>
      </c>
      <c r="L561">
        <v>0</v>
      </c>
      <c r="M561" t="s">
        <v>34</v>
      </c>
      <c r="N561" t="s">
        <v>35</v>
      </c>
      <c r="O561">
        <v>16.260000000000002</v>
      </c>
      <c r="P561" s="1">
        <v>45474</v>
      </c>
      <c r="Q561" t="str">
        <f t="shared" si="8"/>
        <v>High Performance</v>
      </c>
      <c r="R561" s="2">
        <f>Table1_1[[#This Row],[tasks_completed]]/Table1_1[[#This Row],[monthly_hours_worked]]</f>
        <v>2.4906600249066005E-2</v>
      </c>
    </row>
    <row r="562" spans="1:18" x14ac:dyDescent="0.3">
      <c r="A562" t="s">
        <v>91</v>
      </c>
      <c r="B562" t="s">
        <v>43</v>
      </c>
      <c r="C562" t="s">
        <v>24</v>
      </c>
      <c r="D562" t="s">
        <v>39</v>
      </c>
      <c r="E562">
        <v>2</v>
      </c>
      <c r="F562">
        <v>159.9</v>
      </c>
      <c r="G562">
        <v>89.4</v>
      </c>
      <c r="H562">
        <v>4.9000000000000004</v>
      </c>
      <c r="I562">
        <v>12</v>
      </c>
      <c r="J562">
        <v>7.42</v>
      </c>
      <c r="K562">
        <v>5.01</v>
      </c>
      <c r="L562">
        <v>1</v>
      </c>
      <c r="M562" t="s">
        <v>20</v>
      </c>
      <c r="N562" t="s">
        <v>21</v>
      </c>
      <c r="O562">
        <v>9.1300000000000008</v>
      </c>
      <c r="P562" s="1">
        <v>45505</v>
      </c>
      <c r="Q562" t="str">
        <f t="shared" si="8"/>
        <v>Low Performance</v>
      </c>
      <c r="R562" s="2">
        <f>Table1_1[[#This Row],[tasks_completed]]/Table1_1[[#This Row],[monthly_hours_worked]]</f>
        <v>7.5046904315196991E-2</v>
      </c>
    </row>
    <row r="563" spans="1:18" x14ac:dyDescent="0.3">
      <c r="A563" t="s">
        <v>91</v>
      </c>
      <c r="B563" t="s">
        <v>27</v>
      </c>
      <c r="C563" t="s">
        <v>31</v>
      </c>
      <c r="D563" t="s">
        <v>29</v>
      </c>
      <c r="E563">
        <v>1</v>
      </c>
      <c r="F563">
        <v>151.5</v>
      </c>
      <c r="G563">
        <v>91.8</v>
      </c>
      <c r="H563">
        <v>6.4</v>
      </c>
      <c r="I563">
        <v>2</v>
      </c>
      <c r="J563">
        <v>6.56</v>
      </c>
      <c r="K563">
        <v>5.13</v>
      </c>
      <c r="L563">
        <v>1</v>
      </c>
      <c r="M563" t="s">
        <v>25</v>
      </c>
      <c r="N563" t="s">
        <v>35</v>
      </c>
      <c r="O563">
        <v>10.91</v>
      </c>
      <c r="P563" s="1">
        <v>45536</v>
      </c>
      <c r="Q563" t="str">
        <f t="shared" si="8"/>
        <v>Medium Performance</v>
      </c>
      <c r="R563" s="2">
        <f>Table1_1[[#This Row],[tasks_completed]]/Table1_1[[#This Row],[monthly_hours_worked]]</f>
        <v>1.3201320132013201E-2</v>
      </c>
    </row>
    <row r="564" spans="1:18" x14ac:dyDescent="0.3">
      <c r="A564" t="s">
        <v>91</v>
      </c>
      <c r="B564" t="s">
        <v>23</v>
      </c>
      <c r="C564" t="s">
        <v>31</v>
      </c>
      <c r="D564" t="s">
        <v>29</v>
      </c>
      <c r="E564">
        <v>2</v>
      </c>
      <c r="F564">
        <v>162.30000000000001</v>
      </c>
      <c r="G564">
        <v>94.9</v>
      </c>
      <c r="H564">
        <v>3.5</v>
      </c>
      <c r="I564">
        <v>9</v>
      </c>
      <c r="J564">
        <v>5.92</v>
      </c>
      <c r="K564">
        <v>1.72</v>
      </c>
      <c r="L564">
        <v>1</v>
      </c>
      <c r="M564" t="s">
        <v>34</v>
      </c>
      <c r="N564" t="s">
        <v>35</v>
      </c>
      <c r="O564">
        <v>13.74</v>
      </c>
      <c r="P564" s="1">
        <v>45566</v>
      </c>
      <c r="Q564" t="str">
        <f t="shared" si="8"/>
        <v>Medium Performance</v>
      </c>
      <c r="R564" s="2">
        <f>Table1_1[[#This Row],[tasks_completed]]/Table1_1[[#This Row],[monthly_hours_worked]]</f>
        <v>5.5452865064695003E-2</v>
      </c>
    </row>
    <row r="565" spans="1:18" x14ac:dyDescent="0.3">
      <c r="A565" t="s">
        <v>91</v>
      </c>
      <c r="B565" t="s">
        <v>43</v>
      </c>
      <c r="C565" t="s">
        <v>41</v>
      </c>
      <c r="D565" t="s">
        <v>19</v>
      </c>
      <c r="E565">
        <v>4</v>
      </c>
      <c r="F565">
        <v>154.19999999999999</v>
      </c>
      <c r="G565">
        <v>100</v>
      </c>
      <c r="H565">
        <v>9</v>
      </c>
      <c r="I565">
        <v>6</v>
      </c>
      <c r="J565">
        <v>7.52</v>
      </c>
      <c r="K565">
        <v>7.87</v>
      </c>
      <c r="L565">
        <v>1</v>
      </c>
      <c r="M565" t="s">
        <v>25</v>
      </c>
      <c r="N565" t="s">
        <v>35</v>
      </c>
      <c r="O565">
        <v>4.58</v>
      </c>
      <c r="P565" s="1">
        <v>45597</v>
      </c>
      <c r="Q565" t="str">
        <f t="shared" si="8"/>
        <v>Low Performance</v>
      </c>
      <c r="R565" s="2">
        <f>Table1_1[[#This Row],[tasks_completed]]/Table1_1[[#This Row],[monthly_hours_worked]]</f>
        <v>3.8910505836575876E-2</v>
      </c>
    </row>
    <row r="566" spans="1:18" x14ac:dyDescent="0.3">
      <c r="A566" t="s">
        <v>92</v>
      </c>
      <c r="B566" t="s">
        <v>23</v>
      </c>
      <c r="C566" t="s">
        <v>37</v>
      </c>
      <c r="D566" t="s">
        <v>29</v>
      </c>
      <c r="E566">
        <v>8</v>
      </c>
      <c r="F566">
        <v>165.6</v>
      </c>
      <c r="G566">
        <v>100</v>
      </c>
      <c r="H566">
        <v>0.3</v>
      </c>
      <c r="I566">
        <v>7</v>
      </c>
      <c r="J566">
        <v>8.57</v>
      </c>
      <c r="K566">
        <v>7.47</v>
      </c>
      <c r="L566">
        <v>0</v>
      </c>
      <c r="M566" t="s">
        <v>20</v>
      </c>
      <c r="N566" t="s">
        <v>26</v>
      </c>
      <c r="O566">
        <v>12.41</v>
      </c>
      <c r="P566" s="1">
        <v>45292</v>
      </c>
      <c r="Q566" t="str">
        <f t="shared" si="8"/>
        <v>Medium Performance</v>
      </c>
      <c r="R566" s="2">
        <f>Table1_1[[#This Row],[tasks_completed]]/Table1_1[[#This Row],[monthly_hours_worked]]</f>
        <v>4.2270531400966184E-2</v>
      </c>
    </row>
    <row r="567" spans="1:18" x14ac:dyDescent="0.3">
      <c r="A567" t="s">
        <v>92</v>
      </c>
      <c r="B567" t="s">
        <v>17</v>
      </c>
      <c r="C567" t="s">
        <v>31</v>
      </c>
      <c r="D567" t="s">
        <v>39</v>
      </c>
      <c r="E567">
        <v>3</v>
      </c>
      <c r="F567">
        <v>152.30000000000001</v>
      </c>
      <c r="G567">
        <v>100</v>
      </c>
      <c r="H567">
        <v>8.9</v>
      </c>
      <c r="I567">
        <v>8</v>
      </c>
      <c r="J567">
        <v>7.44</v>
      </c>
      <c r="K567">
        <v>6.69</v>
      </c>
      <c r="L567">
        <v>0</v>
      </c>
      <c r="M567" t="s">
        <v>25</v>
      </c>
      <c r="N567" t="s">
        <v>26</v>
      </c>
      <c r="O567">
        <v>14.44</v>
      </c>
      <c r="P567" s="1">
        <v>45292</v>
      </c>
      <c r="Q567" t="str">
        <f t="shared" si="8"/>
        <v>Medium Performance</v>
      </c>
      <c r="R567" s="2">
        <f>Table1_1[[#This Row],[tasks_completed]]/Table1_1[[#This Row],[monthly_hours_worked]]</f>
        <v>5.2527905449770186E-2</v>
      </c>
    </row>
    <row r="568" spans="1:18" x14ac:dyDescent="0.3">
      <c r="A568" t="s">
        <v>92</v>
      </c>
      <c r="B568" t="s">
        <v>23</v>
      </c>
      <c r="C568" t="s">
        <v>18</v>
      </c>
      <c r="D568" t="s">
        <v>39</v>
      </c>
      <c r="E568">
        <v>3</v>
      </c>
      <c r="F568">
        <v>152.9</v>
      </c>
      <c r="G568">
        <v>100</v>
      </c>
      <c r="H568">
        <v>6.7</v>
      </c>
      <c r="I568">
        <v>8</v>
      </c>
      <c r="J568">
        <v>6.38</v>
      </c>
      <c r="K568">
        <v>9.25</v>
      </c>
      <c r="L568">
        <v>0</v>
      </c>
      <c r="M568" t="s">
        <v>20</v>
      </c>
      <c r="N568" t="s">
        <v>26</v>
      </c>
      <c r="O568">
        <v>18.63</v>
      </c>
      <c r="P568" s="1">
        <v>45352</v>
      </c>
      <c r="Q568" t="str">
        <f t="shared" si="8"/>
        <v>High Performance</v>
      </c>
      <c r="R568" s="2">
        <f>Table1_1[[#This Row],[tasks_completed]]/Table1_1[[#This Row],[monthly_hours_worked]]</f>
        <v>5.2321778940483975E-2</v>
      </c>
    </row>
    <row r="569" spans="1:18" x14ac:dyDescent="0.3">
      <c r="A569" t="s">
        <v>92</v>
      </c>
      <c r="B569" t="s">
        <v>27</v>
      </c>
      <c r="C569" t="s">
        <v>41</v>
      </c>
      <c r="D569" t="s">
        <v>29</v>
      </c>
      <c r="E569">
        <v>5</v>
      </c>
      <c r="F569">
        <v>146.69999999999999</v>
      </c>
      <c r="G569">
        <v>99.3</v>
      </c>
      <c r="H569">
        <v>7.6</v>
      </c>
      <c r="I569">
        <v>14</v>
      </c>
      <c r="J569">
        <v>7.58</v>
      </c>
      <c r="K569">
        <v>5.27</v>
      </c>
      <c r="L569">
        <v>0</v>
      </c>
      <c r="M569" t="s">
        <v>25</v>
      </c>
      <c r="N569" t="s">
        <v>21</v>
      </c>
      <c r="O569">
        <v>16.11</v>
      </c>
      <c r="P569" s="1">
        <v>45352</v>
      </c>
      <c r="Q569" t="str">
        <f t="shared" si="8"/>
        <v>High Performance</v>
      </c>
      <c r="R569" s="2">
        <f>Table1_1[[#This Row],[tasks_completed]]/Table1_1[[#This Row],[monthly_hours_worked]]</f>
        <v>9.5432856169052491E-2</v>
      </c>
    </row>
    <row r="570" spans="1:18" x14ac:dyDescent="0.3">
      <c r="A570" t="s">
        <v>92</v>
      </c>
      <c r="B570" t="s">
        <v>27</v>
      </c>
      <c r="C570" t="s">
        <v>41</v>
      </c>
      <c r="D570" t="s">
        <v>29</v>
      </c>
      <c r="E570">
        <v>1</v>
      </c>
      <c r="F570">
        <v>172.1</v>
      </c>
      <c r="G570">
        <v>94.9</v>
      </c>
      <c r="H570">
        <v>8.3000000000000007</v>
      </c>
      <c r="I570">
        <v>4</v>
      </c>
      <c r="J570">
        <v>7.55</v>
      </c>
      <c r="K570">
        <v>5.36</v>
      </c>
      <c r="L570">
        <v>1</v>
      </c>
      <c r="M570" t="s">
        <v>20</v>
      </c>
      <c r="N570" t="s">
        <v>21</v>
      </c>
      <c r="O570">
        <v>6.67</v>
      </c>
      <c r="P570" s="1">
        <v>45383</v>
      </c>
      <c r="Q570" t="str">
        <f t="shared" si="8"/>
        <v>Low Performance</v>
      </c>
      <c r="R570" s="2">
        <f>Table1_1[[#This Row],[tasks_completed]]/Table1_1[[#This Row],[monthly_hours_worked]]</f>
        <v>2.3242300987797792E-2</v>
      </c>
    </row>
    <row r="571" spans="1:18" x14ac:dyDescent="0.3">
      <c r="A571" t="s">
        <v>92</v>
      </c>
      <c r="B571" t="s">
        <v>33</v>
      </c>
      <c r="C571" t="s">
        <v>37</v>
      </c>
      <c r="D571" t="s">
        <v>29</v>
      </c>
      <c r="E571">
        <v>9</v>
      </c>
      <c r="F571">
        <v>162.1</v>
      </c>
      <c r="G571">
        <v>99.1</v>
      </c>
      <c r="H571">
        <v>8</v>
      </c>
      <c r="I571">
        <v>7</v>
      </c>
      <c r="J571">
        <v>7.45</v>
      </c>
      <c r="K571">
        <v>4.67</v>
      </c>
      <c r="L571">
        <v>1</v>
      </c>
      <c r="M571" t="s">
        <v>25</v>
      </c>
      <c r="N571" t="s">
        <v>21</v>
      </c>
      <c r="O571">
        <v>6.82</v>
      </c>
      <c r="P571" s="1">
        <v>45413</v>
      </c>
      <c r="Q571" t="str">
        <f t="shared" si="8"/>
        <v>Low Performance</v>
      </c>
      <c r="R571" s="2">
        <f>Table1_1[[#This Row],[tasks_completed]]/Table1_1[[#This Row],[monthly_hours_worked]]</f>
        <v>4.3183220234423197E-2</v>
      </c>
    </row>
    <row r="572" spans="1:18" x14ac:dyDescent="0.3">
      <c r="A572" t="s">
        <v>92</v>
      </c>
      <c r="B572" t="s">
        <v>17</v>
      </c>
      <c r="C572" t="s">
        <v>31</v>
      </c>
      <c r="D572" t="s">
        <v>29</v>
      </c>
      <c r="E572">
        <v>9</v>
      </c>
      <c r="F572">
        <v>174</v>
      </c>
      <c r="G572">
        <v>90.9</v>
      </c>
      <c r="H572">
        <v>5.7</v>
      </c>
      <c r="I572">
        <v>9</v>
      </c>
      <c r="K572">
        <v>3.98</v>
      </c>
      <c r="L572">
        <v>0</v>
      </c>
      <c r="M572" t="s">
        <v>34</v>
      </c>
      <c r="N572" t="s">
        <v>26</v>
      </c>
      <c r="O572">
        <v>4.96</v>
      </c>
      <c r="P572" s="1">
        <v>45444</v>
      </c>
      <c r="Q572" t="str">
        <f t="shared" si="8"/>
        <v>Low Performance</v>
      </c>
      <c r="R572" s="2">
        <f>Table1_1[[#This Row],[tasks_completed]]/Table1_1[[#This Row],[monthly_hours_worked]]</f>
        <v>5.1724137931034482E-2</v>
      </c>
    </row>
    <row r="573" spans="1:18" x14ac:dyDescent="0.3">
      <c r="A573" t="s">
        <v>92</v>
      </c>
      <c r="B573" t="s">
        <v>23</v>
      </c>
      <c r="C573" t="s">
        <v>31</v>
      </c>
      <c r="D573" t="s">
        <v>29</v>
      </c>
      <c r="E573">
        <v>8</v>
      </c>
      <c r="F573">
        <v>157.5</v>
      </c>
      <c r="G573">
        <v>96.6</v>
      </c>
      <c r="H573">
        <v>4.4000000000000004</v>
      </c>
      <c r="I573">
        <v>8</v>
      </c>
      <c r="J573">
        <v>7.97</v>
      </c>
      <c r="K573">
        <v>8.14</v>
      </c>
      <c r="L573">
        <v>0</v>
      </c>
      <c r="M573" t="s">
        <v>34</v>
      </c>
      <c r="N573" t="s">
        <v>35</v>
      </c>
      <c r="O573">
        <v>17.489999999999998</v>
      </c>
      <c r="P573" s="1">
        <v>45474</v>
      </c>
      <c r="Q573" t="str">
        <f t="shared" si="8"/>
        <v>High Performance</v>
      </c>
      <c r="R573" s="2">
        <f>Table1_1[[#This Row],[tasks_completed]]/Table1_1[[#This Row],[monthly_hours_worked]]</f>
        <v>5.0793650793650794E-2</v>
      </c>
    </row>
    <row r="574" spans="1:18" x14ac:dyDescent="0.3">
      <c r="A574" t="s">
        <v>92</v>
      </c>
      <c r="B574" t="s">
        <v>33</v>
      </c>
      <c r="C574" t="s">
        <v>31</v>
      </c>
      <c r="D574" t="s">
        <v>39</v>
      </c>
      <c r="E574">
        <v>7</v>
      </c>
      <c r="F574">
        <v>168.2</v>
      </c>
      <c r="G574">
        <v>89.7</v>
      </c>
      <c r="H574">
        <v>7</v>
      </c>
      <c r="I574">
        <v>2</v>
      </c>
      <c r="J574">
        <v>7.14</v>
      </c>
      <c r="K574">
        <v>3.25</v>
      </c>
      <c r="L574">
        <v>0</v>
      </c>
      <c r="M574" t="s">
        <v>34</v>
      </c>
      <c r="N574" t="s">
        <v>26</v>
      </c>
      <c r="O574">
        <v>17.88</v>
      </c>
      <c r="P574" s="1">
        <v>45505</v>
      </c>
      <c r="Q574" t="str">
        <f t="shared" si="8"/>
        <v>High Performance</v>
      </c>
      <c r="R574" s="2">
        <f>Table1_1[[#This Row],[tasks_completed]]/Table1_1[[#This Row],[monthly_hours_worked]]</f>
        <v>1.1890606420927468E-2</v>
      </c>
    </row>
    <row r="575" spans="1:18" x14ac:dyDescent="0.3">
      <c r="A575" t="s">
        <v>92</v>
      </c>
      <c r="B575" t="s">
        <v>33</v>
      </c>
      <c r="C575" t="s">
        <v>37</v>
      </c>
      <c r="D575" t="s">
        <v>39</v>
      </c>
      <c r="E575">
        <v>4</v>
      </c>
      <c r="F575">
        <v>161.69999999999999</v>
      </c>
      <c r="G575">
        <v>96</v>
      </c>
      <c r="H575">
        <v>2.5</v>
      </c>
      <c r="I575">
        <v>4</v>
      </c>
      <c r="J575">
        <v>9.39</v>
      </c>
      <c r="K575">
        <v>8.93</v>
      </c>
      <c r="L575">
        <v>0</v>
      </c>
      <c r="M575" t="s">
        <v>20</v>
      </c>
      <c r="N575" t="s">
        <v>26</v>
      </c>
      <c r="O575">
        <v>9.6999999999999993</v>
      </c>
      <c r="P575" s="1">
        <v>45536</v>
      </c>
      <c r="Q575" t="str">
        <f t="shared" si="8"/>
        <v>Low Performance</v>
      </c>
      <c r="R575" s="2">
        <f>Table1_1[[#This Row],[tasks_completed]]/Table1_1[[#This Row],[monthly_hours_worked]]</f>
        <v>2.4737167594310452E-2</v>
      </c>
    </row>
    <row r="576" spans="1:18" x14ac:dyDescent="0.3">
      <c r="A576" t="s">
        <v>92</v>
      </c>
      <c r="B576" t="s">
        <v>43</v>
      </c>
      <c r="C576" t="s">
        <v>31</v>
      </c>
      <c r="D576" t="s">
        <v>29</v>
      </c>
      <c r="E576">
        <v>4</v>
      </c>
      <c r="F576">
        <v>155.69999999999999</v>
      </c>
      <c r="G576">
        <v>94.9</v>
      </c>
      <c r="H576">
        <v>2.7</v>
      </c>
      <c r="I576">
        <v>5</v>
      </c>
      <c r="J576">
        <v>9.0399999999999991</v>
      </c>
      <c r="K576">
        <v>7.08</v>
      </c>
      <c r="L576">
        <v>0</v>
      </c>
      <c r="M576" t="s">
        <v>34</v>
      </c>
      <c r="N576" t="s">
        <v>35</v>
      </c>
      <c r="O576">
        <v>6.27</v>
      </c>
      <c r="P576" s="1">
        <v>45566</v>
      </c>
      <c r="Q576" t="str">
        <f t="shared" si="8"/>
        <v>Low Performance</v>
      </c>
      <c r="R576" s="2">
        <f>Table1_1[[#This Row],[tasks_completed]]/Table1_1[[#This Row],[monthly_hours_worked]]</f>
        <v>3.2113037893384717E-2</v>
      </c>
    </row>
    <row r="577" spans="1:18" x14ac:dyDescent="0.3">
      <c r="A577" t="s">
        <v>92</v>
      </c>
      <c r="B577" t="s">
        <v>33</v>
      </c>
      <c r="C577" t="s">
        <v>24</v>
      </c>
      <c r="D577" t="s">
        <v>39</v>
      </c>
      <c r="E577">
        <v>9</v>
      </c>
      <c r="F577">
        <v>166.3</v>
      </c>
      <c r="G577">
        <v>93.4</v>
      </c>
      <c r="H577">
        <v>7.5</v>
      </c>
      <c r="I577">
        <v>2</v>
      </c>
      <c r="K577">
        <v>8.0399999999999991</v>
      </c>
      <c r="L577">
        <v>0</v>
      </c>
      <c r="M577" t="s">
        <v>20</v>
      </c>
      <c r="N577" t="s">
        <v>35</v>
      </c>
      <c r="O577">
        <v>7</v>
      </c>
      <c r="P577" s="1">
        <v>45597</v>
      </c>
      <c r="Q577" t="str">
        <f t="shared" si="8"/>
        <v>Low Performance</v>
      </c>
      <c r="R577" s="2">
        <f>Table1_1[[#This Row],[tasks_completed]]/Table1_1[[#This Row],[monthly_hours_worked]]</f>
        <v>1.2026458208057726E-2</v>
      </c>
    </row>
    <row r="578" spans="1:18" x14ac:dyDescent="0.3">
      <c r="A578" t="s">
        <v>93</v>
      </c>
      <c r="B578" t="s">
        <v>17</v>
      </c>
      <c r="C578" t="s">
        <v>41</v>
      </c>
      <c r="D578" t="s">
        <v>29</v>
      </c>
      <c r="E578">
        <v>9</v>
      </c>
      <c r="F578">
        <v>152.69999999999999</v>
      </c>
      <c r="G578">
        <v>99.7</v>
      </c>
      <c r="H578">
        <v>4.5</v>
      </c>
      <c r="I578">
        <v>6</v>
      </c>
      <c r="J578">
        <v>9.25</v>
      </c>
      <c r="K578">
        <v>5.18</v>
      </c>
      <c r="L578">
        <v>0</v>
      </c>
      <c r="M578" t="s">
        <v>34</v>
      </c>
      <c r="N578" t="s">
        <v>21</v>
      </c>
      <c r="O578">
        <v>18.04</v>
      </c>
      <c r="P578" s="1">
        <v>45292</v>
      </c>
      <c r="Q578" t="str">
        <f t="shared" ref="Q578:Q641" si="9">IF(O578&gt;=15, "High Performance", IF(O578&gt;=10, "Medium Performance", "Low Performance"))</f>
        <v>High Performance</v>
      </c>
      <c r="R578" s="2">
        <f>Table1_1[[#This Row],[tasks_completed]]/Table1_1[[#This Row],[monthly_hours_worked]]</f>
        <v>3.9292730844793719E-2</v>
      </c>
    </row>
    <row r="579" spans="1:18" x14ac:dyDescent="0.3">
      <c r="A579" t="s">
        <v>93</v>
      </c>
      <c r="B579" t="s">
        <v>17</v>
      </c>
      <c r="C579" t="s">
        <v>37</v>
      </c>
      <c r="D579" t="s">
        <v>19</v>
      </c>
      <c r="E579">
        <v>6</v>
      </c>
      <c r="F579">
        <v>157.5</v>
      </c>
      <c r="G579">
        <v>93.1</v>
      </c>
      <c r="H579">
        <v>4.0999999999999996</v>
      </c>
      <c r="I579">
        <v>5</v>
      </c>
      <c r="J579">
        <v>4.01</v>
      </c>
      <c r="K579">
        <v>4.9800000000000004</v>
      </c>
      <c r="L579">
        <v>0</v>
      </c>
      <c r="M579" t="s">
        <v>34</v>
      </c>
      <c r="N579" t="s">
        <v>26</v>
      </c>
      <c r="O579">
        <v>14.17</v>
      </c>
      <c r="P579" s="1">
        <v>45292</v>
      </c>
      <c r="Q579" t="str">
        <f t="shared" si="9"/>
        <v>Medium Performance</v>
      </c>
      <c r="R579" s="2">
        <f>Table1_1[[#This Row],[tasks_completed]]/Table1_1[[#This Row],[monthly_hours_worked]]</f>
        <v>3.1746031746031744E-2</v>
      </c>
    </row>
    <row r="580" spans="1:18" x14ac:dyDescent="0.3">
      <c r="A580" t="s">
        <v>93</v>
      </c>
      <c r="B580" t="s">
        <v>43</v>
      </c>
      <c r="C580" t="s">
        <v>37</v>
      </c>
      <c r="D580" t="s">
        <v>29</v>
      </c>
      <c r="E580">
        <v>10</v>
      </c>
      <c r="F580">
        <v>169.5</v>
      </c>
      <c r="G580">
        <v>93.5</v>
      </c>
      <c r="H580">
        <v>2.5</v>
      </c>
      <c r="I580">
        <v>8</v>
      </c>
      <c r="J580">
        <v>9.41</v>
      </c>
      <c r="K580">
        <v>5.92</v>
      </c>
      <c r="L580">
        <v>1</v>
      </c>
      <c r="M580" t="s">
        <v>25</v>
      </c>
      <c r="N580" t="s">
        <v>35</v>
      </c>
      <c r="O580">
        <v>3.18</v>
      </c>
      <c r="P580" s="1">
        <v>45352</v>
      </c>
      <c r="Q580" t="str">
        <f t="shared" si="9"/>
        <v>Low Performance</v>
      </c>
      <c r="R580" s="2">
        <f>Table1_1[[#This Row],[tasks_completed]]/Table1_1[[#This Row],[monthly_hours_worked]]</f>
        <v>4.71976401179941E-2</v>
      </c>
    </row>
    <row r="581" spans="1:18" x14ac:dyDescent="0.3">
      <c r="A581" t="s">
        <v>93</v>
      </c>
      <c r="B581" t="s">
        <v>23</v>
      </c>
      <c r="C581" t="s">
        <v>31</v>
      </c>
      <c r="D581" t="s">
        <v>19</v>
      </c>
      <c r="E581">
        <v>1</v>
      </c>
      <c r="F581">
        <v>156.4</v>
      </c>
      <c r="G581">
        <v>98.1</v>
      </c>
      <c r="H581">
        <v>6.7</v>
      </c>
      <c r="I581">
        <v>4</v>
      </c>
      <c r="J581">
        <v>5.23</v>
      </c>
      <c r="K581">
        <v>6.47</v>
      </c>
      <c r="L581">
        <v>0</v>
      </c>
      <c r="M581" t="s">
        <v>25</v>
      </c>
      <c r="N581" t="s">
        <v>35</v>
      </c>
      <c r="O581">
        <v>9.2100000000000009</v>
      </c>
      <c r="P581" s="1">
        <v>45352</v>
      </c>
      <c r="Q581" t="str">
        <f t="shared" si="9"/>
        <v>Low Performance</v>
      </c>
      <c r="R581" s="2">
        <f>Table1_1[[#This Row],[tasks_completed]]/Table1_1[[#This Row],[monthly_hours_worked]]</f>
        <v>2.557544757033248E-2</v>
      </c>
    </row>
    <row r="582" spans="1:18" x14ac:dyDescent="0.3">
      <c r="A582" t="s">
        <v>93</v>
      </c>
      <c r="B582" t="s">
        <v>27</v>
      </c>
      <c r="C582" t="s">
        <v>37</v>
      </c>
      <c r="D582" t="s">
        <v>39</v>
      </c>
      <c r="E582">
        <v>8</v>
      </c>
      <c r="F582">
        <v>151.69999999999999</v>
      </c>
      <c r="G582">
        <v>97.6</v>
      </c>
      <c r="H582">
        <v>5.5</v>
      </c>
      <c r="I582">
        <v>5</v>
      </c>
      <c r="J582">
        <v>9.32</v>
      </c>
      <c r="K582">
        <v>8.26</v>
      </c>
      <c r="L582">
        <v>0</v>
      </c>
      <c r="M582" t="s">
        <v>20</v>
      </c>
      <c r="N582" t="s">
        <v>26</v>
      </c>
      <c r="O582">
        <v>14.67</v>
      </c>
      <c r="P582" s="1">
        <v>45383</v>
      </c>
      <c r="Q582" t="str">
        <f t="shared" si="9"/>
        <v>Medium Performance</v>
      </c>
      <c r="R582" s="2">
        <f>Table1_1[[#This Row],[tasks_completed]]/Table1_1[[#This Row],[monthly_hours_worked]]</f>
        <v>3.2959789057350038E-2</v>
      </c>
    </row>
    <row r="583" spans="1:18" x14ac:dyDescent="0.3">
      <c r="A583" t="s">
        <v>93</v>
      </c>
      <c r="B583" t="s">
        <v>43</v>
      </c>
      <c r="C583" t="s">
        <v>31</v>
      </c>
      <c r="D583" t="s">
        <v>29</v>
      </c>
      <c r="E583">
        <v>2</v>
      </c>
      <c r="F583">
        <v>160.9</v>
      </c>
      <c r="G583">
        <v>92.5</v>
      </c>
      <c r="H583">
        <v>4.0999999999999996</v>
      </c>
      <c r="I583">
        <v>5</v>
      </c>
      <c r="J583">
        <v>6.31</v>
      </c>
      <c r="K583">
        <v>6.87</v>
      </c>
      <c r="L583">
        <v>2</v>
      </c>
      <c r="M583" t="s">
        <v>34</v>
      </c>
      <c r="N583" t="s">
        <v>35</v>
      </c>
      <c r="O583">
        <v>4.33</v>
      </c>
      <c r="P583" s="1">
        <v>45413</v>
      </c>
      <c r="Q583" t="str">
        <f t="shared" si="9"/>
        <v>Low Performance</v>
      </c>
      <c r="R583" s="2">
        <f>Table1_1[[#This Row],[tasks_completed]]/Table1_1[[#This Row],[monthly_hours_worked]]</f>
        <v>3.1075201988812928E-2</v>
      </c>
    </row>
    <row r="584" spans="1:18" x14ac:dyDescent="0.3">
      <c r="A584" t="s">
        <v>93</v>
      </c>
      <c r="B584" t="s">
        <v>23</v>
      </c>
      <c r="C584" t="s">
        <v>24</v>
      </c>
      <c r="D584" t="s">
        <v>19</v>
      </c>
      <c r="E584">
        <v>6</v>
      </c>
      <c r="F584">
        <v>159.30000000000001</v>
      </c>
      <c r="G584">
        <v>91</v>
      </c>
      <c r="H584">
        <v>7</v>
      </c>
      <c r="I584">
        <v>5</v>
      </c>
      <c r="J584">
        <v>6.89</v>
      </c>
      <c r="K584">
        <v>5.94</v>
      </c>
      <c r="L584">
        <v>0</v>
      </c>
      <c r="M584" t="s">
        <v>34</v>
      </c>
      <c r="N584" t="s">
        <v>35</v>
      </c>
      <c r="O584">
        <v>7.65</v>
      </c>
      <c r="P584" s="1">
        <v>45444</v>
      </c>
      <c r="Q584" t="str">
        <f t="shared" si="9"/>
        <v>Low Performance</v>
      </c>
      <c r="R584" s="2">
        <f>Table1_1[[#This Row],[tasks_completed]]/Table1_1[[#This Row],[monthly_hours_worked]]</f>
        <v>3.1387319522912738E-2</v>
      </c>
    </row>
    <row r="585" spans="1:18" x14ac:dyDescent="0.3">
      <c r="A585" t="s">
        <v>93</v>
      </c>
      <c r="B585" t="s">
        <v>23</v>
      </c>
      <c r="C585" t="s">
        <v>41</v>
      </c>
      <c r="D585" t="s">
        <v>19</v>
      </c>
      <c r="E585">
        <v>2</v>
      </c>
      <c r="F585">
        <v>158.80000000000001</v>
      </c>
      <c r="G585">
        <v>92.5</v>
      </c>
      <c r="H585">
        <v>2.4</v>
      </c>
      <c r="I585">
        <v>6</v>
      </c>
      <c r="J585">
        <v>4.1900000000000004</v>
      </c>
      <c r="K585">
        <v>4.32</v>
      </c>
      <c r="L585">
        <v>0</v>
      </c>
      <c r="M585" t="s">
        <v>25</v>
      </c>
      <c r="N585" t="s">
        <v>26</v>
      </c>
      <c r="O585">
        <v>16.32</v>
      </c>
      <c r="P585" s="1">
        <v>45474</v>
      </c>
      <c r="Q585" t="str">
        <f t="shared" si="9"/>
        <v>High Performance</v>
      </c>
      <c r="R585" s="2">
        <f>Table1_1[[#This Row],[tasks_completed]]/Table1_1[[#This Row],[monthly_hours_worked]]</f>
        <v>3.7783375314861457E-2</v>
      </c>
    </row>
    <row r="586" spans="1:18" x14ac:dyDescent="0.3">
      <c r="A586" t="s">
        <v>93</v>
      </c>
      <c r="B586" t="s">
        <v>17</v>
      </c>
      <c r="C586" t="s">
        <v>18</v>
      </c>
      <c r="D586" t="s">
        <v>19</v>
      </c>
      <c r="E586">
        <v>2</v>
      </c>
      <c r="F586">
        <v>171.8</v>
      </c>
      <c r="G586">
        <v>96.5</v>
      </c>
      <c r="H586">
        <v>5.4</v>
      </c>
      <c r="I586">
        <v>8</v>
      </c>
      <c r="J586">
        <v>6.8</v>
      </c>
      <c r="K586">
        <v>3.93</v>
      </c>
      <c r="L586">
        <v>1</v>
      </c>
      <c r="M586" t="s">
        <v>25</v>
      </c>
      <c r="N586" t="s">
        <v>21</v>
      </c>
      <c r="O586">
        <v>7.86</v>
      </c>
      <c r="P586" s="1">
        <v>45505</v>
      </c>
      <c r="Q586" t="str">
        <f t="shared" si="9"/>
        <v>Low Performance</v>
      </c>
      <c r="R586" s="2">
        <f>Table1_1[[#This Row],[tasks_completed]]/Table1_1[[#This Row],[monthly_hours_worked]]</f>
        <v>4.6565774155995339E-2</v>
      </c>
    </row>
    <row r="587" spans="1:18" x14ac:dyDescent="0.3">
      <c r="A587" t="s">
        <v>93</v>
      </c>
      <c r="B587" t="s">
        <v>43</v>
      </c>
      <c r="C587" t="s">
        <v>24</v>
      </c>
      <c r="D587" t="s">
        <v>19</v>
      </c>
      <c r="E587">
        <v>1</v>
      </c>
      <c r="F587">
        <v>153.4</v>
      </c>
      <c r="G587">
        <v>92.6</v>
      </c>
      <c r="H587">
        <v>4.8</v>
      </c>
      <c r="I587">
        <v>2</v>
      </c>
      <c r="J587">
        <v>8.32</v>
      </c>
      <c r="K587">
        <v>5.58</v>
      </c>
      <c r="L587">
        <v>0</v>
      </c>
      <c r="M587" t="s">
        <v>25</v>
      </c>
      <c r="N587" t="s">
        <v>21</v>
      </c>
      <c r="O587">
        <v>11.62</v>
      </c>
      <c r="P587" s="1">
        <v>45536</v>
      </c>
      <c r="Q587" t="str">
        <f t="shared" si="9"/>
        <v>Medium Performance</v>
      </c>
      <c r="R587" s="2">
        <f>Table1_1[[#This Row],[tasks_completed]]/Table1_1[[#This Row],[monthly_hours_worked]]</f>
        <v>1.3037809647979138E-2</v>
      </c>
    </row>
    <row r="588" spans="1:18" x14ac:dyDescent="0.3">
      <c r="A588" t="s">
        <v>93</v>
      </c>
      <c r="B588" t="s">
        <v>23</v>
      </c>
      <c r="C588" t="s">
        <v>18</v>
      </c>
      <c r="D588" t="s">
        <v>29</v>
      </c>
      <c r="E588">
        <v>4</v>
      </c>
      <c r="F588">
        <v>171.8</v>
      </c>
      <c r="G588">
        <v>92.1</v>
      </c>
      <c r="H588">
        <v>2.8</v>
      </c>
      <c r="I588">
        <v>6</v>
      </c>
      <c r="J588">
        <v>7.54</v>
      </c>
      <c r="K588">
        <v>6.49</v>
      </c>
      <c r="L588">
        <v>1</v>
      </c>
      <c r="M588" t="s">
        <v>34</v>
      </c>
      <c r="N588" t="s">
        <v>35</v>
      </c>
      <c r="O588">
        <v>12.72</v>
      </c>
      <c r="P588" s="1">
        <v>45566</v>
      </c>
      <c r="Q588" t="str">
        <f t="shared" si="9"/>
        <v>Medium Performance</v>
      </c>
      <c r="R588" s="2">
        <f>Table1_1[[#This Row],[tasks_completed]]/Table1_1[[#This Row],[monthly_hours_worked]]</f>
        <v>3.4924330616996506E-2</v>
      </c>
    </row>
    <row r="589" spans="1:18" x14ac:dyDescent="0.3">
      <c r="A589" t="s">
        <v>93</v>
      </c>
      <c r="B589" t="s">
        <v>33</v>
      </c>
      <c r="C589" t="s">
        <v>18</v>
      </c>
      <c r="D589" t="s">
        <v>19</v>
      </c>
      <c r="E589">
        <v>6</v>
      </c>
      <c r="F589">
        <v>161.19999999999999</v>
      </c>
      <c r="G589">
        <v>93.1</v>
      </c>
      <c r="H589">
        <v>6.3</v>
      </c>
      <c r="I589">
        <v>6</v>
      </c>
      <c r="J589">
        <v>8.34</v>
      </c>
      <c r="K589">
        <v>7.79</v>
      </c>
      <c r="L589">
        <v>1</v>
      </c>
      <c r="M589" t="s">
        <v>34</v>
      </c>
      <c r="N589" t="s">
        <v>26</v>
      </c>
      <c r="O589">
        <v>14.71</v>
      </c>
      <c r="P589" s="1">
        <v>45597</v>
      </c>
      <c r="Q589" t="str">
        <f t="shared" si="9"/>
        <v>Medium Performance</v>
      </c>
      <c r="R589" s="2">
        <f>Table1_1[[#This Row],[tasks_completed]]/Table1_1[[#This Row],[monthly_hours_worked]]</f>
        <v>3.722084367245658E-2</v>
      </c>
    </row>
    <row r="590" spans="1:18" x14ac:dyDescent="0.3">
      <c r="A590" t="s">
        <v>94</v>
      </c>
      <c r="B590" t="s">
        <v>27</v>
      </c>
      <c r="C590" t="s">
        <v>31</v>
      </c>
      <c r="D590" t="s">
        <v>19</v>
      </c>
      <c r="E590">
        <v>7</v>
      </c>
      <c r="F590">
        <v>143.6</v>
      </c>
      <c r="G590">
        <v>92.1</v>
      </c>
      <c r="H590">
        <v>6.7</v>
      </c>
      <c r="I590">
        <v>11</v>
      </c>
      <c r="J590">
        <v>7.41</v>
      </c>
      <c r="K590">
        <v>9.5299999999999994</v>
      </c>
      <c r="L590">
        <v>1</v>
      </c>
      <c r="M590" t="s">
        <v>20</v>
      </c>
      <c r="N590" t="s">
        <v>21</v>
      </c>
      <c r="O590">
        <v>17.12</v>
      </c>
      <c r="P590" s="1">
        <v>45292</v>
      </c>
      <c r="Q590" t="str">
        <f t="shared" si="9"/>
        <v>High Performance</v>
      </c>
      <c r="R590" s="2">
        <f>Table1_1[[#This Row],[tasks_completed]]/Table1_1[[#This Row],[monthly_hours_worked]]</f>
        <v>7.660167130919221E-2</v>
      </c>
    </row>
    <row r="591" spans="1:18" x14ac:dyDescent="0.3">
      <c r="A591" t="s">
        <v>94</v>
      </c>
      <c r="B591" t="s">
        <v>17</v>
      </c>
      <c r="C591" t="s">
        <v>41</v>
      </c>
      <c r="D591" t="s">
        <v>19</v>
      </c>
      <c r="E591">
        <v>8</v>
      </c>
      <c r="F591">
        <v>139.69999999999999</v>
      </c>
      <c r="G591">
        <v>95.1</v>
      </c>
      <c r="H591">
        <v>4.4000000000000004</v>
      </c>
      <c r="I591">
        <v>6</v>
      </c>
      <c r="J591">
        <v>6.07</v>
      </c>
      <c r="K591">
        <v>5.39</v>
      </c>
      <c r="L591">
        <v>0</v>
      </c>
      <c r="M591" t="s">
        <v>20</v>
      </c>
      <c r="N591" t="s">
        <v>21</v>
      </c>
      <c r="O591">
        <v>9.6</v>
      </c>
      <c r="P591" s="1">
        <v>45292</v>
      </c>
      <c r="Q591" t="str">
        <f t="shared" si="9"/>
        <v>Low Performance</v>
      </c>
      <c r="R591" s="2">
        <f>Table1_1[[#This Row],[tasks_completed]]/Table1_1[[#This Row],[monthly_hours_worked]]</f>
        <v>4.2949176807444527E-2</v>
      </c>
    </row>
    <row r="592" spans="1:18" x14ac:dyDescent="0.3">
      <c r="A592" t="s">
        <v>94</v>
      </c>
      <c r="B592" t="s">
        <v>17</v>
      </c>
      <c r="C592" t="s">
        <v>41</v>
      </c>
      <c r="D592" t="s">
        <v>19</v>
      </c>
      <c r="E592">
        <v>10</v>
      </c>
      <c r="F592">
        <v>167.9</v>
      </c>
      <c r="G592">
        <v>93.8</v>
      </c>
      <c r="H592">
        <v>3.7</v>
      </c>
      <c r="I592">
        <v>4</v>
      </c>
      <c r="J592">
        <v>5.21</v>
      </c>
      <c r="K592">
        <v>10</v>
      </c>
      <c r="L592">
        <v>0</v>
      </c>
      <c r="M592" t="s">
        <v>20</v>
      </c>
      <c r="N592" t="s">
        <v>26</v>
      </c>
      <c r="O592">
        <v>4.38</v>
      </c>
      <c r="P592" s="1">
        <v>45352</v>
      </c>
      <c r="Q592" t="str">
        <f t="shared" si="9"/>
        <v>Low Performance</v>
      </c>
      <c r="R592" s="2">
        <f>Table1_1[[#This Row],[tasks_completed]]/Table1_1[[#This Row],[monthly_hours_worked]]</f>
        <v>2.3823704586063133E-2</v>
      </c>
    </row>
    <row r="593" spans="1:18" x14ac:dyDescent="0.3">
      <c r="A593" t="s">
        <v>94</v>
      </c>
      <c r="B593" t="s">
        <v>33</v>
      </c>
      <c r="C593" t="s">
        <v>18</v>
      </c>
      <c r="D593" t="s">
        <v>19</v>
      </c>
      <c r="E593">
        <v>3</v>
      </c>
      <c r="F593">
        <v>178.5</v>
      </c>
      <c r="G593">
        <v>92.9</v>
      </c>
      <c r="I593">
        <v>6</v>
      </c>
      <c r="J593">
        <v>6.96</v>
      </c>
      <c r="K593">
        <v>7.44</v>
      </c>
      <c r="L593">
        <v>0</v>
      </c>
      <c r="M593" t="s">
        <v>34</v>
      </c>
      <c r="N593" t="s">
        <v>26</v>
      </c>
      <c r="O593">
        <v>19.57</v>
      </c>
      <c r="P593" s="1">
        <v>45352</v>
      </c>
      <c r="Q593" t="str">
        <f t="shared" si="9"/>
        <v>High Performance</v>
      </c>
      <c r="R593" s="2">
        <f>Table1_1[[#This Row],[tasks_completed]]/Table1_1[[#This Row],[monthly_hours_worked]]</f>
        <v>3.3613445378151259E-2</v>
      </c>
    </row>
    <row r="594" spans="1:18" x14ac:dyDescent="0.3">
      <c r="A594" t="s">
        <v>94</v>
      </c>
      <c r="B594" t="s">
        <v>43</v>
      </c>
      <c r="C594" t="s">
        <v>24</v>
      </c>
      <c r="D594" t="s">
        <v>29</v>
      </c>
      <c r="E594">
        <v>2</v>
      </c>
      <c r="F594">
        <v>144.69999999999999</v>
      </c>
      <c r="G594">
        <v>92.3</v>
      </c>
      <c r="H594">
        <v>5.6</v>
      </c>
      <c r="I594">
        <v>6</v>
      </c>
      <c r="J594">
        <v>6.36</v>
      </c>
      <c r="K594">
        <v>5.8</v>
      </c>
      <c r="L594">
        <v>0</v>
      </c>
      <c r="M594" t="s">
        <v>25</v>
      </c>
      <c r="N594" t="s">
        <v>26</v>
      </c>
      <c r="O594">
        <v>9.99</v>
      </c>
      <c r="P594" s="1">
        <v>45383</v>
      </c>
      <c r="Q594" t="str">
        <f t="shared" si="9"/>
        <v>Low Performance</v>
      </c>
      <c r="R594" s="2">
        <f>Table1_1[[#This Row],[tasks_completed]]/Table1_1[[#This Row],[monthly_hours_worked]]</f>
        <v>4.1465100207325502E-2</v>
      </c>
    </row>
    <row r="595" spans="1:18" x14ac:dyDescent="0.3">
      <c r="A595" t="s">
        <v>94</v>
      </c>
      <c r="B595" t="s">
        <v>23</v>
      </c>
      <c r="C595" t="s">
        <v>24</v>
      </c>
      <c r="D595" t="s">
        <v>29</v>
      </c>
      <c r="E595">
        <v>8</v>
      </c>
      <c r="F595">
        <v>154.30000000000001</v>
      </c>
      <c r="G595">
        <v>100</v>
      </c>
      <c r="H595">
        <v>0.9</v>
      </c>
      <c r="I595">
        <v>6</v>
      </c>
      <c r="J595">
        <v>6.48</v>
      </c>
      <c r="K595">
        <v>5.6</v>
      </c>
      <c r="L595">
        <v>0</v>
      </c>
      <c r="M595" t="s">
        <v>34</v>
      </c>
      <c r="N595" t="s">
        <v>26</v>
      </c>
      <c r="O595">
        <v>9.1199999999999992</v>
      </c>
      <c r="P595" s="1">
        <v>45413</v>
      </c>
      <c r="Q595" t="str">
        <f t="shared" si="9"/>
        <v>Low Performance</v>
      </c>
      <c r="R595" s="2">
        <f>Table1_1[[#This Row],[tasks_completed]]/Table1_1[[#This Row],[monthly_hours_worked]]</f>
        <v>3.8885288399222291E-2</v>
      </c>
    </row>
    <row r="596" spans="1:18" x14ac:dyDescent="0.3">
      <c r="A596" t="s">
        <v>94</v>
      </c>
      <c r="B596" t="s">
        <v>33</v>
      </c>
      <c r="C596" t="s">
        <v>37</v>
      </c>
      <c r="D596" t="s">
        <v>39</v>
      </c>
      <c r="E596">
        <v>10</v>
      </c>
      <c r="F596">
        <v>169.9</v>
      </c>
      <c r="G596">
        <v>99.5</v>
      </c>
      <c r="H596">
        <v>4</v>
      </c>
      <c r="I596">
        <v>3</v>
      </c>
      <c r="J596">
        <v>8.31</v>
      </c>
      <c r="K596">
        <v>9.99</v>
      </c>
      <c r="L596">
        <v>1</v>
      </c>
      <c r="M596" t="s">
        <v>20</v>
      </c>
      <c r="N596" t="s">
        <v>21</v>
      </c>
      <c r="O596">
        <v>13.4</v>
      </c>
      <c r="P596" s="1">
        <v>45444</v>
      </c>
      <c r="Q596" t="str">
        <f t="shared" si="9"/>
        <v>Medium Performance</v>
      </c>
      <c r="R596" s="2">
        <f>Table1_1[[#This Row],[tasks_completed]]/Table1_1[[#This Row],[monthly_hours_worked]]</f>
        <v>1.7657445556209534E-2</v>
      </c>
    </row>
    <row r="597" spans="1:18" x14ac:dyDescent="0.3">
      <c r="A597" t="s">
        <v>94</v>
      </c>
      <c r="B597" t="s">
        <v>33</v>
      </c>
      <c r="C597" t="s">
        <v>31</v>
      </c>
      <c r="D597" t="s">
        <v>39</v>
      </c>
      <c r="E597">
        <v>2</v>
      </c>
      <c r="F597">
        <v>160.80000000000001</v>
      </c>
      <c r="G597">
        <v>100</v>
      </c>
      <c r="H597">
        <v>2.2000000000000002</v>
      </c>
      <c r="I597">
        <v>12</v>
      </c>
      <c r="J597">
        <v>9.93</v>
      </c>
      <c r="K597">
        <v>7.77</v>
      </c>
      <c r="L597">
        <v>2</v>
      </c>
      <c r="M597" t="s">
        <v>34</v>
      </c>
      <c r="N597" t="s">
        <v>21</v>
      </c>
      <c r="O597">
        <v>22.51</v>
      </c>
      <c r="P597" s="1">
        <v>45474</v>
      </c>
      <c r="Q597" t="str">
        <f t="shared" si="9"/>
        <v>High Performance</v>
      </c>
      <c r="R597" s="2">
        <f>Table1_1[[#This Row],[tasks_completed]]/Table1_1[[#This Row],[monthly_hours_worked]]</f>
        <v>7.4626865671641784E-2</v>
      </c>
    </row>
    <row r="598" spans="1:18" x14ac:dyDescent="0.3">
      <c r="A598" t="s">
        <v>94</v>
      </c>
      <c r="B598" t="s">
        <v>23</v>
      </c>
      <c r="C598" t="s">
        <v>37</v>
      </c>
      <c r="D598" t="s">
        <v>19</v>
      </c>
      <c r="E598">
        <v>3</v>
      </c>
      <c r="F598">
        <v>163.30000000000001</v>
      </c>
      <c r="G598">
        <v>88.3</v>
      </c>
      <c r="H598">
        <v>4.5</v>
      </c>
      <c r="I598">
        <v>7</v>
      </c>
      <c r="J598">
        <v>8</v>
      </c>
      <c r="K598">
        <v>6.66</v>
      </c>
      <c r="L598">
        <v>0</v>
      </c>
      <c r="M598" t="s">
        <v>25</v>
      </c>
      <c r="N598" t="s">
        <v>26</v>
      </c>
      <c r="O598">
        <v>20.22</v>
      </c>
      <c r="P598" s="1">
        <v>45505</v>
      </c>
      <c r="Q598" t="str">
        <f t="shared" si="9"/>
        <v>High Performance</v>
      </c>
      <c r="R598" s="2">
        <f>Table1_1[[#This Row],[tasks_completed]]/Table1_1[[#This Row],[monthly_hours_worked]]</f>
        <v>4.2865890998162889E-2</v>
      </c>
    </row>
    <row r="599" spans="1:18" x14ac:dyDescent="0.3">
      <c r="A599" t="s">
        <v>94</v>
      </c>
      <c r="B599" t="s">
        <v>17</v>
      </c>
      <c r="C599" t="s">
        <v>18</v>
      </c>
      <c r="D599" t="s">
        <v>39</v>
      </c>
      <c r="E599">
        <v>7</v>
      </c>
      <c r="F599">
        <v>159.1</v>
      </c>
      <c r="G599">
        <v>92.7</v>
      </c>
      <c r="H599">
        <v>4.8</v>
      </c>
      <c r="I599">
        <v>3</v>
      </c>
      <c r="J599">
        <v>6.69</v>
      </c>
      <c r="K599">
        <v>7.18</v>
      </c>
      <c r="L599">
        <v>0</v>
      </c>
      <c r="M599" t="s">
        <v>20</v>
      </c>
      <c r="N599" t="s">
        <v>35</v>
      </c>
      <c r="O599">
        <v>12.08</v>
      </c>
      <c r="P599" s="1">
        <v>45536</v>
      </c>
      <c r="Q599" t="str">
        <f t="shared" si="9"/>
        <v>Medium Performance</v>
      </c>
      <c r="R599" s="2">
        <f>Table1_1[[#This Row],[tasks_completed]]/Table1_1[[#This Row],[monthly_hours_worked]]</f>
        <v>1.8856065367693277E-2</v>
      </c>
    </row>
    <row r="600" spans="1:18" x14ac:dyDescent="0.3">
      <c r="A600" t="s">
        <v>94</v>
      </c>
      <c r="B600" t="s">
        <v>27</v>
      </c>
      <c r="C600" t="s">
        <v>31</v>
      </c>
      <c r="D600" t="s">
        <v>29</v>
      </c>
      <c r="E600">
        <v>9</v>
      </c>
      <c r="F600">
        <v>187.1</v>
      </c>
      <c r="G600">
        <v>97.6</v>
      </c>
      <c r="H600">
        <v>5.4</v>
      </c>
      <c r="I600">
        <v>7</v>
      </c>
      <c r="J600">
        <v>8.42</v>
      </c>
      <c r="K600">
        <v>8.4600000000000009</v>
      </c>
      <c r="L600">
        <v>2</v>
      </c>
      <c r="M600" t="s">
        <v>34</v>
      </c>
      <c r="N600" t="s">
        <v>21</v>
      </c>
      <c r="O600">
        <v>21.64</v>
      </c>
      <c r="P600" s="1">
        <v>45566</v>
      </c>
      <c r="Q600" t="str">
        <f t="shared" si="9"/>
        <v>High Performance</v>
      </c>
      <c r="R600" s="2">
        <f>Table1_1[[#This Row],[tasks_completed]]/Table1_1[[#This Row],[monthly_hours_worked]]</f>
        <v>3.741314804917157E-2</v>
      </c>
    </row>
    <row r="601" spans="1:18" x14ac:dyDescent="0.3">
      <c r="A601" t="s">
        <v>94</v>
      </c>
      <c r="B601" t="s">
        <v>23</v>
      </c>
      <c r="C601" t="s">
        <v>18</v>
      </c>
      <c r="D601" t="s">
        <v>39</v>
      </c>
      <c r="E601">
        <v>9</v>
      </c>
      <c r="F601">
        <v>168.1</v>
      </c>
      <c r="G601">
        <v>91.4</v>
      </c>
      <c r="H601">
        <v>5.0999999999999996</v>
      </c>
      <c r="I601">
        <v>7</v>
      </c>
      <c r="J601">
        <v>7.69</v>
      </c>
      <c r="K601">
        <v>9.94</v>
      </c>
      <c r="L601">
        <v>0</v>
      </c>
      <c r="M601" t="s">
        <v>20</v>
      </c>
      <c r="N601" t="s">
        <v>26</v>
      </c>
      <c r="O601">
        <v>13.99</v>
      </c>
      <c r="P601" s="1">
        <v>45597</v>
      </c>
      <c r="Q601" t="str">
        <f t="shared" si="9"/>
        <v>Medium Performance</v>
      </c>
      <c r="R601" s="2">
        <f>Table1_1[[#This Row],[tasks_completed]]/Table1_1[[#This Row],[monthly_hours_worked]]</f>
        <v>4.1641879833432482E-2</v>
      </c>
    </row>
    <row r="602" spans="1:18" x14ac:dyDescent="0.3">
      <c r="A602" t="s">
        <v>95</v>
      </c>
      <c r="B602" t="s">
        <v>33</v>
      </c>
      <c r="C602" t="s">
        <v>41</v>
      </c>
      <c r="D602" t="s">
        <v>29</v>
      </c>
      <c r="E602">
        <v>9</v>
      </c>
      <c r="F602">
        <v>166.9</v>
      </c>
      <c r="G602">
        <v>100</v>
      </c>
      <c r="H602">
        <v>6.8</v>
      </c>
      <c r="I602">
        <v>3</v>
      </c>
      <c r="J602">
        <v>7.19</v>
      </c>
      <c r="K602">
        <v>6.42</v>
      </c>
      <c r="L602">
        <v>1</v>
      </c>
      <c r="M602" t="s">
        <v>34</v>
      </c>
      <c r="N602" t="s">
        <v>21</v>
      </c>
      <c r="O602">
        <v>15.99</v>
      </c>
      <c r="P602" s="1">
        <v>45292</v>
      </c>
      <c r="Q602" t="str">
        <f t="shared" si="9"/>
        <v>High Performance</v>
      </c>
      <c r="R602" s="2">
        <f>Table1_1[[#This Row],[tasks_completed]]/Table1_1[[#This Row],[monthly_hours_worked]]</f>
        <v>1.7974835230677052E-2</v>
      </c>
    </row>
    <row r="603" spans="1:18" x14ac:dyDescent="0.3">
      <c r="A603" t="s">
        <v>95</v>
      </c>
      <c r="B603" t="s">
        <v>23</v>
      </c>
      <c r="C603" t="s">
        <v>24</v>
      </c>
      <c r="D603" t="s">
        <v>19</v>
      </c>
      <c r="E603">
        <v>3</v>
      </c>
      <c r="F603">
        <v>155.69999999999999</v>
      </c>
      <c r="G603">
        <v>100</v>
      </c>
      <c r="H603">
        <v>6.1</v>
      </c>
      <c r="I603">
        <v>4</v>
      </c>
      <c r="J603">
        <v>8.93</v>
      </c>
      <c r="K603">
        <v>10</v>
      </c>
      <c r="L603">
        <v>1</v>
      </c>
      <c r="M603" t="s">
        <v>34</v>
      </c>
      <c r="N603" t="s">
        <v>35</v>
      </c>
      <c r="O603">
        <v>15.4</v>
      </c>
      <c r="P603" s="1">
        <v>45292</v>
      </c>
      <c r="Q603" t="str">
        <f t="shared" si="9"/>
        <v>High Performance</v>
      </c>
      <c r="R603" s="2">
        <f>Table1_1[[#This Row],[tasks_completed]]/Table1_1[[#This Row],[monthly_hours_worked]]</f>
        <v>2.5690430314707774E-2</v>
      </c>
    </row>
    <row r="604" spans="1:18" x14ac:dyDescent="0.3">
      <c r="A604" t="s">
        <v>95</v>
      </c>
      <c r="B604" t="s">
        <v>33</v>
      </c>
      <c r="C604" t="s">
        <v>18</v>
      </c>
      <c r="D604" t="s">
        <v>29</v>
      </c>
      <c r="E604">
        <v>6</v>
      </c>
      <c r="F604">
        <v>159.5</v>
      </c>
      <c r="G604">
        <v>100</v>
      </c>
      <c r="H604">
        <v>3.1</v>
      </c>
      <c r="I604">
        <v>8</v>
      </c>
      <c r="J604">
        <v>6.83</v>
      </c>
      <c r="K604">
        <v>8.94</v>
      </c>
      <c r="L604">
        <v>0</v>
      </c>
      <c r="M604" t="s">
        <v>34</v>
      </c>
      <c r="N604" t="s">
        <v>35</v>
      </c>
      <c r="O604">
        <v>10.76</v>
      </c>
      <c r="P604" s="1">
        <v>45352</v>
      </c>
      <c r="Q604" t="str">
        <f t="shared" si="9"/>
        <v>Medium Performance</v>
      </c>
      <c r="R604" s="2">
        <f>Table1_1[[#This Row],[tasks_completed]]/Table1_1[[#This Row],[monthly_hours_worked]]</f>
        <v>5.0156739811912224E-2</v>
      </c>
    </row>
    <row r="605" spans="1:18" x14ac:dyDescent="0.3">
      <c r="A605" t="s">
        <v>95</v>
      </c>
      <c r="B605" t="s">
        <v>27</v>
      </c>
      <c r="C605" t="s">
        <v>41</v>
      </c>
      <c r="D605" t="s">
        <v>19</v>
      </c>
      <c r="E605">
        <v>9</v>
      </c>
      <c r="F605">
        <v>151.69999999999999</v>
      </c>
      <c r="G605">
        <v>91.6</v>
      </c>
      <c r="H605">
        <v>3.4</v>
      </c>
      <c r="I605">
        <v>5</v>
      </c>
      <c r="J605">
        <v>7.79</v>
      </c>
      <c r="K605">
        <v>8.15</v>
      </c>
      <c r="L605">
        <v>0</v>
      </c>
      <c r="M605" t="s">
        <v>25</v>
      </c>
      <c r="N605" t="s">
        <v>21</v>
      </c>
      <c r="O605">
        <v>12.45</v>
      </c>
      <c r="P605" s="1">
        <v>45352</v>
      </c>
      <c r="Q605" t="str">
        <f t="shared" si="9"/>
        <v>Medium Performance</v>
      </c>
      <c r="R605" s="2">
        <f>Table1_1[[#This Row],[tasks_completed]]/Table1_1[[#This Row],[monthly_hours_worked]]</f>
        <v>3.2959789057350038E-2</v>
      </c>
    </row>
    <row r="606" spans="1:18" x14ac:dyDescent="0.3">
      <c r="A606" t="s">
        <v>95</v>
      </c>
      <c r="B606" t="s">
        <v>33</v>
      </c>
      <c r="C606" t="s">
        <v>18</v>
      </c>
      <c r="D606" t="s">
        <v>29</v>
      </c>
      <c r="E606">
        <v>10</v>
      </c>
      <c r="F606">
        <v>151.69999999999999</v>
      </c>
      <c r="G606">
        <v>92.1</v>
      </c>
      <c r="H606">
        <v>2.1</v>
      </c>
      <c r="I606">
        <v>11</v>
      </c>
      <c r="J606">
        <v>7.9</v>
      </c>
      <c r="K606">
        <v>8.41</v>
      </c>
      <c r="L606">
        <v>0</v>
      </c>
      <c r="M606" t="s">
        <v>34</v>
      </c>
      <c r="N606" t="s">
        <v>21</v>
      </c>
      <c r="O606">
        <v>13.84</v>
      </c>
      <c r="P606" s="1">
        <v>45383</v>
      </c>
      <c r="Q606" t="str">
        <f t="shared" si="9"/>
        <v>Medium Performance</v>
      </c>
      <c r="R606" s="2">
        <f>Table1_1[[#This Row],[tasks_completed]]/Table1_1[[#This Row],[monthly_hours_worked]]</f>
        <v>7.2511535926170073E-2</v>
      </c>
    </row>
    <row r="607" spans="1:18" x14ac:dyDescent="0.3">
      <c r="A607" t="s">
        <v>95</v>
      </c>
      <c r="B607" t="s">
        <v>43</v>
      </c>
      <c r="C607" t="s">
        <v>18</v>
      </c>
      <c r="D607" t="s">
        <v>39</v>
      </c>
      <c r="E607">
        <v>3</v>
      </c>
      <c r="F607">
        <v>166.4</v>
      </c>
      <c r="G607">
        <v>93.6</v>
      </c>
      <c r="H607">
        <v>5.4</v>
      </c>
      <c r="I607">
        <v>4</v>
      </c>
      <c r="J607">
        <v>6.26</v>
      </c>
      <c r="K607">
        <v>3.64</v>
      </c>
      <c r="L607">
        <v>1</v>
      </c>
      <c r="M607" t="s">
        <v>25</v>
      </c>
      <c r="N607" t="s">
        <v>26</v>
      </c>
      <c r="O607">
        <v>9.84</v>
      </c>
      <c r="P607" s="1">
        <v>45413</v>
      </c>
      <c r="Q607" t="str">
        <f t="shared" si="9"/>
        <v>Low Performance</v>
      </c>
      <c r="R607" s="2">
        <f>Table1_1[[#This Row],[tasks_completed]]/Table1_1[[#This Row],[monthly_hours_worked]]</f>
        <v>2.4038461538461536E-2</v>
      </c>
    </row>
    <row r="608" spans="1:18" x14ac:dyDescent="0.3">
      <c r="A608" t="s">
        <v>95</v>
      </c>
      <c r="B608" t="s">
        <v>23</v>
      </c>
      <c r="C608" t="s">
        <v>41</v>
      </c>
      <c r="D608" t="s">
        <v>39</v>
      </c>
      <c r="E608">
        <v>8</v>
      </c>
      <c r="F608">
        <v>182.4</v>
      </c>
      <c r="G608">
        <v>96.8</v>
      </c>
      <c r="I608">
        <v>11</v>
      </c>
      <c r="J608">
        <v>5.29</v>
      </c>
      <c r="K608">
        <v>8.06</v>
      </c>
      <c r="L608">
        <v>0</v>
      </c>
      <c r="M608" t="s">
        <v>34</v>
      </c>
      <c r="N608" t="s">
        <v>26</v>
      </c>
      <c r="O608">
        <v>19.7</v>
      </c>
      <c r="P608" s="1">
        <v>45444</v>
      </c>
      <c r="Q608" t="str">
        <f t="shared" si="9"/>
        <v>High Performance</v>
      </c>
      <c r="R608" s="2">
        <f>Table1_1[[#This Row],[tasks_completed]]/Table1_1[[#This Row],[monthly_hours_worked]]</f>
        <v>6.0307017543859649E-2</v>
      </c>
    </row>
    <row r="609" spans="1:18" x14ac:dyDescent="0.3">
      <c r="A609" t="s">
        <v>95</v>
      </c>
      <c r="B609" t="s">
        <v>33</v>
      </c>
      <c r="C609" t="s">
        <v>31</v>
      </c>
      <c r="D609" t="s">
        <v>19</v>
      </c>
      <c r="E609">
        <v>8</v>
      </c>
      <c r="F609">
        <v>158.5</v>
      </c>
      <c r="G609">
        <v>90.8</v>
      </c>
      <c r="H609">
        <v>10.1</v>
      </c>
      <c r="I609">
        <v>13</v>
      </c>
      <c r="J609">
        <v>5.87</v>
      </c>
      <c r="K609">
        <v>9.68</v>
      </c>
      <c r="L609">
        <v>0</v>
      </c>
      <c r="M609" t="s">
        <v>25</v>
      </c>
      <c r="N609" t="s">
        <v>26</v>
      </c>
      <c r="O609">
        <v>11.53</v>
      </c>
      <c r="P609" s="1">
        <v>45474</v>
      </c>
      <c r="Q609" t="str">
        <f t="shared" si="9"/>
        <v>Medium Performance</v>
      </c>
      <c r="R609" s="2">
        <f>Table1_1[[#This Row],[tasks_completed]]/Table1_1[[#This Row],[monthly_hours_worked]]</f>
        <v>8.2018927444794956E-2</v>
      </c>
    </row>
    <row r="610" spans="1:18" x14ac:dyDescent="0.3">
      <c r="A610" t="s">
        <v>95</v>
      </c>
      <c r="B610" t="s">
        <v>17</v>
      </c>
      <c r="C610" t="s">
        <v>41</v>
      </c>
      <c r="D610" t="s">
        <v>19</v>
      </c>
      <c r="E610">
        <v>2</v>
      </c>
      <c r="F610">
        <v>154.19999999999999</v>
      </c>
      <c r="G610">
        <v>97</v>
      </c>
      <c r="H610">
        <v>2.4</v>
      </c>
      <c r="I610">
        <v>10</v>
      </c>
      <c r="K610">
        <v>6.58</v>
      </c>
      <c r="L610">
        <v>0</v>
      </c>
      <c r="M610" t="s">
        <v>20</v>
      </c>
      <c r="N610" t="s">
        <v>21</v>
      </c>
      <c r="O610">
        <v>20.7</v>
      </c>
      <c r="P610" s="1">
        <v>45505</v>
      </c>
      <c r="Q610" t="str">
        <f t="shared" si="9"/>
        <v>High Performance</v>
      </c>
      <c r="R610" s="2">
        <f>Table1_1[[#This Row],[tasks_completed]]/Table1_1[[#This Row],[monthly_hours_worked]]</f>
        <v>6.4850843060959798E-2</v>
      </c>
    </row>
    <row r="611" spans="1:18" x14ac:dyDescent="0.3">
      <c r="A611" t="s">
        <v>95</v>
      </c>
      <c r="B611" t="s">
        <v>17</v>
      </c>
      <c r="C611" t="s">
        <v>31</v>
      </c>
      <c r="D611" t="s">
        <v>29</v>
      </c>
      <c r="E611">
        <v>10</v>
      </c>
      <c r="F611">
        <v>169.1</v>
      </c>
      <c r="G611">
        <v>94.8</v>
      </c>
      <c r="H611">
        <v>4.5</v>
      </c>
      <c r="I611">
        <v>9</v>
      </c>
      <c r="J611">
        <v>7.84</v>
      </c>
      <c r="K611">
        <v>6.66</v>
      </c>
      <c r="L611">
        <v>0</v>
      </c>
      <c r="M611" t="s">
        <v>25</v>
      </c>
      <c r="N611" t="s">
        <v>35</v>
      </c>
      <c r="O611">
        <v>17.23</v>
      </c>
      <c r="P611" s="1">
        <v>45536</v>
      </c>
      <c r="Q611" t="str">
        <f t="shared" si="9"/>
        <v>High Performance</v>
      </c>
      <c r="R611" s="2">
        <f>Table1_1[[#This Row],[tasks_completed]]/Table1_1[[#This Row],[monthly_hours_worked]]</f>
        <v>5.322294500295683E-2</v>
      </c>
    </row>
    <row r="612" spans="1:18" x14ac:dyDescent="0.3">
      <c r="A612" t="s">
        <v>95</v>
      </c>
      <c r="B612" t="s">
        <v>27</v>
      </c>
      <c r="C612" t="s">
        <v>41</v>
      </c>
      <c r="D612" t="s">
        <v>19</v>
      </c>
      <c r="E612">
        <v>9</v>
      </c>
      <c r="F612">
        <v>163.4</v>
      </c>
      <c r="G612">
        <v>97.8</v>
      </c>
      <c r="H612">
        <v>4.5999999999999996</v>
      </c>
      <c r="I612">
        <v>2</v>
      </c>
      <c r="J612">
        <v>8.31</v>
      </c>
      <c r="K612">
        <v>6.26</v>
      </c>
      <c r="L612">
        <v>0</v>
      </c>
      <c r="M612" t="s">
        <v>20</v>
      </c>
      <c r="N612" t="s">
        <v>35</v>
      </c>
      <c r="O612">
        <v>12.07</v>
      </c>
      <c r="P612" s="1">
        <v>45566</v>
      </c>
      <c r="Q612" t="str">
        <f t="shared" si="9"/>
        <v>Medium Performance</v>
      </c>
      <c r="R612" s="2">
        <f>Table1_1[[#This Row],[tasks_completed]]/Table1_1[[#This Row],[monthly_hours_worked]]</f>
        <v>1.2239902080783353E-2</v>
      </c>
    </row>
    <row r="613" spans="1:18" x14ac:dyDescent="0.3">
      <c r="A613" t="s">
        <v>95</v>
      </c>
      <c r="B613" t="s">
        <v>17</v>
      </c>
      <c r="C613" t="s">
        <v>37</v>
      </c>
      <c r="D613" t="s">
        <v>39</v>
      </c>
      <c r="E613">
        <v>10</v>
      </c>
      <c r="F613">
        <v>158.30000000000001</v>
      </c>
      <c r="G613">
        <v>95.2</v>
      </c>
      <c r="H613">
        <v>6.2</v>
      </c>
      <c r="I613">
        <v>8</v>
      </c>
      <c r="J613">
        <v>5.05</v>
      </c>
      <c r="K613">
        <v>7.98</v>
      </c>
      <c r="L613">
        <v>0</v>
      </c>
      <c r="M613" t="s">
        <v>20</v>
      </c>
      <c r="N613" t="s">
        <v>21</v>
      </c>
      <c r="O613">
        <v>16</v>
      </c>
      <c r="P613" s="1">
        <v>45597</v>
      </c>
      <c r="Q613" t="str">
        <f t="shared" si="9"/>
        <v>High Performance</v>
      </c>
      <c r="R613" s="2">
        <f>Table1_1[[#This Row],[tasks_completed]]/Table1_1[[#This Row],[monthly_hours_worked]]</f>
        <v>5.0536955148452301E-2</v>
      </c>
    </row>
    <row r="614" spans="1:18" x14ac:dyDescent="0.3">
      <c r="A614" t="s">
        <v>96</v>
      </c>
      <c r="B614" t="s">
        <v>33</v>
      </c>
      <c r="C614" t="s">
        <v>41</v>
      </c>
      <c r="D614" t="s">
        <v>39</v>
      </c>
      <c r="E614">
        <v>1</v>
      </c>
      <c r="F614">
        <v>156.19999999999999</v>
      </c>
      <c r="G614">
        <v>92.5</v>
      </c>
      <c r="H614">
        <v>8.1</v>
      </c>
      <c r="I614">
        <v>2</v>
      </c>
      <c r="J614">
        <v>8.01</v>
      </c>
      <c r="K614">
        <v>6.65</v>
      </c>
      <c r="L614">
        <v>1</v>
      </c>
      <c r="M614" t="s">
        <v>20</v>
      </c>
      <c r="N614" t="s">
        <v>21</v>
      </c>
      <c r="O614">
        <v>19.5</v>
      </c>
      <c r="P614" s="1">
        <v>45292</v>
      </c>
      <c r="Q614" t="str">
        <f t="shared" si="9"/>
        <v>High Performance</v>
      </c>
      <c r="R614" s="2">
        <f>Table1_1[[#This Row],[tasks_completed]]/Table1_1[[#This Row],[monthly_hours_worked]]</f>
        <v>1.2804097311139566E-2</v>
      </c>
    </row>
    <row r="615" spans="1:18" x14ac:dyDescent="0.3">
      <c r="A615" t="s">
        <v>96</v>
      </c>
      <c r="B615" t="s">
        <v>27</v>
      </c>
      <c r="C615" t="s">
        <v>31</v>
      </c>
      <c r="D615" t="s">
        <v>29</v>
      </c>
      <c r="E615">
        <v>5</v>
      </c>
      <c r="F615">
        <v>148.69999999999999</v>
      </c>
      <c r="G615">
        <v>95.2</v>
      </c>
      <c r="H615">
        <v>2.9</v>
      </c>
      <c r="I615">
        <v>8</v>
      </c>
      <c r="J615">
        <v>6.69</v>
      </c>
      <c r="K615">
        <v>7.71</v>
      </c>
      <c r="L615">
        <v>1</v>
      </c>
      <c r="M615" t="s">
        <v>34</v>
      </c>
      <c r="N615" t="s">
        <v>35</v>
      </c>
      <c r="O615">
        <v>16.579999999999998</v>
      </c>
      <c r="P615" s="1">
        <v>45292</v>
      </c>
      <c r="Q615" t="str">
        <f t="shared" si="9"/>
        <v>High Performance</v>
      </c>
      <c r="R615" s="2">
        <f>Table1_1[[#This Row],[tasks_completed]]/Table1_1[[#This Row],[monthly_hours_worked]]</f>
        <v>5.379959650302623E-2</v>
      </c>
    </row>
    <row r="616" spans="1:18" x14ac:dyDescent="0.3">
      <c r="A616" t="s">
        <v>96</v>
      </c>
      <c r="B616" t="s">
        <v>23</v>
      </c>
      <c r="C616" t="s">
        <v>18</v>
      </c>
      <c r="D616" t="s">
        <v>29</v>
      </c>
      <c r="E616">
        <v>7</v>
      </c>
      <c r="F616">
        <v>145.80000000000001</v>
      </c>
      <c r="G616">
        <v>99.9</v>
      </c>
      <c r="H616">
        <v>4.5</v>
      </c>
      <c r="I616">
        <v>6</v>
      </c>
      <c r="J616">
        <v>5.42</v>
      </c>
      <c r="K616">
        <v>10</v>
      </c>
      <c r="L616">
        <v>0</v>
      </c>
      <c r="M616" t="s">
        <v>20</v>
      </c>
      <c r="N616" t="s">
        <v>21</v>
      </c>
      <c r="O616">
        <v>18.21</v>
      </c>
      <c r="P616" s="1">
        <v>45352</v>
      </c>
      <c r="Q616" t="str">
        <f t="shared" si="9"/>
        <v>High Performance</v>
      </c>
      <c r="R616" s="2">
        <f>Table1_1[[#This Row],[tasks_completed]]/Table1_1[[#This Row],[monthly_hours_worked]]</f>
        <v>4.1152263374485597E-2</v>
      </c>
    </row>
    <row r="617" spans="1:18" x14ac:dyDescent="0.3">
      <c r="A617" t="s">
        <v>96</v>
      </c>
      <c r="B617" t="s">
        <v>43</v>
      </c>
      <c r="C617" t="s">
        <v>24</v>
      </c>
      <c r="D617" t="s">
        <v>19</v>
      </c>
      <c r="E617">
        <v>3</v>
      </c>
      <c r="F617">
        <v>163</v>
      </c>
      <c r="G617">
        <v>91.1</v>
      </c>
      <c r="H617">
        <v>2.9</v>
      </c>
      <c r="I617">
        <v>7</v>
      </c>
      <c r="J617">
        <v>5.51</v>
      </c>
      <c r="K617">
        <v>6.48</v>
      </c>
      <c r="L617">
        <v>0</v>
      </c>
      <c r="M617" t="s">
        <v>20</v>
      </c>
      <c r="N617" t="s">
        <v>35</v>
      </c>
      <c r="O617">
        <v>25.08</v>
      </c>
      <c r="P617" s="1">
        <v>45352</v>
      </c>
      <c r="Q617" t="str">
        <f t="shared" si="9"/>
        <v>High Performance</v>
      </c>
      <c r="R617" s="2">
        <f>Table1_1[[#This Row],[tasks_completed]]/Table1_1[[#This Row],[monthly_hours_worked]]</f>
        <v>4.2944785276073622E-2</v>
      </c>
    </row>
    <row r="618" spans="1:18" x14ac:dyDescent="0.3">
      <c r="A618" t="s">
        <v>96</v>
      </c>
      <c r="B618" t="s">
        <v>33</v>
      </c>
      <c r="C618" t="s">
        <v>18</v>
      </c>
      <c r="D618" t="s">
        <v>29</v>
      </c>
      <c r="E618">
        <v>6</v>
      </c>
      <c r="F618">
        <v>138.80000000000001</v>
      </c>
      <c r="G618">
        <v>93.8</v>
      </c>
      <c r="H618">
        <v>8.9</v>
      </c>
      <c r="I618">
        <v>4</v>
      </c>
      <c r="J618">
        <v>8.1999999999999993</v>
      </c>
      <c r="K618">
        <v>4.26</v>
      </c>
      <c r="L618">
        <v>1</v>
      </c>
      <c r="M618" t="s">
        <v>25</v>
      </c>
      <c r="N618" t="s">
        <v>35</v>
      </c>
      <c r="O618">
        <v>16.71</v>
      </c>
      <c r="P618" s="1">
        <v>45383</v>
      </c>
      <c r="Q618" t="str">
        <f t="shared" si="9"/>
        <v>High Performance</v>
      </c>
      <c r="R618" s="2">
        <f>Table1_1[[#This Row],[tasks_completed]]/Table1_1[[#This Row],[monthly_hours_worked]]</f>
        <v>2.8818443804034581E-2</v>
      </c>
    </row>
    <row r="619" spans="1:18" x14ac:dyDescent="0.3">
      <c r="A619" t="s">
        <v>96</v>
      </c>
      <c r="B619" t="s">
        <v>43</v>
      </c>
      <c r="C619" t="s">
        <v>37</v>
      </c>
      <c r="D619" t="s">
        <v>39</v>
      </c>
      <c r="E619">
        <v>6</v>
      </c>
      <c r="F619">
        <v>170.8</v>
      </c>
      <c r="G619">
        <v>100</v>
      </c>
      <c r="H619">
        <v>5.4</v>
      </c>
      <c r="I619">
        <v>3</v>
      </c>
      <c r="K619">
        <v>6.71</v>
      </c>
      <c r="L619">
        <v>0</v>
      </c>
      <c r="M619" t="s">
        <v>25</v>
      </c>
      <c r="N619" t="s">
        <v>21</v>
      </c>
      <c r="O619">
        <v>8.7799999999999994</v>
      </c>
      <c r="P619" s="1">
        <v>45413</v>
      </c>
      <c r="Q619" t="str">
        <f t="shared" si="9"/>
        <v>Low Performance</v>
      </c>
      <c r="R619" s="2">
        <f>Table1_1[[#This Row],[tasks_completed]]/Table1_1[[#This Row],[monthly_hours_worked]]</f>
        <v>1.7564402810304448E-2</v>
      </c>
    </row>
    <row r="620" spans="1:18" x14ac:dyDescent="0.3">
      <c r="A620" t="s">
        <v>96</v>
      </c>
      <c r="B620" t="s">
        <v>17</v>
      </c>
      <c r="C620" t="s">
        <v>24</v>
      </c>
      <c r="D620" t="s">
        <v>39</v>
      </c>
      <c r="E620">
        <v>4</v>
      </c>
      <c r="F620">
        <v>171.1</v>
      </c>
      <c r="G620">
        <v>97.1</v>
      </c>
      <c r="H620">
        <v>4.0999999999999996</v>
      </c>
      <c r="I620">
        <v>5</v>
      </c>
      <c r="J620">
        <v>7.78</v>
      </c>
      <c r="K620">
        <v>7.28</v>
      </c>
      <c r="L620">
        <v>0</v>
      </c>
      <c r="M620" t="s">
        <v>20</v>
      </c>
      <c r="N620" t="s">
        <v>26</v>
      </c>
      <c r="O620">
        <v>14.31</v>
      </c>
      <c r="P620" s="1">
        <v>45444</v>
      </c>
      <c r="Q620" t="str">
        <f t="shared" si="9"/>
        <v>Medium Performance</v>
      </c>
      <c r="R620" s="2">
        <f>Table1_1[[#This Row],[tasks_completed]]/Table1_1[[#This Row],[monthly_hours_worked]]</f>
        <v>2.9222676797194622E-2</v>
      </c>
    </row>
    <row r="621" spans="1:18" x14ac:dyDescent="0.3">
      <c r="A621" t="s">
        <v>96</v>
      </c>
      <c r="B621" t="s">
        <v>27</v>
      </c>
      <c r="C621" t="s">
        <v>41</v>
      </c>
      <c r="D621" t="s">
        <v>39</v>
      </c>
      <c r="E621">
        <v>7</v>
      </c>
      <c r="F621">
        <v>152</v>
      </c>
      <c r="G621">
        <v>90.3</v>
      </c>
      <c r="H621">
        <v>2.1</v>
      </c>
      <c r="I621">
        <v>8</v>
      </c>
      <c r="J621">
        <v>6.84</v>
      </c>
      <c r="K621">
        <v>3.38</v>
      </c>
      <c r="L621">
        <v>0</v>
      </c>
      <c r="M621" t="s">
        <v>25</v>
      </c>
      <c r="N621" t="s">
        <v>21</v>
      </c>
      <c r="O621">
        <v>7.97</v>
      </c>
      <c r="P621" s="1">
        <v>45474</v>
      </c>
      <c r="Q621" t="str">
        <f t="shared" si="9"/>
        <v>Low Performance</v>
      </c>
      <c r="R621" s="2">
        <f>Table1_1[[#This Row],[tasks_completed]]/Table1_1[[#This Row],[monthly_hours_worked]]</f>
        <v>5.2631578947368418E-2</v>
      </c>
    </row>
    <row r="622" spans="1:18" x14ac:dyDescent="0.3">
      <c r="A622" t="s">
        <v>96</v>
      </c>
      <c r="B622" t="s">
        <v>17</v>
      </c>
      <c r="C622" t="s">
        <v>37</v>
      </c>
      <c r="D622" t="s">
        <v>19</v>
      </c>
      <c r="E622">
        <v>6</v>
      </c>
      <c r="F622">
        <v>156</v>
      </c>
      <c r="G622">
        <v>94.8</v>
      </c>
      <c r="I622">
        <v>9</v>
      </c>
      <c r="J622">
        <v>5.18</v>
      </c>
      <c r="K622">
        <v>6.37</v>
      </c>
      <c r="L622">
        <v>0</v>
      </c>
      <c r="M622" t="s">
        <v>25</v>
      </c>
      <c r="N622" t="s">
        <v>26</v>
      </c>
      <c r="O622">
        <v>17.489999999999998</v>
      </c>
      <c r="P622" s="1">
        <v>45505</v>
      </c>
      <c r="Q622" t="str">
        <f t="shared" si="9"/>
        <v>High Performance</v>
      </c>
      <c r="R622" s="2">
        <f>Table1_1[[#This Row],[tasks_completed]]/Table1_1[[#This Row],[monthly_hours_worked]]</f>
        <v>5.7692307692307696E-2</v>
      </c>
    </row>
    <row r="623" spans="1:18" x14ac:dyDescent="0.3">
      <c r="A623" t="s">
        <v>96</v>
      </c>
      <c r="B623" t="s">
        <v>27</v>
      </c>
      <c r="C623" t="s">
        <v>37</v>
      </c>
      <c r="D623" t="s">
        <v>39</v>
      </c>
      <c r="E623">
        <v>4</v>
      </c>
      <c r="F623">
        <v>159.6</v>
      </c>
      <c r="G623">
        <v>93.8</v>
      </c>
      <c r="H623">
        <v>9</v>
      </c>
      <c r="I623">
        <v>7</v>
      </c>
      <c r="J623">
        <v>7.83</v>
      </c>
      <c r="K623">
        <v>7.96</v>
      </c>
      <c r="L623">
        <v>0</v>
      </c>
      <c r="M623" t="s">
        <v>25</v>
      </c>
      <c r="N623" t="s">
        <v>35</v>
      </c>
      <c r="O623">
        <v>12.28</v>
      </c>
      <c r="P623" s="1">
        <v>45536</v>
      </c>
      <c r="Q623" t="str">
        <f t="shared" si="9"/>
        <v>Medium Performance</v>
      </c>
      <c r="R623" s="2">
        <f>Table1_1[[#This Row],[tasks_completed]]/Table1_1[[#This Row],[monthly_hours_worked]]</f>
        <v>4.3859649122807022E-2</v>
      </c>
    </row>
    <row r="624" spans="1:18" x14ac:dyDescent="0.3">
      <c r="A624" t="s">
        <v>96</v>
      </c>
      <c r="B624" t="s">
        <v>43</v>
      </c>
      <c r="C624" t="s">
        <v>31</v>
      </c>
      <c r="D624" t="s">
        <v>29</v>
      </c>
      <c r="E624">
        <v>4</v>
      </c>
      <c r="F624">
        <v>166.1</v>
      </c>
      <c r="G624">
        <v>91.9</v>
      </c>
      <c r="H624">
        <v>5.5</v>
      </c>
      <c r="I624">
        <v>7</v>
      </c>
      <c r="J624">
        <v>7.59</v>
      </c>
      <c r="K624">
        <v>7.54</v>
      </c>
      <c r="L624">
        <v>1</v>
      </c>
      <c r="M624" t="s">
        <v>34</v>
      </c>
      <c r="N624" t="s">
        <v>26</v>
      </c>
      <c r="O624">
        <v>10.51</v>
      </c>
      <c r="P624" s="1">
        <v>45566</v>
      </c>
      <c r="Q624" t="str">
        <f t="shared" si="9"/>
        <v>Medium Performance</v>
      </c>
      <c r="R624" s="2">
        <f>Table1_1[[#This Row],[tasks_completed]]/Table1_1[[#This Row],[monthly_hours_worked]]</f>
        <v>4.2143287176399757E-2</v>
      </c>
    </row>
    <row r="625" spans="1:18" x14ac:dyDescent="0.3">
      <c r="A625" t="s">
        <v>96</v>
      </c>
      <c r="B625" t="s">
        <v>23</v>
      </c>
      <c r="C625" t="s">
        <v>41</v>
      </c>
      <c r="D625" t="s">
        <v>19</v>
      </c>
      <c r="E625">
        <v>8</v>
      </c>
      <c r="F625">
        <v>155.4</v>
      </c>
      <c r="G625">
        <v>100</v>
      </c>
      <c r="H625">
        <v>7</v>
      </c>
      <c r="I625">
        <v>7</v>
      </c>
      <c r="J625">
        <v>9.92</v>
      </c>
      <c r="K625">
        <v>5.07</v>
      </c>
      <c r="L625">
        <v>0</v>
      </c>
      <c r="M625" t="s">
        <v>25</v>
      </c>
      <c r="N625" t="s">
        <v>26</v>
      </c>
      <c r="O625">
        <v>5.64</v>
      </c>
      <c r="P625" s="1">
        <v>45597</v>
      </c>
      <c r="Q625" t="str">
        <f t="shared" si="9"/>
        <v>Low Performance</v>
      </c>
      <c r="R625" s="2">
        <f>Table1_1[[#This Row],[tasks_completed]]/Table1_1[[#This Row],[monthly_hours_worked]]</f>
        <v>4.5045045045045043E-2</v>
      </c>
    </row>
    <row r="626" spans="1:18" x14ac:dyDescent="0.3">
      <c r="A626" t="s">
        <v>97</v>
      </c>
      <c r="B626" t="s">
        <v>43</v>
      </c>
      <c r="C626" t="s">
        <v>24</v>
      </c>
      <c r="D626" t="s">
        <v>29</v>
      </c>
      <c r="E626">
        <v>7</v>
      </c>
      <c r="F626">
        <v>145.4</v>
      </c>
      <c r="G626">
        <v>96.2</v>
      </c>
      <c r="H626">
        <v>1</v>
      </c>
      <c r="I626">
        <v>5</v>
      </c>
      <c r="K626">
        <v>4.9000000000000004</v>
      </c>
      <c r="L626">
        <v>0</v>
      </c>
      <c r="M626" t="s">
        <v>20</v>
      </c>
      <c r="N626" t="s">
        <v>35</v>
      </c>
      <c r="O626">
        <v>17.100000000000001</v>
      </c>
      <c r="P626" s="1">
        <v>45292</v>
      </c>
      <c r="Q626" t="str">
        <f t="shared" si="9"/>
        <v>High Performance</v>
      </c>
      <c r="R626" s="2">
        <f>Table1_1[[#This Row],[tasks_completed]]/Table1_1[[#This Row],[monthly_hours_worked]]</f>
        <v>3.4387895460797797E-2</v>
      </c>
    </row>
    <row r="627" spans="1:18" x14ac:dyDescent="0.3">
      <c r="A627" t="s">
        <v>97</v>
      </c>
      <c r="B627" t="s">
        <v>33</v>
      </c>
      <c r="C627" t="s">
        <v>31</v>
      </c>
      <c r="D627" t="s">
        <v>29</v>
      </c>
      <c r="E627">
        <v>10</v>
      </c>
      <c r="F627">
        <v>162.30000000000001</v>
      </c>
      <c r="G627">
        <v>97.9</v>
      </c>
      <c r="H627">
        <v>5.8</v>
      </c>
      <c r="I627">
        <v>4</v>
      </c>
      <c r="J627">
        <v>7.12</v>
      </c>
      <c r="K627">
        <v>7.78</v>
      </c>
      <c r="L627">
        <v>0</v>
      </c>
      <c r="M627" t="s">
        <v>25</v>
      </c>
      <c r="N627" t="s">
        <v>21</v>
      </c>
      <c r="O627">
        <v>14.88</v>
      </c>
      <c r="P627" s="1">
        <v>45292</v>
      </c>
      <c r="Q627" t="str">
        <f t="shared" si="9"/>
        <v>Medium Performance</v>
      </c>
      <c r="R627" s="2">
        <f>Table1_1[[#This Row],[tasks_completed]]/Table1_1[[#This Row],[monthly_hours_worked]]</f>
        <v>2.4645717806531114E-2</v>
      </c>
    </row>
    <row r="628" spans="1:18" x14ac:dyDescent="0.3">
      <c r="A628" t="s">
        <v>97</v>
      </c>
      <c r="B628" t="s">
        <v>43</v>
      </c>
      <c r="C628" t="s">
        <v>37</v>
      </c>
      <c r="D628" t="s">
        <v>39</v>
      </c>
      <c r="E628">
        <v>5</v>
      </c>
      <c r="F628">
        <v>143.80000000000001</v>
      </c>
      <c r="G628">
        <v>90.7</v>
      </c>
      <c r="H628">
        <v>0.7</v>
      </c>
      <c r="I628">
        <v>8</v>
      </c>
      <c r="J628">
        <v>6.13</v>
      </c>
      <c r="K628">
        <v>3.49</v>
      </c>
      <c r="L628">
        <v>1</v>
      </c>
      <c r="M628" t="s">
        <v>20</v>
      </c>
      <c r="N628" t="s">
        <v>35</v>
      </c>
      <c r="O628">
        <v>6.08</v>
      </c>
      <c r="P628" s="1">
        <v>45352</v>
      </c>
      <c r="Q628" t="str">
        <f t="shared" si="9"/>
        <v>Low Performance</v>
      </c>
      <c r="R628" s="2">
        <f>Table1_1[[#This Row],[tasks_completed]]/Table1_1[[#This Row],[monthly_hours_worked]]</f>
        <v>5.5632823365785809E-2</v>
      </c>
    </row>
    <row r="629" spans="1:18" x14ac:dyDescent="0.3">
      <c r="A629" t="s">
        <v>97</v>
      </c>
      <c r="B629" t="s">
        <v>17</v>
      </c>
      <c r="C629" t="s">
        <v>37</v>
      </c>
      <c r="D629" t="s">
        <v>39</v>
      </c>
      <c r="E629">
        <v>4</v>
      </c>
      <c r="F629">
        <v>151.9</v>
      </c>
      <c r="G629">
        <v>97.6</v>
      </c>
      <c r="H629">
        <v>5.2</v>
      </c>
      <c r="I629">
        <v>7</v>
      </c>
      <c r="J629">
        <v>7.98</v>
      </c>
      <c r="K629">
        <v>6.06</v>
      </c>
      <c r="L629">
        <v>1</v>
      </c>
      <c r="M629" t="s">
        <v>25</v>
      </c>
      <c r="N629" t="s">
        <v>26</v>
      </c>
      <c r="O629">
        <v>10.74</v>
      </c>
      <c r="P629" s="1">
        <v>45352</v>
      </c>
      <c r="Q629" t="str">
        <f t="shared" si="9"/>
        <v>Medium Performance</v>
      </c>
      <c r="R629" s="2">
        <f>Table1_1[[#This Row],[tasks_completed]]/Table1_1[[#This Row],[monthly_hours_worked]]</f>
        <v>4.6082949308755762E-2</v>
      </c>
    </row>
    <row r="630" spans="1:18" x14ac:dyDescent="0.3">
      <c r="A630" t="s">
        <v>97</v>
      </c>
      <c r="B630" t="s">
        <v>43</v>
      </c>
      <c r="C630" t="s">
        <v>41</v>
      </c>
      <c r="D630" t="s">
        <v>19</v>
      </c>
      <c r="E630">
        <v>8</v>
      </c>
      <c r="F630">
        <v>151.6</v>
      </c>
      <c r="G630">
        <v>88</v>
      </c>
      <c r="I630">
        <v>1</v>
      </c>
      <c r="J630">
        <v>6.87</v>
      </c>
      <c r="K630">
        <v>3.63</v>
      </c>
      <c r="L630">
        <v>1</v>
      </c>
      <c r="M630" t="s">
        <v>25</v>
      </c>
      <c r="N630" t="s">
        <v>35</v>
      </c>
      <c r="O630">
        <v>8.08</v>
      </c>
      <c r="P630" s="1">
        <v>45383</v>
      </c>
      <c r="Q630" t="str">
        <f t="shared" si="9"/>
        <v>Low Performance</v>
      </c>
      <c r="R630" s="2">
        <f>Table1_1[[#This Row],[tasks_completed]]/Table1_1[[#This Row],[monthly_hours_worked]]</f>
        <v>6.5963060686015833E-3</v>
      </c>
    </row>
    <row r="631" spans="1:18" x14ac:dyDescent="0.3">
      <c r="A631" t="s">
        <v>97</v>
      </c>
      <c r="B631" t="s">
        <v>17</v>
      </c>
      <c r="C631" t="s">
        <v>24</v>
      </c>
      <c r="D631" t="s">
        <v>39</v>
      </c>
      <c r="E631">
        <v>1</v>
      </c>
      <c r="F631">
        <v>166</v>
      </c>
      <c r="G631">
        <v>94.2</v>
      </c>
      <c r="H631">
        <v>8.1</v>
      </c>
      <c r="I631">
        <v>5</v>
      </c>
      <c r="J631">
        <v>4.37</v>
      </c>
      <c r="K631">
        <v>7.93</v>
      </c>
      <c r="L631">
        <v>0</v>
      </c>
      <c r="M631" t="s">
        <v>25</v>
      </c>
      <c r="N631" t="s">
        <v>35</v>
      </c>
      <c r="O631">
        <v>4</v>
      </c>
      <c r="P631" s="1">
        <v>45413</v>
      </c>
      <c r="Q631" t="str">
        <f t="shared" si="9"/>
        <v>Low Performance</v>
      </c>
      <c r="R631" s="2">
        <f>Table1_1[[#This Row],[tasks_completed]]/Table1_1[[#This Row],[monthly_hours_worked]]</f>
        <v>3.0120481927710843E-2</v>
      </c>
    </row>
    <row r="632" spans="1:18" x14ac:dyDescent="0.3">
      <c r="A632" t="s">
        <v>97</v>
      </c>
      <c r="B632" t="s">
        <v>33</v>
      </c>
      <c r="C632" t="s">
        <v>41</v>
      </c>
      <c r="D632" t="s">
        <v>39</v>
      </c>
      <c r="E632">
        <v>10</v>
      </c>
      <c r="F632">
        <v>146.4</v>
      </c>
      <c r="G632">
        <v>89</v>
      </c>
      <c r="H632">
        <v>3.6</v>
      </c>
      <c r="I632">
        <v>8</v>
      </c>
      <c r="J632">
        <v>8.91</v>
      </c>
      <c r="K632">
        <v>10</v>
      </c>
      <c r="L632">
        <v>0</v>
      </c>
      <c r="M632" t="s">
        <v>20</v>
      </c>
      <c r="N632" t="s">
        <v>35</v>
      </c>
      <c r="O632">
        <v>10.15</v>
      </c>
      <c r="P632" s="1">
        <v>45444</v>
      </c>
      <c r="Q632" t="str">
        <f t="shared" si="9"/>
        <v>Medium Performance</v>
      </c>
      <c r="R632" s="2">
        <f>Table1_1[[#This Row],[tasks_completed]]/Table1_1[[#This Row],[monthly_hours_worked]]</f>
        <v>5.4644808743169397E-2</v>
      </c>
    </row>
    <row r="633" spans="1:18" x14ac:dyDescent="0.3">
      <c r="A633" t="s">
        <v>97</v>
      </c>
      <c r="B633" t="s">
        <v>33</v>
      </c>
      <c r="C633" t="s">
        <v>31</v>
      </c>
      <c r="D633" t="s">
        <v>19</v>
      </c>
      <c r="E633">
        <v>4</v>
      </c>
      <c r="F633">
        <v>152.5</v>
      </c>
      <c r="G633">
        <v>94.4</v>
      </c>
      <c r="H633">
        <v>3.9</v>
      </c>
      <c r="I633">
        <v>6</v>
      </c>
      <c r="J633">
        <v>9.4</v>
      </c>
      <c r="K633">
        <v>9.32</v>
      </c>
      <c r="L633">
        <v>0</v>
      </c>
      <c r="M633" t="s">
        <v>34</v>
      </c>
      <c r="N633" t="s">
        <v>21</v>
      </c>
      <c r="O633">
        <v>11.86</v>
      </c>
      <c r="P633" s="1">
        <v>45474</v>
      </c>
      <c r="Q633" t="str">
        <f t="shared" si="9"/>
        <v>Medium Performance</v>
      </c>
      <c r="R633" s="2">
        <f>Table1_1[[#This Row],[tasks_completed]]/Table1_1[[#This Row],[monthly_hours_worked]]</f>
        <v>3.9344262295081971E-2</v>
      </c>
    </row>
    <row r="634" spans="1:18" x14ac:dyDescent="0.3">
      <c r="A634" t="s">
        <v>97</v>
      </c>
      <c r="B634" t="s">
        <v>33</v>
      </c>
      <c r="C634" t="s">
        <v>37</v>
      </c>
      <c r="D634" t="s">
        <v>19</v>
      </c>
      <c r="E634">
        <v>6</v>
      </c>
      <c r="F634">
        <v>157.4</v>
      </c>
      <c r="G634">
        <v>96.1</v>
      </c>
      <c r="H634">
        <v>5.0999999999999996</v>
      </c>
      <c r="I634">
        <v>4</v>
      </c>
      <c r="J634">
        <v>8.19</v>
      </c>
      <c r="K634">
        <v>8.49</v>
      </c>
      <c r="L634">
        <v>0</v>
      </c>
      <c r="M634" t="s">
        <v>34</v>
      </c>
      <c r="N634" t="s">
        <v>21</v>
      </c>
      <c r="O634">
        <v>10.48</v>
      </c>
      <c r="P634" s="1">
        <v>45505</v>
      </c>
      <c r="Q634" t="str">
        <f t="shared" si="9"/>
        <v>Medium Performance</v>
      </c>
      <c r="R634" s="2">
        <f>Table1_1[[#This Row],[tasks_completed]]/Table1_1[[#This Row],[monthly_hours_worked]]</f>
        <v>2.5412960609911054E-2</v>
      </c>
    </row>
    <row r="635" spans="1:18" x14ac:dyDescent="0.3">
      <c r="A635" t="s">
        <v>97</v>
      </c>
      <c r="B635" t="s">
        <v>43</v>
      </c>
      <c r="C635" t="s">
        <v>37</v>
      </c>
      <c r="D635" t="s">
        <v>29</v>
      </c>
      <c r="E635">
        <v>3</v>
      </c>
      <c r="F635">
        <v>149.9</v>
      </c>
      <c r="G635">
        <v>99.3</v>
      </c>
      <c r="H635">
        <v>4.4000000000000004</v>
      </c>
      <c r="I635">
        <v>9</v>
      </c>
      <c r="J635">
        <v>7.11</v>
      </c>
      <c r="K635">
        <v>7.08</v>
      </c>
      <c r="L635">
        <v>0</v>
      </c>
      <c r="M635" t="s">
        <v>20</v>
      </c>
      <c r="N635" t="s">
        <v>35</v>
      </c>
      <c r="O635">
        <v>25.48</v>
      </c>
      <c r="P635" s="1">
        <v>45536</v>
      </c>
      <c r="Q635" t="str">
        <f t="shared" si="9"/>
        <v>High Performance</v>
      </c>
      <c r="R635" s="2">
        <f>Table1_1[[#This Row],[tasks_completed]]/Table1_1[[#This Row],[monthly_hours_worked]]</f>
        <v>6.00400266844563E-2</v>
      </c>
    </row>
    <row r="636" spans="1:18" x14ac:dyDescent="0.3">
      <c r="A636" t="s">
        <v>97</v>
      </c>
      <c r="B636" t="s">
        <v>33</v>
      </c>
      <c r="C636" t="s">
        <v>31</v>
      </c>
      <c r="D636" t="s">
        <v>19</v>
      </c>
      <c r="E636">
        <v>1</v>
      </c>
      <c r="F636">
        <v>160.9</v>
      </c>
      <c r="G636">
        <v>96.9</v>
      </c>
      <c r="H636">
        <v>8.4</v>
      </c>
      <c r="I636">
        <v>4</v>
      </c>
      <c r="J636">
        <v>5.75</v>
      </c>
      <c r="K636">
        <v>7.37</v>
      </c>
      <c r="L636">
        <v>1</v>
      </c>
      <c r="M636" t="s">
        <v>25</v>
      </c>
      <c r="N636" t="s">
        <v>35</v>
      </c>
      <c r="O636">
        <v>18.739999999999998</v>
      </c>
      <c r="P636" s="1">
        <v>45566</v>
      </c>
      <c r="Q636" t="str">
        <f t="shared" si="9"/>
        <v>High Performance</v>
      </c>
      <c r="R636" s="2">
        <f>Table1_1[[#This Row],[tasks_completed]]/Table1_1[[#This Row],[monthly_hours_worked]]</f>
        <v>2.4860161591050339E-2</v>
      </c>
    </row>
    <row r="637" spans="1:18" x14ac:dyDescent="0.3">
      <c r="A637" t="s">
        <v>97</v>
      </c>
      <c r="B637" t="s">
        <v>43</v>
      </c>
      <c r="C637" t="s">
        <v>37</v>
      </c>
      <c r="D637" t="s">
        <v>39</v>
      </c>
      <c r="E637">
        <v>1</v>
      </c>
      <c r="F637">
        <v>163</v>
      </c>
      <c r="G637">
        <v>94.3</v>
      </c>
      <c r="H637">
        <v>6.1</v>
      </c>
      <c r="I637">
        <v>4</v>
      </c>
      <c r="J637">
        <v>8.84</v>
      </c>
      <c r="K637">
        <v>3.7</v>
      </c>
      <c r="L637">
        <v>1</v>
      </c>
      <c r="M637" t="s">
        <v>20</v>
      </c>
      <c r="N637" t="s">
        <v>21</v>
      </c>
      <c r="O637">
        <v>17.600000000000001</v>
      </c>
      <c r="P637" s="1">
        <v>45597</v>
      </c>
      <c r="Q637" t="str">
        <f t="shared" si="9"/>
        <v>High Performance</v>
      </c>
      <c r="R637" s="2">
        <f>Table1_1[[#This Row],[tasks_completed]]/Table1_1[[#This Row],[monthly_hours_worked]]</f>
        <v>2.4539877300613498E-2</v>
      </c>
    </row>
    <row r="638" spans="1:18" x14ac:dyDescent="0.3">
      <c r="A638" t="s">
        <v>98</v>
      </c>
      <c r="B638" t="s">
        <v>27</v>
      </c>
      <c r="C638" t="s">
        <v>24</v>
      </c>
      <c r="D638" t="s">
        <v>19</v>
      </c>
      <c r="E638">
        <v>6</v>
      </c>
      <c r="F638">
        <v>172.5</v>
      </c>
      <c r="G638">
        <v>91.1</v>
      </c>
      <c r="H638">
        <v>4.3</v>
      </c>
      <c r="I638">
        <v>9</v>
      </c>
      <c r="J638">
        <v>9.06</v>
      </c>
      <c r="K638">
        <v>3.99</v>
      </c>
      <c r="L638">
        <v>0</v>
      </c>
      <c r="M638" t="s">
        <v>34</v>
      </c>
      <c r="N638" t="s">
        <v>21</v>
      </c>
      <c r="O638">
        <v>19.54</v>
      </c>
      <c r="P638" s="1">
        <v>45292</v>
      </c>
      <c r="Q638" t="str">
        <f t="shared" si="9"/>
        <v>High Performance</v>
      </c>
      <c r="R638" s="2">
        <f>Table1_1[[#This Row],[tasks_completed]]/Table1_1[[#This Row],[monthly_hours_worked]]</f>
        <v>5.2173913043478258E-2</v>
      </c>
    </row>
    <row r="639" spans="1:18" x14ac:dyDescent="0.3">
      <c r="A639" t="s">
        <v>98</v>
      </c>
      <c r="B639" t="s">
        <v>27</v>
      </c>
      <c r="C639" t="s">
        <v>18</v>
      </c>
      <c r="D639" t="s">
        <v>19</v>
      </c>
      <c r="E639">
        <v>7</v>
      </c>
      <c r="F639">
        <v>176.2</v>
      </c>
      <c r="G639">
        <v>90.2</v>
      </c>
      <c r="H639">
        <v>5.4</v>
      </c>
      <c r="I639">
        <v>8</v>
      </c>
      <c r="J639">
        <v>7.48</v>
      </c>
      <c r="K639">
        <v>8.43</v>
      </c>
      <c r="L639">
        <v>0</v>
      </c>
      <c r="M639" t="s">
        <v>20</v>
      </c>
      <c r="N639" t="s">
        <v>26</v>
      </c>
      <c r="O639">
        <v>30.89</v>
      </c>
      <c r="P639" s="1">
        <v>45292</v>
      </c>
      <c r="Q639" t="str">
        <f t="shared" si="9"/>
        <v>High Performance</v>
      </c>
      <c r="R639" s="2">
        <f>Table1_1[[#This Row],[tasks_completed]]/Table1_1[[#This Row],[monthly_hours_worked]]</f>
        <v>4.5402951191827474E-2</v>
      </c>
    </row>
    <row r="640" spans="1:18" x14ac:dyDescent="0.3">
      <c r="A640" t="s">
        <v>98</v>
      </c>
      <c r="B640" t="s">
        <v>23</v>
      </c>
      <c r="C640" t="s">
        <v>31</v>
      </c>
      <c r="D640" t="s">
        <v>39</v>
      </c>
      <c r="E640">
        <v>9</v>
      </c>
      <c r="F640">
        <v>160.19999999999999</v>
      </c>
      <c r="G640">
        <v>93.2</v>
      </c>
      <c r="H640">
        <v>5.7</v>
      </c>
      <c r="I640">
        <v>2</v>
      </c>
      <c r="J640">
        <v>7.72</v>
      </c>
      <c r="K640">
        <v>10</v>
      </c>
      <c r="L640">
        <v>1</v>
      </c>
      <c r="M640" t="s">
        <v>34</v>
      </c>
      <c r="N640" t="s">
        <v>21</v>
      </c>
      <c r="O640">
        <v>8.17</v>
      </c>
      <c r="P640" s="1">
        <v>45352</v>
      </c>
      <c r="Q640" t="str">
        <f t="shared" si="9"/>
        <v>Low Performance</v>
      </c>
      <c r="R640" s="2">
        <f>Table1_1[[#This Row],[tasks_completed]]/Table1_1[[#This Row],[monthly_hours_worked]]</f>
        <v>1.2484394506866418E-2</v>
      </c>
    </row>
    <row r="641" spans="1:18" x14ac:dyDescent="0.3">
      <c r="A641" t="s">
        <v>98</v>
      </c>
      <c r="B641" t="s">
        <v>43</v>
      </c>
      <c r="C641" t="s">
        <v>31</v>
      </c>
      <c r="D641" t="s">
        <v>29</v>
      </c>
      <c r="E641">
        <v>9</v>
      </c>
      <c r="F641">
        <v>164</v>
      </c>
      <c r="G641">
        <v>91.5</v>
      </c>
      <c r="H641">
        <v>1.5</v>
      </c>
      <c r="I641">
        <v>3</v>
      </c>
      <c r="J641">
        <v>6.67</v>
      </c>
      <c r="K641">
        <v>9.07</v>
      </c>
      <c r="L641">
        <v>0</v>
      </c>
      <c r="M641" t="s">
        <v>34</v>
      </c>
      <c r="N641" t="s">
        <v>35</v>
      </c>
      <c r="O641">
        <v>16.46</v>
      </c>
      <c r="P641" s="1">
        <v>45352</v>
      </c>
      <c r="Q641" t="str">
        <f t="shared" si="9"/>
        <v>High Performance</v>
      </c>
      <c r="R641" s="2">
        <f>Table1_1[[#This Row],[tasks_completed]]/Table1_1[[#This Row],[monthly_hours_worked]]</f>
        <v>1.8292682926829267E-2</v>
      </c>
    </row>
    <row r="642" spans="1:18" x14ac:dyDescent="0.3">
      <c r="A642" t="s">
        <v>98</v>
      </c>
      <c r="B642" t="s">
        <v>23</v>
      </c>
      <c r="C642" t="s">
        <v>37</v>
      </c>
      <c r="D642" t="s">
        <v>19</v>
      </c>
      <c r="E642">
        <v>1</v>
      </c>
      <c r="F642">
        <v>161.69999999999999</v>
      </c>
      <c r="G642">
        <v>97.9</v>
      </c>
      <c r="H642">
        <v>2.7</v>
      </c>
      <c r="I642">
        <v>1</v>
      </c>
      <c r="J642">
        <v>6.31</v>
      </c>
      <c r="K642">
        <v>7.62</v>
      </c>
      <c r="L642">
        <v>0</v>
      </c>
      <c r="M642" t="s">
        <v>25</v>
      </c>
      <c r="N642" t="s">
        <v>26</v>
      </c>
      <c r="O642">
        <v>7.38</v>
      </c>
      <c r="P642" s="1">
        <v>45383</v>
      </c>
      <c r="Q642" t="str">
        <f t="shared" ref="Q642:Q705" si="10">IF(O642&gt;=15, "High Performance", IF(O642&gt;=10, "Medium Performance", "Low Performance"))</f>
        <v>Low Performance</v>
      </c>
      <c r="R642" s="2">
        <f>Table1_1[[#This Row],[tasks_completed]]/Table1_1[[#This Row],[monthly_hours_worked]]</f>
        <v>6.1842918985776131E-3</v>
      </c>
    </row>
    <row r="643" spans="1:18" x14ac:dyDescent="0.3">
      <c r="A643" t="s">
        <v>98</v>
      </c>
      <c r="B643" t="s">
        <v>43</v>
      </c>
      <c r="C643" t="s">
        <v>31</v>
      </c>
      <c r="D643" t="s">
        <v>29</v>
      </c>
      <c r="E643">
        <v>2</v>
      </c>
      <c r="F643">
        <v>143.5</v>
      </c>
      <c r="G643">
        <v>98.7</v>
      </c>
      <c r="H643">
        <v>7.1</v>
      </c>
      <c r="I643">
        <v>5</v>
      </c>
      <c r="J643">
        <v>6.55</v>
      </c>
      <c r="K643">
        <v>3.17</v>
      </c>
      <c r="L643">
        <v>0</v>
      </c>
      <c r="M643" t="s">
        <v>20</v>
      </c>
      <c r="N643" t="s">
        <v>26</v>
      </c>
      <c r="O643">
        <v>16.23</v>
      </c>
      <c r="P643" s="1">
        <v>45413</v>
      </c>
      <c r="Q643" t="str">
        <f t="shared" si="10"/>
        <v>High Performance</v>
      </c>
      <c r="R643" s="2">
        <f>Table1_1[[#This Row],[tasks_completed]]/Table1_1[[#This Row],[monthly_hours_worked]]</f>
        <v>3.484320557491289E-2</v>
      </c>
    </row>
    <row r="644" spans="1:18" x14ac:dyDescent="0.3">
      <c r="A644" t="s">
        <v>98</v>
      </c>
      <c r="B644" t="s">
        <v>43</v>
      </c>
      <c r="C644" t="s">
        <v>41</v>
      </c>
      <c r="D644" t="s">
        <v>39</v>
      </c>
      <c r="E644">
        <v>7</v>
      </c>
      <c r="F644">
        <v>147.80000000000001</v>
      </c>
      <c r="G644">
        <v>89.2</v>
      </c>
      <c r="H644">
        <v>7.2</v>
      </c>
      <c r="I644">
        <v>5</v>
      </c>
      <c r="J644">
        <v>7.76</v>
      </c>
      <c r="K644">
        <v>7.43</v>
      </c>
      <c r="L644">
        <v>0</v>
      </c>
      <c r="M644" t="s">
        <v>34</v>
      </c>
      <c r="N644" t="s">
        <v>26</v>
      </c>
      <c r="O644">
        <v>14.23</v>
      </c>
      <c r="P644" s="1">
        <v>45444</v>
      </c>
      <c r="Q644" t="str">
        <f t="shared" si="10"/>
        <v>Medium Performance</v>
      </c>
      <c r="R644" s="2">
        <f>Table1_1[[#This Row],[tasks_completed]]/Table1_1[[#This Row],[monthly_hours_worked]]</f>
        <v>3.3829499323410013E-2</v>
      </c>
    </row>
    <row r="645" spans="1:18" x14ac:dyDescent="0.3">
      <c r="A645" t="s">
        <v>98</v>
      </c>
      <c r="B645" t="s">
        <v>43</v>
      </c>
      <c r="C645" t="s">
        <v>41</v>
      </c>
      <c r="D645" t="s">
        <v>29</v>
      </c>
      <c r="E645">
        <v>5</v>
      </c>
      <c r="F645">
        <v>171.2</v>
      </c>
      <c r="G645">
        <v>96.2</v>
      </c>
      <c r="H645">
        <v>1.8</v>
      </c>
      <c r="I645">
        <v>2</v>
      </c>
      <c r="J645">
        <v>6.26</v>
      </c>
      <c r="K645">
        <v>7.2</v>
      </c>
      <c r="L645">
        <v>1</v>
      </c>
      <c r="M645" t="s">
        <v>20</v>
      </c>
      <c r="N645" t="s">
        <v>26</v>
      </c>
      <c r="O645">
        <v>14.96</v>
      </c>
      <c r="P645" s="1">
        <v>45474</v>
      </c>
      <c r="Q645" t="str">
        <f t="shared" si="10"/>
        <v>Medium Performance</v>
      </c>
      <c r="R645" s="2">
        <f>Table1_1[[#This Row],[tasks_completed]]/Table1_1[[#This Row],[monthly_hours_worked]]</f>
        <v>1.1682242990654207E-2</v>
      </c>
    </row>
    <row r="646" spans="1:18" x14ac:dyDescent="0.3">
      <c r="A646" t="s">
        <v>98</v>
      </c>
      <c r="B646" t="s">
        <v>27</v>
      </c>
      <c r="C646" t="s">
        <v>41</v>
      </c>
      <c r="D646" t="s">
        <v>19</v>
      </c>
      <c r="E646">
        <v>4</v>
      </c>
      <c r="F646">
        <v>154.80000000000001</v>
      </c>
      <c r="G646">
        <v>90.4</v>
      </c>
      <c r="H646">
        <v>7.3</v>
      </c>
      <c r="I646">
        <v>6</v>
      </c>
      <c r="J646">
        <v>5.57</v>
      </c>
      <c r="K646">
        <v>5.81</v>
      </c>
      <c r="L646">
        <v>0</v>
      </c>
      <c r="M646" t="s">
        <v>25</v>
      </c>
      <c r="N646" t="s">
        <v>21</v>
      </c>
      <c r="O646">
        <v>13.92</v>
      </c>
      <c r="P646" s="1">
        <v>45505</v>
      </c>
      <c r="Q646" t="str">
        <f t="shared" si="10"/>
        <v>Medium Performance</v>
      </c>
      <c r="R646" s="2">
        <f>Table1_1[[#This Row],[tasks_completed]]/Table1_1[[#This Row],[monthly_hours_worked]]</f>
        <v>3.875968992248062E-2</v>
      </c>
    </row>
    <row r="647" spans="1:18" x14ac:dyDescent="0.3">
      <c r="A647" t="s">
        <v>98</v>
      </c>
      <c r="B647" t="s">
        <v>23</v>
      </c>
      <c r="C647" t="s">
        <v>37</v>
      </c>
      <c r="D647" t="s">
        <v>29</v>
      </c>
      <c r="E647">
        <v>2</v>
      </c>
      <c r="F647">
        <v>160.5</v>
      </c>
      <c r="G647">
        <v>93.3</v>
      </c>
      <c r="H647">
        <v>5.3</v>
      </c>
      <c r="I647">
        <v>6</v>
      </c>
      <c r="J647">
        <v>7.51</v>
      </c>
      <c r="K647">
        <v>5.83</v>
      </c>
      <c r="L647">
        <v>0</v>
      </c>
      <c r="M647" t="s">
        <v>34</v>
      </c>
      <c r="N647" t="s">
        <v>26</v>
      </c>
      <c r="O647">
        <v>9.9</v>
      </c>
      <c r="P647" s="1">
        <v>45536</v>
      </c>
      <c r="Q647" t="str">
        <f t="shared" si="10"/>
        <v>Low Performance</v>
      </c>
      <c r="R647" s="2">
        <f>Table1_1[[#This Row],[tasks_completed]]/Table1_1[[#This Row],[monthly_hours_worked]]</f>
        <v>3.7383177570093455E-2</v>
      </c>
    </row>
    <row r="648" spans="1:18" x14ac:dyDescent="0.3">
      <c r="A648" t="s">
        <v>98</v>
      </c>
      <c r="B648" t="s">
        <v>17</v>
      </c>
      <c r="C648" t="s">
        <v>41</v>
      </c>
      <c r="D648" t="s">
        <v>19</v>
      </c>
      <c r="E648">
        <v>8</v>
      </c>
      <c r="F648">
        <v>169.3</v>
      </c>
      <c r="G648">
        <v>97</v>
      </c>
      <c r="H648">
        <v>3.3</v>
      </c>
      <c r="I648">
        <v>3</v>
      </c>
      <c r="J648">
        <v>6.63</v>
      </c>
      <c r="K648">
        <v>4.5199999999999996</v>
      </c>
      <c r="L648">
        <v>0</v>
      </c>
      <c r="M648" t="s">
        <v>34</v>
      </c>
      <c r="N648" t="s">
        <v>26</v>
      </c>
      <c r="O648">
        <v>12.28</v>
      </c>
      <c r="P648" s="1">
        <v>45566</v>
      </c>
      <c r="Q648" t="str">
        <f t="shared" si="10"/>
        <v>Medium Performance</v>
      </c>
      <c r="R648" s="2">
        <f>Table1_1[[#This Row],[tasks_completed]]/Table1_1[[#This Row],[monthly_hours_worked]]</f>
        <v>1.7720023626698167E-2</v>
      </c>
    </row>
    <row r="649" spans="1:18" x14ac:dyDescent="0.3">
      <c r="A649" t="s">
        <v>98</v>
      </c>
      <c r="B649" t="s">
        <v>43</v>
      </c>
      <c r="C649" t="s">
        <v>37</v>
      </c>
      <c r="D649" t="s">
        <v>39</v>
      </c>
      <c r="E649">
        <v>3</v>
      </c>
      <c r="F649">
        <v>156.19999999999999</v>
      </c>
      <c r="G649">
        <v>96.6</v>
      </c>
      <c r="H649">
        <v>6.2</v>
      </c>
      <c r="I649">
        <v>6</v>
      </c>
      <c r="J649">
        <v>9.43</v>
      </c>
      <c r="K649">
        <v>4.22</v>
      </c>
      <c r="L649">
        <v>0</v>
      </c>
      <c r="M649" t="s">
        <v>25</v>
      </c>
      <c r="N649" t="s">
        <v>21</v>
      </c>
      <c r="O649">
        <v>13.08</v>
      </c>
      <c r="P649" s="1">
        <v>45597</v>
      </c>
      <c r="Q649" t="str">
        <f t="shared" si="10"/>
        <v>Medium Performance</v>
      </c>
      <c r="R649" s="2">
        <f>Table1_1[[#This Row],[tasks_completed]]/Table1_1[[#This Row],[monthly_hours_worked]]</f>
        <v>3.8412291933418698E-2</v>
      </c>
    </row>
    <row r="650" spans="1:18" x14ac:dyDescent="0.3">
      <c r="A650" t="s">
        <v>99</v>
      </c>
      <c r="B650" t="s">
        <v>17</v>
      </c>
      <c r="C650" t="s">
        <v>37</v>
      </c>
      <c r="D650" t="s">
        <v>29</v>
      </c>
      <c r="E650">
        <v>1</v>
      </c>
      <c r="F650">
        <v>158.1</v>
      </c>
      <c r="G650">
        <v>99</v>
      </c>
      <c r="H650">
        <v>6.2</v>
      </c>
      <c r="I650">
        <v>8</v>
      </c>
      <c r="K650">
        <v>6.63</v>
      </c>
      <c r="L650">
        <v>0</v>
      </c>
      <c r="M650" t="s">
        <v>34</v>
      </c>
      <c r="N650" t="s">
        <v>26</v>
      </c>
      <c r="O650">
        <v>13</v>
      </c>
      <c r="P650" s="1">
        <v>45292</v>
      </c>
      <c r="Q650" t="str">
        <f t="shared" si="10"/>
        <v>Medium Performance</v>
      </c>
      <c r="R650" s="2">
        <f>Table1_1[[#This Row],[tasks_completed]]/Table1_1[[#This Row],[monthly_hours_worked]]</f>
        <v>5.0600885515496526E-2</v>
      </c>
    </row>
    <row r="651" spans="1:18" x14ac:dyDescent="0.3">
      <c r="A651" t="s">
        <v>99</v>
      </c>
      <c r="B651" t="s">
        <v>27</v>
      </c>
      <c r="C651" t="s">
        <v>41</v>
      </c>
      <c r="D651" t="s">
        <v>19</v>
      </c>
      <c r="E651">
        <v>7</v>
      </c>
      <c r="F651">
        <v>161.80000000000001</v>
      </c>
      <c r="G651">
        <v>90.3</v>
      </c>
      <c r="H651">
        <v>4.9000000000000004</v>
      </c>
      <c r="I651">
        <v>5</v>
      </c>
      <c r="J651">
        <v>7.03</v>
      </c>
      <c r="K651">
        <v>3.72</v>
      </c>
      <c r="L651">
        <v>1</v>
      </c>
      <c r="M651" t="s">
        <v>34</v>
      </c>
      <c r="N651" t="s">
        <v>26</v>
      </c>
      <c r="O651">
        <v>8.49</v>
      </c>
      <c r="P651" s="1">
        <v>45292</v>
      </c>
      <c r="Q651" t="str">
        <f t="shared" si="10"/>
        <v>Low Performance</v>
      </c>
      <c r="R651" s="2">
        <f>Table1_1[[#This Row],[tasks_completed]]/Table1_1[[#This Row],[monthly_hours_worked]]</f>
        <v>3.0902348578491962E-2</v>
      </c>
    </row>
    <row r="652" spans="1:18" x14ac:dyDescent="0.3">
      <c r="A652" t="s">
        <v>99</v>
      </c>
      <c r="B652" t="s">
        <v>23</v>
      </c>
      <c r="C652" t="s">
        <v>31</v>
      </c>
      <c r="D652" t="s">
        <v>39</v>
      </c>
      <c r="E652">
        <v>4</v>
      </c>
      <c r="F652">
        <v>159.30000000000001</v>
      </c>
      <c r="G652">
        <v>97.8</v>
      </c>
      <c r="H652">
        <v>6.6</v>
      </c>
      <c r="I652">
        <v>6</v>
      </c>
      <c r="J652">
        <v>8.74</v>
      </c>
      <c r="K652">
        <v>7.47</v>
      </c>
      <c r="L652">
        <v>0</v>
      </c>
      <c r="M652" t="s">
        <v>20</v>
      </c>
      <c r="N652" t="s">
        <v>35</v>
      </c>
      <c r="O652">
        <v>20.09</v>
      </c>
      <c r="P652" s="1">
        <v>45352</v>
      </c>
      <c r="Q652" t="str">
        <f t="shared" si="10"/>
        <v>High Performance</v>
      </c>
      <c r="R652" s="2">
        <f>Table1_1[[#This Row],[tasks_completed]]/Table1_1[[#This Row],[monthly_hours_worked]]</f>
        <v>3.7664783427495289E-2</v>
      </c>
    </row>
    <row r="653" spans="1:18" x14ac:dyDescent="0.3">
      <c r="A653" t="s">
        <v>99</v>
      </c>
      <c r="B653" t="s">
        <v>27</v>
      </c>
      <c r="C653" t="s">
        <v>41</v>
      </c>
      <c r="D653" t="s">
        <v>29</v>
      </c>
      <c r="E653">
        <v>4</v>
      </c>
      <c r="F653">
        <v>161.69999999999999</v>
      </c>
      <c r="G653">
        <v>88.4</v>
      </c>
      <c r="H653">
        <v>6.9</v>
      </c>
      <c r="I653">
        <v>8</v>
      </c>
      <c r="J653">
        <v>6.11</v>
      </c>
      <c r="K653">
        <v>4.91</v>
      </c>
      <c r="L653">
        <v>0</v>
      </c>
      <c r="M653" t="s">
        <v>20</v>
      </c>
      <c r="N653" t="s">
        <v>21</v>
      </c>
      <c r="O653">
        <v>1.18</v>
      </c>
      <c r="P653" s="1">
        <v>45352</v>
      </c>
      <c r="Q653" t="str">
        <f t="shared" si="10"/>
        <v>Low Performance</v>
      </c>
      <c r="R653" s="2">
        <f>Table1_1[[#This Row],[tasks_completed]]/Table1_1[[#This Row],[monthly_hours_worked]]</f>
        <v>4.9474335188620905E-2</v>
      </c>
    </row>
    <row r="654" spans="1:18" x14ac:dyDescent="0.3">
      <c r="A654" t="s">
        <v>99</v>
      </c>
      <c r="B654" t="s">
        <v>43</v>
      </c>
      <c r="C654" t="s">
        <v>18</v>
      </c>
      <c r="D654" t="s">
        <v>39</v>
      </c>
      <c r="E654">
        <v>8</v>
      </c>
      <c r="F654">
        <v>154.5</v>
      </c>
      <c r="G654">
        <v>92.4</v>
      </c>
      <c r="H654">
        <v>5.6</v>
      </c>
      <c r="I654">
        <v>6</v>
      </c>
      <c r="J654">
        <v>8.92</v>
      </c>
      <c r="K654">
        <v>6.2</v>
      </c>
      <c r="L654">
        <v>0</v>
      </c>
      <c r="M654" t="s">
        <v>20</v>
      </c>
      <c r="N654" t="s">
        <v>21</v>
      </c>
      <c r="O654">
        <v>4.49</v>
      </c>
      <c r="P654" s="1">
        <v>45383</v>
      </c>
      <c r="Q654" t="str">
        <f t="shared" si="10"/>
        <v>Low Performance</v>
      </c>
      <c r="R654" s="2">
        <f>Table1_1[[#This Row],[tasks_completed]]/Table1_1[[#This Row],[monthly_hours_worked]]</f>
        <v>3.8834951456310676E-2</v>
      </c>
    </row>
    <row r="655" spans="1:18" x14ac:dyDescent="0.3">
      <c r="A655" t="s">
        <v>99</v>
      </c>
      <c r="B655" t="s">
        <v>17</v>
      </c>
      <c r="C655" t="s">
        <v>24</v>
      </c>
      <c r="D655" t="s">
        <v>39</v>
      </c>
      <c r="E655">
        <v>2</v>
      </c>
      <c r="F655">
        <v>166.4</v>
      </c>
      <c r="G655">
        <v>92.1</v>
      </c>
      <c r="H655">
        <v>4.5999999999999996</v>
      </c>
      <c r="I655">
        <v>6</v>
      </c>
      <c r="J655">
        <v>7.36</v>
      </c>
      <c r="K655">
        <v>5.83</v>
      </c>
      <c r="L655">
        <v>1</v>
      </c>
      <c r="M655" t="s">
        <v>20</v>
      </c>
      <c r="N655" t="s">
        <v>35</v>
      </c>
      <c r="O655">
        <v>14.96</v>
      </c>
      <c r="P655" s="1">
        <v>45413</v>
      </c>
      <c r="Q655" t="str">
        <f t="shared" si="10"/>
        <v>Medium Performance</v>
      </c>
      <c r="R655" s="2">
        <f>Table1_1[[#This Row],[tasks_completed]]/Table1_1[[#This Row],[monthly_hours_worked]]</f>
        <v>3.6057692307692304E-2</v>
      </c>
    </row>
    <row r="656" spans="1:18" x14ac:dyDescent="0.3">
      <c r="A656" t="s">
        <v>99</v>
      </c>
      <c r="B656" t="s">
        <v>43</v>
      </c>
      <c r="C656" t="s">
        <v>24</v>
      </c>
      <c r="D656" t="s">
        <v>19</v>
      </c>
      <c r="E656">
        <v>8</v>
      </c>
      <c r="F656">
        <v>167.8</v>
      </c>
      <c r="G656">
        <v>89.4</v>
      </c>
      <c r="H656">
        <v>5.0999999999999996</v>
      </c>
      <c r="I656">
        <v>7</v>
      </c>
      <c r="J656">
        <v>5.14</v>
      </c>
      <c r="K656">
        <v>7.87</v>
      </c>
      <c r="L656">
        <v>0</v>
      </c>
      <c r="M656" t="s">
        <v>20</v>
      </c>
      <c r="N656" t="s">
        <v>35</v>
      </c>
      <c r="O656">
        <v>16.2</v>
      </c>
      <c r="P656" s="1">
        <v>45444</v>
      </c>
      <c r="Q656" t="str">
        <f t="shared" si="10"/>
        <v>High Performance</v>
      </c>
      <c r="R656" s="2">
        <f>Table1_1[[#This Row],[tasks_completed]]/Table1_1[[#This Row],[monthly_hours_worked]]</f>
        <v>4.1716328963051247E-2</v>
      </c>
    </row>
    <row r="657" spans="1:18" x14ac:dyDescent="0.3">
      <c r="A657" t="s">
        <v>99</v>
      </c>
      <c r="B657" t="s">
        <v>43</v>
      </c>
      <c r="C657" t="s">
        <v>18</v>
      </c>
      <c r="D657" t="s">
        <v>39</v>
      </c>
      <c r="E657">
        <v>9</v>
      </c>
      <c r="F657">
        <v>159.4</v>
      </c>
      <c r="G657">
        <v>100</v>
      </c>
      <c r="H657">
        <v>4</v>
      </c>
      <c r="I657">
        <v>5</v>
      </c>
      <c r="J657">
        <v>8.08</v>
      </c>
      <c r="K657">
        <v>6.24</v>
      </c>
      <c r="L657">
        <v>0</v>
      </c>
      <c r="M657" t="s">
        <v>34</v>
      </c>
      <c r="N657" t="s">
        <v>26</v>
      </c>
      <c r="O657">
        <v>15.93</v>
      </c>
      <c r="P657" s="1">
        <v>45474</v>
      </c>
      <c r="Q657" t="str">
        <f t="shared" si="10"/>
        <v>High Performance</v>
      </c>
      <c r="R657" s="2">
        <f>Table1_1[[#This Row],[tasks_completed]]/Table1_1[[#This Row],[monthly_hours_worked]]</f>
        <v>3.1367628607277286E-2</v>
      </c>
    </row>
    <row r="658" spans="1:18" x14ac:dyDescent="0.3">
      <c r="A658" t="s">
        <v>99</v>
      </c>
      <c r="B658" t="s">
        <v>43</v>
      </c>
      <c r="C658" t="s">
        <v>37</v>
      </c>
      <c r="D658" t="s">
        <v>29</v>
      </c>
      <c r="E658">
        <v>6</v>
      </c>
      <c r="F658">
        <v>150.6</v>
      </c>
      <c r="G658">
        <v>100</v>
      </c>
      <c r="H658">
        <v>3.1</v>
      </c>
      <c r="I658">
        <v>4</v>
      </c>
      <c r="J658">
        <v>8.99</v>
      </c>
      <c r="K658">
        <v>5.3</v>
      </c>
      <c r="L658">
        <v>1</v>
      </c>
      <c r="M658" t="s">
        <v>20</v>
      </c>
      <c r="N658" t="s">
        <v>21</v>
      </c>
      <c r="O658">
        <v>9.17</v>
      </c>
      <c r="P658" s="1">
        <v>45505</v>
      </c>
      <c r="Q658" t="str">
        <f t="shared" si="10"/>
        <v>Low Performance</v>
      </c>
      <c r="R658" s="2">
        <f>Table1_1[[#This Row],[tasks_completed]]/Table1_1[[#This Row],[monthly_hours_worked]]</f>
        <v>2.6560424966799469E-2</v>
      </c>
    </row>
    <row r="659" spans="1:18" x14ac:dyDescent="0.3">
      <c r="A659" t="s">
        <v>99</v>
      </c>
      <c r="B659" t="s">
        <v>17</v>
      </c>
      <c r="C659" t="s">
        <v>18</v>
      </c>
      <c r="D659" t="s">
        <v>39</v>
      </c>
      <c r="E659">
        <v>5</v>
      </c>
      <c r="F659">
        <v>157.4</v>
      </c>
      <c r="G659">
        <v>84</v>
      </c>
      <c r="I659">
        <v>4</v>
      </c>
      <c r="J659">
        <v>10</v>
      </c>
      <c r="K659">
        <v>9.1</v>
      </c>
      <c r="L659">
        <v>1</v>
      </c>
      <c r="M659" t="s">
        <v>34</v>
      </c>
      <c r="N659" t="s">
        <v>21</v>
      </c>
      <c r="O659">
        <v>8.49</v>
      </c>
      <c r="P659" s="1">
        <v>45536</v>
      </c>
      <c r="Q659" t="str">
        <f t="shared" si="10"/>
        <v>Low Performance</v>
      </c>
      <c r="R659" s="2">
        <f>Table1_1[[#This Row],[tasks_completed]]/Table1_1[[#This Row],[monthly_hours_worked]]</f>
        <v>2.5412960609911054E-2</v>
      </c>
    </row>
    <row r="660" spans="1:18" x14ac:dyDescent="0.3">
      <c r="A660" t="s">
        <v>99</v>
      </c>
      <c r="B660" t="s">
        <v>23</v>
      </c>
      <c r="C660" t="s">
        <v>24</v>
      </c>
      <c r="D660" t="s">
        <v>19</v>
      </c>
      <c r="E660">
        <v>10</v>
      </c>
      <c r="F660">
        <v>140.19999999999999</v>
      </c>
      <c r="G660">
        <v>94.7</v>
      </c>
      <c r="H660">
        <v>1</v>
      </c>
      <c r="I660">
        <v>8</v>
      </c>
      <c r="J660">
        <v>7.2</v>
      </c>
      <c r="K660">
        <v>9.01</v>
      </c>
      <c r="L660">
        <v>0</v>
      </c>
      <c r="M660" t="s">
        <v>25</v>
      </c>
      <c r="N660" t="s">
        <v>26</v>
      </c>
      <c r="O660">
        <v>20.16</v>
      </c>
      <c r="P660" s="1">
        <v>45566</v>
      </c>
      <c r="Q660" t="str">
        <f t="shared" si="10"/>
        <v>High Performance</v>
      </c>
      <c r="R660" s="2">
        <f>Table1_1[[#This Row],[tasks_completed]]/Table1_1[[#This Row],[monthly_hours_worked]]</f>
        <v>5.7061340941512127E-2</v>
      </c>
    </row>
    <row r="661" spans="1:18" x14ac:dyDescent="0.3">
      <c r="A661" t="s">
        <v>99</v>
      </c>
      <c r="B661" t="s">
        <v>23</v>
      </c>
      <c r="C661" t="s">
        <v>37</v>
      </c>
      <c r="D661" t="s">
        <v>19</v>
      </c>
      <c r="E661">
        <v>10</v>
      </c>
      <c r="F661">
        <v>142.6</v>
      </c>
      <c r="G661">
        <v>89.7</v>
      </c>
      <c r="H661">
        <v>4.4000000000000004</v>
      </c>
      <c r="I661">
        <v>5</v>
      </c>
      <c r="J661">
        <v>7.82</v>
      </c>
      <c r="K661">
        <v>5.24</v>
      </c>
      <c r="L661">
        <v>1</v>
      </c>
      <c r="M661" t="s">
        <v>20</v>
      </c>
      <c r="N661" t="s">
        <v>35</v>
      </c>
      <c r="O661">
        <v>5.65</v>
      </c>
      <c r="P661" s="1">
        <v>45597</v>
      </c>
      <c r="Q661" t="str">
        <f t="shared" si="10"/>
        <v>Low Performance</v>
      </c>
      <c r="R661" s="2">
        <f>Table1_1[[#This Row],[tasks_completed]]/Table1_1[[#This Row],[monthly_hours_worked]]</f>
        <v>3.5063113604488078E-2</v>
      </c>
    </row>
    <row r="662" spans="1:18" x14ac:dyDescent="0.3">
      <c r="A662" t="s">
        <v>100</v>
      </c>
      <c r="B662" t="s">
        <v>23</v>
      </c>
      <c r="C662" t="s">
        <v>31</v>
      </c>
      <c r="D662" t="s">
        <v>19</v>
      </c>
      <c r="E662">
        <v>2</v>
      </c>
      <c r="F662">
        <v>153</v>
      </c>
      <c r="G662">
        <v>100</v>
      </c>
      <c r="I662">
        <v>7</v>
      </c>
      <c r="J662">
        <v>6.35</v>
      </c>
      <c r="K662">
        <v>5.2</v>
      </c>
      <c r="L662">
        <v>1</v>
      </c>
      <c r="M662" t="s">
        <v>25</v>
      </c>
      <c r="N662" t="s">
        <v>21</v>
      </c>
      <c r="O662">
        <v>12.42</v>
      </c>
      <c r="P662" s="1">
        <v>45292</v>
      </c>
      <c r="Q662" t="str">
        <f t="shared" si="10"/>
        <v>Medium Performance</v>
      </c>
      <c r="R662" s="2">
        <f>Table1_1[[#This Row],[tasks_completed]]/Table1_1[[#This Row],[monthly_hours_worked]]</f>
        <v>4.5751633986928102E-2</v>
      </c>
    </row>
    <row r="663" spans="1:18" x14ac:dyDescent="0.3">
      <c r="A663" t="s">
        <v>100</v>
      </c>
      <c r="B663" t="s">
        <v>43</v>
      </c>
      <c r="C663" t="s">
        <v>31</v>
      </c>
      <c r="D663" t="s">
        <v>29</v>
      </c>
      <c r="E663">
        <v>10</v>
      </c>
      <c r="F663">
        <v>155.4</v>
      </c>
      <c r="G663">
        <v>95</v>
      </c>
      <c r="H663">
        <v>1.9</v>
      </c>
      <c r="I663">
        <v>7</v>
      </c>
      <c r="J663">
        <v>7.71</v>
      </c>
      <c r="K663">
        <v>9.33</v>
      </c>
      <c r="L663">
        <v>0</v>
      </c>
      <c r="M663" t="s">
        <v>34</v>
      </c>
      <c r="N663" t="s">
        <v>26</v>
      </c>
      <c r="O663">
        <v>13.74</v>
      </c>
      <c r="P663" s="1">
        <v>45292</v>
      </c>
      <c r="Q663" t="str">
        <f t="shared" si="10"/>
        <v>Medium Performance</v>
      </c>
      <c r="R663" s="2">
        <f>Table1_1[[#This Row],[tasks_completed]]/Table1_1[[#This Row],[monthly_hours_worked]]</f>
        <v>4.5045045045045043E-2</v>
      </c>
    </row>
    <row r="664" spans="1:18" x14ac:dyDescent="0.3">
      <c r="A664" t="s">
        <v>100</v>
      </c>
      <c r="B664" t="s">
        <v>23</v>
      </c>
      <c r="C664" t="s">
        <v>31</v>
      </c>
      <c r="D664" t="s">
        <v>19</v>
      </c>
      <c r="E664">
        <v>10</v>
      </c>
      <c r="F664">
        <v>187.1</v>
      </c>
      <c r="G664">
        <v>100</v>
      </c>
      <c r="H664">
        <v>7.3</v>
      </c>
      <c r="I664">
        <v>7</v>
      </c>
      <c r="J664">
        <v>9.2799999999999994</v>
      </c>
      <c r="K664">
        <v>7.13</v>
      </c>
      <c r="L664">
        <v>0</v>
      </c>
      <c r="M664" t="s">
        <v>20</v>
      </c>
      <c r="N664" t="s">
        <v>35</v>
      </c>
      <c r="O664">
        <v>23.09</v>
      </c>
      <c r="P664" s="1">
        <v>45352</v>
      </c>
      <c r="Q664" t="str">
        <f t="shared" si="10"/>
        <v>High Performance</v>
      </c>
      <c r="R664" s="2">
        <f>Table1_1[[#This Row],[tasks_completed]]/Table1_1[[#This Row],[monthly_hours_worked]]</f>
        <v>3.741314804917157E-2</v>
      </c>
    </row>
    <row r="665" spans="1:18" x14ac:dyDescent="0.3">
      <c r="A665" t="s">
        <v>100</v>
      </c>
      <c r="B665" t="s">
        <v>17</v>
      </c>
      <c r="C665" t="s">
        <v>24</v>
      </c>
      <c r="D665" t="s">
        <v>29</v>
      </c>
      <c r="E665">
        <v>6</v>
      </c>
      <c r="F665">
        <v>158.6</v>
      </c>
      <c r="G665">
        <v>97</v>
      </c>
      <c r="H665">
        <v>5</v>
      </c>
      <c r="I665">
        <v>3</v>
      </c>
      <c r="J665">
        <v>6.02</v>
      </c>
      <c r="K665">
        <v>2.4900000000000002</v>
      </c>
      <c r="L665">
        <v>0</v>
      </c>
      <c r="M665" t="s">
        <v>20</v>
      </c>
      <c r="N665" t="s">
        <v>26</v>
      </c>
      <c r="O665">
        <v>14.54</v>
      </c>
      <c r="P665" s="1">
        <v>45352</v>
      </c>
      <c r="Q665" t="str">
        <f t="shared" si="10"/>
        <v>Medium Performance</v>
      </c>
      <c r="R665" s="2">
        <f>Table1_1[[#This Row],[tasks_completed]]/Table1_1[[#This Row],[monthly_hours_worked]]</f>
        <v>1.8915510718789406E-2</v>
      </c>
    </row>
    <row r="666" spans="1:18" x14ac:dyDescent="0.3">
      <c r="A666" t="s">
        <v>100</v>
      </c>
      <c r="B666" t="s">
        <v>17</v>
      </c>
      <c r="C666" t="s">
        <v>41</v>
      </c>
      <c r="D666" t="s">
        <v>29</v>
      </c>
      <c r="E666">
        <v>1</v>
      </c>
      <c r="F666">
        <v>151.30000000000001</v>
      </c>
      <c r="G666">
        <v>99.1</v>
      </c>
      <c r="H666">
        <v>4.3</v>
      </c>
      <c r="I666">
        <v>5</v>
      </c>
      <c r="J666">
        <v>9.25</v>
      </c>
      <c r="K666">
        <v>9.93</v>
      </c>
      <c r="L666">
        <v>1</v>
      </c>
      <c r="M666" t="s">
        <v>34</v>
      </c>
      <c r="N666" t="s">
        <v>21</v>
      </c>
      <c r="O666">
        <v>16.940000000000001</v>
      </c>
      <c r="P666" s="1">
        <v>45383</v>
      </c>
      <c r="Q666" t="str">
        <f t="shared" si="10"/>
        <v>High Performance</v>
      </c>
      <c r="R666" s="2">
        <f>Table1_1[[#This Row],[tasks_completed]]/Table1_1[[#This Row],[monthly_hours_worked]]</f>
        <v>3.3046926635822864E-2</v>
      </c>
    </row>
    <row r="667" spans="1:18" x14ac:dyDescent="0.3">
      <c r="A667" t="s">
        <v>100</v>
      </c>
      <c r="B667" t="s">
        <v>33</v>
      </c>
      <c r="C667" t="s">
        <v>37</v>
      </c>
      <c r="D667" t="s">
        <v>29</v>
      </c>
      <c r="E667">
        <v>1</v>
      </c>
      <c r="F667">
        <v>155.6</v>
      </c>
      <c r="G667">
        <v>100</v>
      </c>
      <c r="H667">
        <v>2.9</v>
      </c>
      <c r="I667">
        <v>2</v>
      </c>
      <c r="J667">
        <v>8.02</v>
      </c>
      <c r="K667">
        <v>7.3</v>
      </c>
      <c r="L667">
        <v>0</v>
      </c>
      <c r="M667" t="s">
        <v>20</v>
      </c>
      <c r="N667" t="s">
        <v>21</v>
      </c>
      <c r="O667">
        <v>3.18</v>
      </c>
      <c r="P667" s="1">
        <v>45413</v>
      </c>
      <c r="Q667" t="str">
        <f t="shared" si="10"/>
        <v>Low Performance</v>
      </c>
      <c r="R667" s="2">
        <f>Table1_1[[#This Row],[tasks_completed]]/Table1_1[[#This Row],[monthly_hours_worked]]</f>
        <v>1.2853470437017995E-2</v>
      </c>
    </row>
    <row r="668" spans="1:18" x14ac:dyDescent="0.3">
      <c r="A668" t="s">
        <v>100</v>
      </c>
      <c r="B668" t="s">
        <v>33</v>
      </c>
      <c r="C668" t="s">
        <v>31</v>
      </c>
      <c r="D668" t="s">
        <v>19</v>
      </c>
      <c r="E668">
        <v>7</v>
      </c>
      <c r="F668">
        <v>159.69999999999999</v>
      </c>
      <c r="G668">
        <v>100</v>
      </c>
      <c r="H668">
        <v>3.3</v>
      </c>
      <c r="I668">
        <v>6</v>
      </c>
      <c r="J668">
        <v>6.76</v>
      </c>
      <c r="K668">
        <v>8.36</v>
      </c>
      <c r="L668">
        <v>0</v>
      </c>
      <c r="M668" t="s">
        <v>34</v>
      </c>
      <c r="N668" t="s">
        <v>35</v>
      </c>
      <c r="O668">
        <v>7.17</v>
      </c>
      <c r="P668" s="1">
        <v>45444</v>
      </c>
      <c r="Q668" t="str">
        <f t="shared" si="10"/>
        <v>Low Performance</v>
      </c>
      <c r="R668" s="2">
        <f>Table1_1[[#This Row],[tasks_completed]]/Table1_1[[#This Row],[monthly_hours_worked]]</f>
        <v>3.7570444583594244E-2</v>
      </c>
    </row>
    <row r="669" spans="1:18" x14ac:dyDescent="0.3">
      <c r="A669" t="s">
        <v>100</v>
      </c>
      <c r="B669" t="s">
        <v>27</v>
      </c>
      <c r="C669" t="s">
        <v>31</v>
      </c>
      <c r="D669" t="s">
        <v>19</v>
      </c>
      <c r="E669">
        <v>10</v>
      </c>
      <c r="F669">
        <v>184.6</v>
      </c>
      <c r="G669">
        <v>94.5</v>
      </c>
      <c r="H669">
        <v>6.9</v>
      </c>
      <c r="I669">
        <v>4</v>
      </c>
      <c r="K669">
        <v>6.43</v>
      </c>
      <c r="L669">
        <v>0</v>
      </c>
      <c r="M669" t="s">
        <v>20</v>
      </c>
      <c r="N669" t="s">
        <v>26</v>
      </c>
      <c r="O669">
        <v>19.260000000000002</v>
      </c>
      <c r="P669" s="1">
        <v>45474</v>
      </c>
      <c r="Q669" t="str">
        <f t="shared" si="10"/>
        <v>High Performance</v>
      </c>
      <c r="R669" s="2">
        <f>Table1_1[[#This Row],[tasks_completed]]/Table1_1[[#This Row],[monthly_hours_worked]]</f>
        <v>2.1668472372697724E-2</v>
      </c>
    </row>
    <row r="670" spans="1:18" x14ac:dyDescent="0.3">
      <c r="A670" t="s">
        <v>100</v>
      </c>
      <c r="B670" t="s">
        <v>17</v>
      </c>
      <c r="C670" t="s">
        <v>37</v>
      </c>
      <c r="D670" t="s">
        <v>39</v>
      </c>
      <c r="E670">
        <v>3</v>
      </c>
      <c r="F670">
        <v>167</v>
      </c>
      <c r="G670">
        <v>86.6</v>
      </c>
      <c r="H670">
        <v>5.9</v>
      </c>
      <c r="I670">
        <v>4</v>
      </c>
      <c r="J670">
        <v>7.39</v>
      </c>
      <c r="K670">
        <v>5.45</v>
      </c>
      <c r="L670">
        <v>2</v>
      </c>
      <c r="M670" t="s">
        <v>20</v>
      </c>
      <c r="N670" t="s">
        <v>26</v>
      </c>
      <c r="O670">
        <v>6.46</v>
      </c>
      <c r="P670" s="1">
        <v>45505</v>
      </c>
      <c r="Q670" t="str">
        <f t="shared" si="10"/>
        <v>Low Performance</v>
      </c>
      <c r="R670" s="2">
        <f>Table1_1[[#This Row],[tasks_completed]]/Table1_1[[#This Row],[monthly_hours_worked]]</f>
        <v>2.3952095808383235E-2</v>
      </c>
    </row>
    <row r="671" spans="1:18" x14ac:dyDescent="0.3">
      <c r="A671" t="s">
        <v>100</v>
      </c>
      <c r="B671" t="s">
        <v>23</v>
      </c>
      <c r="C671" t="s">
        <v>37</v>
      </c>
      <c r="D671" t="s">
        <v>19</v>
      </c>
      <c r="E671">
        <v>1</v>
      </c>
      <c r="F671">
        <v>167.2</v>
      </c>
      <c r="G671">
        <v>93.7</v>
      </c>
      <c r="H671">
        <v>5.7</v>
      </c>
      <c r="I671">
        <v>4</v>
      </c>
      <c r="K671">
        <v>9.36</v>
      </c>
      <c r="L671">
        <v>1</v>
      </c>
      <c r="M671" t="s">
        <v>34</v>
      </c>
      <c r="N671" t="s">
        <v>21</v>
      </c>
      <c r="O671">
        <v>11.29</v>
      </c>
      <c r="P671" s="1">
        <v>45536</v>
      </c>
      <c r="Q671" t="str">
        <f t="shared" si="10"/>
        <v>Medium Performance</v>
      </c>
      <c r="R671" s="2">
        <f>Table1_1[[#This Row],[tasks_completed]]/Table1_1[[#This Row],[monthly_hours_worked]]</f>
        <v>2.3923444976076555E-2</v>
      </c>
    </row>
    <row r="672" spans="1:18" x14ac:dyDescent="0.3">
      <c r="A672" t="s">
        <v>100</v>
      </c>
      <c r="B672" t="s">
        <v>23</v>
      </c>
      <c r="C672" t="s">
        <v>37</v>
      </c>
      <c r="D672" t="s">
        <v>29</v>
      </c>
      <c r="E672">
        <v>3</v>
      </c>
      <c r="F672">
        <v>164.5</v>
      </c>
      <c r="G672">
        <v>96.4</v>
      </c>
      <c r="H672">
        <v>4.5999999999999996</v>
      </c>
      <c r="I672">
        <v>4</v>
      </c>
      <c r="J672">
        <v>8.5</v>
      </c>
      <c r="K672">
        <v>4.1900000000000004</v>
      </c>
      <c r="L672">
        <v>0</v>
      </c>
      <c r="M672" t="s">
        <v>25</v>
      </c>
      <c r="N672" t="s">
        <v>35</v>
      </c>
      <c r="O672">
        <v>4.18</v>
      </c>
      <c r="P672" s="1">
        <v>45566</v>
      </c>
      <c r="Q672" t="str">
        <f t="shared" si="10"/>
        <v>Low Performance</v>
      </c>
      <c r="R672" s="2">
        <f>Table1_1[[#This Row],[tasks_completed]]/Table1_1[[#This Row],[monthly_hours_worked]]</f>
        <v>2.4316109422492401E-2</v>
      </c>
    </row>
    <row r="673" spans="1:18" x14ac:dyDescent="0.3">
      <c r="A673" t="s">
        <v>100</v>
      </c>
      <c r="B673" t="s">
        <v>17</v>
      </c>
      <c r="C673" t="s">
        <v>24</v>
      </c>
      <c r="D673" t="s">
        <v>39</v>
      </c>
      <c r="E673">
        <v>4</v>
      </c>
      <c r="F673">
        <v>156.4</v>
      </c>
      <c r="G673">
        <v>100</v>
      </c>
      <c r="H673">
        <v>5.0999999999999996</v>
      </c>
      <c r="I673">
        <v>7</v>
      </c>
      <c r="J673">
        <v>7.69</v>
      </c>
      <c r="K673">
        <v>7.77</v>
      </c>
      <c r="L673">
        <v>1</v>
      </c>
      <c r="M673" t="s">
        <v>34</v>
      </c>
      <c r="N673" t="s">
        <v>21</v>
      </c>
      <c r="O673">
        <v>18.43</v>
      </c>
      <c r="P673" s="1">
        <v>45597</v>
      </c>
      <c r="Q673" t="str">
        <f t="shared" si="10"/>
        <v>High Performance</v>
      </c>
      <c r="R673" s="2">
        <f>Table1_1[[#This Row],[tasks_completed]]/Table1_1[[#This Row],[monthly_hours_worked]]</f>
        <v>4.4757033248081841E-2</v>
      </c>
    </row>
    <row r="674" spans="1:18" x14ac:dyDescent="0.3">
      <c r="A674" t="s">
        <v>101</v>
      </c>
      <c r="B674" t="s">
        <v>27</v>
      </c>
      <c r="C674" t="s">
        <v>31</v>
      </c>
      <c r="D674" t="s">
        <v>39</v>
      </c>
      <c r="E674">
        <v>8</v>
      </c>
      <c r="F674">
        <v>159.30000000000001</v>
      </c>
      <c r="G674">
        <v>100</v>
      </c>
      <c r="H674">
        <v>4.3</v>
      </c>
      <c r="I674">
        <v>7</v>
      </c>
      <c r="J674">
        <v>8.85</v>
      </c>
      <c r="K674">
        <v>8.74</v>
      </c>
      <c r="L674">
        <v>1</v>
      </c>
      <c r="M674" t="s">
        <v>34</v>
      </c>
      <c r="N674" t="s">
        <v>21</v>
      </c>
      <c r="O674">
        <v>16.510000000000002</v>
      </c>
      <c r="P674" s="1">
        <v>45292</v>
      </c>
      <c r="Q674" t="str">
        <f t="shared" si="10"/>
        <v>High Performance</v>
      </c>
      <c r="R674" s="2">
        <f>Table1_1[[#This Row],[tasks_completed]]/Table1_1[[#This Row],[monthly_hours_worked]]</f>
        <v>4.3942247332077834E-2</v>
      </c>
    </row>
    <row r="675" spans="1:18" x14ac:dyDescent="0.3">
      <c r="A675" t="s">
        <v>101</v>
      </c>
      <c r="B675" t="s">
        <v>27</v>
      </c>
      <c r="C675" t="s">
        <v>31</v>
      </c>
      <c r="D675" t="s">
        <v>39</v>
      </c>
      <c r="E675">
        <v>9</v>
      </c>
      <c r="F675">
        <v>158</v>
      </c>
      <c r="G675">
        <v>93.4</v>
      </c>
      <c r="I675">
        <v>5</v>
      </c>
      <c r="J675">
        <v>8.93</v>
      </c>
      <c r="K675">
        <v>5.91</v>
      </c>
      <c r="L675">
        <v>1</v>
      </c>
      <c r="M675" t="s">
        <v>25</v>
      </c>
      <c r="N675" t="s">
        <v>35</v>
      </c>
      <c r="O675">
        <v>14.52</v>
      </c>
      <c r="P675" s="1">
        <v>45292</v>
      </c>
      <c r="Q675" t="str">
        <f t="shared" si="10"/>
        <v>Medium Performance</v>
      </c>
      <c r="R675" s="2">
        <f>Table1_1[[#This Row],[tasks_completed]]/Table1_1[[#This Row],[monthly_hours_worked]]</f>
        <v>3.1645569620253167E-2</v>
      </c>
    </row>
    <row r="676" spans="1:18" x14ac:dyDescent="0.3">
      <c r="A676" t="s">
        <v>101</v>
      </c>
      <c r="B676" t="s">
        <v>27</v>
      </c>
      <c r="C676" t="s">
        <v>24</v>
      </c>
      <c r="D676" t="s">
        <v>19</v>
      </c>
      <c r="E676">
        <v>5</v>
      </c>
      <c r="F676">
        <v>148.6</v>
      </c>
      <c r="G676">
        <v>96.1</v>
      </c>
      <c r="H676">
        <v>7.5</v>
      </c>
      <c r="I676">
        <v>2</v>
      </c>
      <c r="J676">
        <v>7.32</v>
      </c>
      <c r="K676">
        <v>10</v>
      </c>
      <c r="L676">
        <v>1</v>
      </c>
      <c r="M676" t="s">
        <v>25</v>
      </c>
      <c r="N676" t="s">
        <v>35</v>
      </c>
      <c r="O676">
        <v>10.67</v>
      </c>
      <c r="P676" s="1">
        <v>45352</v>
      </c>
      <c r="Q676" t="str">
        <f t="shared" si="10"/>
        <v>Medium Performance</v>
      </c>
      <c r="R676" s="2">
        <f>Table1_1[[#This Row],[tasks_completed]]/Table1_1[[#This Row],[monthly_hours_worked]]</f>
        <v>1.3458950201884253E-2</v>
      </c>
    </row>
    <row r="677" spans="1:18" x14ac:dyDescent="0.3">
      <c r="A677" t="s">
        <v>101</v>
      </c>
      <c r="B677" t="s">
        <v>33</v>
      </c>
      <c r="C677" t="s">
        <v>24</v>
      </c>
      <c r="D677" t="s">
        <v>29</v>
      </c>
      <c r="E677">
        <v>6</v>
      </c>
      <c r="F677">
        <v>165.1</v>
      </c>
      <c r="G677">
        <v>100</v>
      </c>
      <c r="H677">
        <v>4.4000000000000004</v>
      </c>
      <c r="I677">
        <v>6</v>
      </c>
      <c r="J677">
        <v>8.27</v>
      </c>
      <c r="K677">
        <v>8.5299999999999994</v>
      </c>
      <c r="L677">
        <v>0</v>
      </c>
      <c r="M677" t="s">
        <v>20</v>
      </c>
      <c r="N677" t="s">
        <v>35</v>
      </c>
      <c r="O677">
        <v>18.55</v>
      </c>
      <c r="P677" s="1">
        <v>45352</v>
      </c>
      <c r="Q677" t="str">
        <f t="shared" si="10"/>
        <v>High Performance</v>
      </c>
      <c r="R677" s="2">
        <f>Table1_1[[#This Row],[tasks_completed]]/Table1_1[[#This Row],[monthly_hours_worked]]</f>
        <v>3.6341611144760755E-2</v>
      </c>
    </row>
    <row r="678" spans="1:18" x14ac:dyDescent="0.3">
      <c r="A678" t="s">
        <v>101</v>
      </c>
      <c r="B678" t="s">
        <v>27</v>
      </c>
      <c r="C678" t="s">
        <v>18</v>
      </c>
      <c r="D678" t="s">
        <v>39</v>
      </c>
      <c r="E678">
        <v>5</v>
      </c>
      <c r="F678">
        <v>170.9</v>
      </c>
      <c r="G678">
        <v>86.6</v>
      </c>
      <c r="H678">
        <v>6.9</v>
      </c>
      <c r="I678">
        <v>3</v>
      </c>
      <c r="J678">
        <v>8.73</v>
      </c>
      <c r="K678">
        <v>7.24</v>
      </c>
      <c r="L678">
        <v>0</v>
      </c>
      <c r="M678" t="s">
        <v>25</v>
      </c>
      <c r="N678" t="s">
        <v>35</v>
      </c>
      <c r="O678">
        <v>2.1</v>
      </c>
      <c r="P678" s="1">
        <v>45383</v>
      </c>
      <c r="Q678" t="str">
        <f t="shared" si="10"/>
        <v>Low Performance</v>
      </c>
      <c r="R678" s="2">
        <f>Table1_1[[#This Row],[tasks_completed]]/Table1_1[[#This Row],[monthly_hours_worked]]</f>
        <v>1.7554125219426564E-2</v>
      </c>
    </row>
    <row r="679" spans="1:18" x14ac:dyDescent="0.3">
      <c r="A679" t="s">
        <v>101</v>
      </c>
      <c r="B679" t="s">
        <v>23</v>
      </c>
      <c r="C679" t="s">
        <v>24</v>
      </c>
      <c r="D679" t="s">
        <v>39</v>
      </c>
      <c r="E679">
        <v>5</v>
      </c>
      <c r="F679">
        <v>157.69999999999999</v>
      </c>
      <c r="G679">
        <v>98.6</v>
      </c>
      <c r="H679">
        <v>4.9000000000000004</v>
      </c>
      <c r="I679">
        <v>6</v>
      </c>
      <c r="J679">
        <v>7.27</v>
      </c>
      <c r="K679">
        <v>9.9600000000000009</v>
      </c>
      <c r="L679">
        <v>1</v>
      </c>
      <c r="M679" t="s">
        <v>34</v>
      </c>
      <c r="N679" t="s">
        <v>26</v>
      </c>
      <c r="O679">
        <v>6.97</v>
      </c>
      <c r="P679" s="1">
        <v>45413</v>
      </c>
      <c r="Q679" t="str">
        <f t="shared" si="10"/>
        <v>Low Performance</v>
      </c>
      <c r="R679" s="2">
        <f>Table1_1[[#This Row],[tasks_completed]]/Table1_1[[#This Row],[monthly_hours_worked]]</f>
        <v>3.8046924540266334E-2</v>
      </c>
    </row>
    <row r="680" spans="1:18" x14ac:dyDescent="0.3">
      <c r="A680" t="s">
        <v>101</v>
      </c>
      <c r="B680" t="s">
        <v>43</v>
      </c>
      <c r="C680" t="s">
        <v>31</v>
      </c>
      <c r="D680" t="s">
        <v>19</v>
      </c>
      <c r="E680">
        <v>4</v>
      </c>
      <c r="F680">
        <v>175.6</v>
      </c>
      <c r="G680">
        <v>94.1</v>
      </c>
      <c r="H680">
        <v>5.5</v>
      </c>
      <c r="I680">
        <v>8</v>
      </c>
      <c r="J680">
        <v>6.97</v>
      </c>
      <c r="K680">
        <v>7.49</v>
      </c>
      <c r="L680">
        <v>0</v>
      </c>
      <c r="M680" t="s">
        <v>20</v>
      </c>
      <c r="N680" t="s">
        <v>35</v>
      </c>
      <c r="O680">
        <v>13.55</v>
      </c>
      <c r="P680" s="1">
        <v>45444</v>
      </c>
      <c r="Q680" t="str">
        <f t="shared" si="10"/>
        <v>Medium Performance</v>
      </c>
      <c r="R680" s="2">
        <f>Table1_1[[#This Row],[tasks_completed]]/Table1_1[[#This Row],[monthly_hours_worked]]</f>
        <v>4.5558086560364468E-2</v>
      </c>
    </row>
    <row r="681" spans="1:18" x14ac:dyDescent="0.3">
      <c r="A681" t="s">
        <v>101</v>
      </c>
      <c r="B681" t="s">
        <v>43</v>
      </c>
      <c r="C681" t="s">
        <v>31</v>
      </c>
      <c r="D681" t="s">
        <v>29</v>
      </c>
      <c r="E681">
        <v>3</v>
      </c>
      <c r="F681">
        <v>158</v>
      </c>
      <c r="G681">
        <v>95.3</v>
      </c>
      <c r="H681">
        <v>5.0999999999999996</v>
      </c>
      <c r="I681">
        <v>9</v>
      </c>
      <c r="J681">
        <v>8.93</v>
      </c>
      <c r="K681">
        <v>6.75</v>
      </c>
      <c r="L681">
        <v>1</v>
      </c>
      <c r="M681" t="s">
        <v>25</v>
      </c>
      <c r="N681" t="s">
        <v>26</v>
      </c>
      <c r="O681">
        <v>16.510000000000002</v>
      </c>
      <c r="P681" s="1">
        <v>45474</v>
      </c>
      <c r="Q681" t="str">
        <f t="shared" si="10"/>
        <v>High Performance</v>
      </c>
      <c r="R681" s="2">
        <f>Table1_1[[#This Row],[tasks_completed]]/Table1_1[[#This Row],[monthly_hours_worked]]</f>
        <v>5.6962025316455694E-2</v>
      </c>
    </row>
    <row r="682" spans="1:18" x14ac:dyDescent="0.3">
      <c r="A682" t="s">
        <v>101</v>
      </c>
      <c r="B682" t="s">
        <v>17</v>
      </c>
      <c r="C682" t="s">
        <v>24</v>
      </c>
      <c r="D682" t="s">
        <v>39</v>
      </c>
      <c r="E682">
        <v>3</v>
      </c>
      <c r="F682">
        <v>156.6</v>
      </c>
      <c r="G682">
        <v>100</v>
      </c>
      <c r="H682">
        <v>7.3</v>
      </c>
      <c r="I682">
        <v>6</v>
      </c>
      <c r="J682">
        <v>7.24</v>
      </c>
      <c r="K682">
        <v>7.6</v>
      </c>
      <c r="L682">
        <v>2</v>
      </c>
      <c r="M682" t="s">
        <v>25</v>
      </c>
      <c r="N682" t="s">
        <v>35</v>
      </c>
      <c r="O682">
        <v>17.48</v>
      </c>
      <c r="P682" s="1">
        <v>45505</v>
      </c>
      <c r="Q682" t="str">
        <f t="shared" si="10"/>
        <v>High Performance</v>
      </c>
      <c r="R682" s="2">
        <f>Table1_1[[#This Row],[tasks_completed]]/Table1_1[[#This Row],[monthly_hours_worked]]</f>
        <v>3.8314176245210732E-2</v>
      </c>
    </row>
    <row r="683" spans="1:18" x14ac:dyDescent="0.3">
      <c r="A683" t="s">
        <v>101</v>
      </c>
      <c r="B683" t="s">
        <v>23</v>
      </c>
      <c r="C683" t="s">
        <v>41</v>
      </c>
      <c r="D683" t="s">
        <v>39</v>
      </c>
      <c r="E683">
        <v>10</v>
      </c>
      <c r="F683">
        <v>149.69999999999999</v>
      </c>
      <c r="G683">
        <v>96.7</v>
      </c>
      <c r="H683">
        <v>6.2</v>
      </c>
      <c r="I683">
        <v>5</v>
      </c>
      <c r="J683">
        <v>8.33</v>
      </c>
      <c r="K683">
        <v>8.75</v>
      </c>
      <c r="L683">
        <v>0</v>
      </c>
      <c r="M683" t="s">
        <v>25</v>
      </c>
      <c r="N683" t="s">
        <v>35</v>
      </c>
      <c r="O683">
        <v>15.22</v>
      </c>
      <c r="P683" s="1">
        <v>45536</v>
      </c>
      <c r="Q683" t="str">
        <f t="shared" si="10"/>
        <v>High Performance</v>
      </c>
      <c r="R683" s="2">
        <f>Table1_1[[#This Row],[tasks_completed]]/Table1_1[[#This Row],[monthly_hours_worked]]</f>
        <v>3.3400133600534405E-2</v>
      </c>
    </row>
    <row r="684" spans="1:18" x14ac:dyDescent="0.3">
      <c r="A684" t="s">
        <v>101</v>
      </c>
      <c r="B684" t="s">
        <v>27</v>
      </c>
      <c r="C684" t="s">
        <v>31</v>
      </c>
      <c r="D684" t="s">
        <v>19</v>
      </c>
      <c r="E684">
        <v>10</v>
      </c>
      <c r="F684">
        <v>164</v>
      </c>
      <c r="G684">
        <v>84.9</v>
      </c>
      <c r="H684">
        <v>3.3</v>
      </c>
      <c r="I684">
        <v>9</v>
      </c>
      <c r="J684">
        <v>7.46</v>
      </c>
      <c r="K684">
        <v>7.97</v>
      </c>
      <c r="L684">
        <v>1</v>
      </c>
      <c r="M684" t="s">
        <v>34</v>
      </c>
      <c r="N684" t="s">
        <v>21</v>
      </c>
      <c r="O684">
        <v>14.77</v>
      </c>
      <c r="P684" s="1">
        <v>45566</v>
      </c>
      <c r="Q684" t="str">
        <f t="shared" si="10"/>
        <v>Medium Performance</v>
      </c>
      <c r="R684" s="2">
        <f>Table1_1[[#This Row],[tasks_completed]]/Table1_1[[#This Row],[monthly_hours_worked]]</f>
        <v>5.4878048780487805E-2</v>
      </c>
    </row>
    <row r="685" spans="1:18" x14ac:dyDescent="0.3">
      <c r="A685" t="s">
        <v>101</v>
      </c>
      <c r="B685" t="s">
        <v>27</v>
      </c>
      <c r="C685" t="s">
        <v>18</v>
      </c>
      <c r="D685" t="s">
        <v>39</v>
      </c>
      <c r="E685">
        <v>6</v>
      </c>
      <c r="F685">
        <v>144.6</v>
      </c>
      <c r="G685">
        <v>89.8</v>
      </c>
      <c r="H685">
        <v>5.4</v>
      </c>
      <c r="I685">
        <v>7</v>
      </c>
      <c r="J685">
        <v>5.13</v>
      </c>
      <c r="K685">
        <v>10</v>
      </c>
      <c r="L685">
        <v>1</v>
      </c>
      <c r="M685" t="s">
        <v>34</v>
      </c>
      <c r="N685" t="s">
        <v>35</v>
      </c>
      <c r="O685">
        <v>15.8</v>
      </c>
      <c r="P685" s="1">
        <v>45597</v>
      </c>
      <c r="Q685" t="str">
        <f t="shared" si="10"/>
        <v>High Performance</v>
      </c>
      <c r="R685" s="2">
        <f>Table1_1[[#This Row],[tasks_completed]]/Table1_1[[#This Row],[monthly_hours_worked]]</f>
        <v>4.8409405255878286E-2</v>
      </c>
    </row>
    <row r="686" spans="1:18" x14ac:dyDescent="0.3">
      <c r="A686" t="s">
        <v>102</v>
      </c>
      <c r="B686" t="s">
        <v>27</v>
      </c>
      <c r="C686" t="s">
        <v>18</v>
      </c>
      <c r="D686" t="s">
        <v>19</v>
      </c>
      <c r="E686">
        <v>8</v>
      </c>
      <c r="F686">
        <v>175.1</v>
      </c>
      <c r="G686">
        <v>87.2</v>
      </c>
      <c r="H686">
        <v>5.7</v>
      </c>
      <c r="I686">
        <v>4</v>
      </c>
      <c r="J686">
        <v>7.86</v>
      </c>
      <c r="K686">
        <v>7.87</v>
      </c>
      <c r="L686">
        <v>1</v>
      </c>
      <c r="M686" t="s">
        <v>20</v>
      </c>
      <c r="N686" t="s">
        <v>26</v>
      </c>
      <c r="O686">
        <v>9.14</v>
      </c>
      <c r="P686" s="1">
        <v>45292</v>
      </c>
      <c r="Q686" t="str">
        <f t="shared" si="10"/>
        <v>Low Performance</v>
      </c>
      <c r="R686" s="2">
        <f>Table1_1[[#This Row],[tasks_completed]]/Table1_1[[#This Row],[monthly_hours_worked]]</f>
        <v>2.2844089091947458E-2</v>
      </c>
    </row>
    <row r="687" spans="1:18" x14ac:dyDescent="0.3">
      <c r="A687" t="s">
        <v>102</v>
      </c>
      <c r="B687" t="s">
        <v>23</v>
      </c>
      <c r="C687" t="s">
        <v>31</v>
      </c>
      <c r="D687" t="s">
        <v>29</v>
      </c>
      <c r="E687">
        <v>5</v>
      </c>
      <c r="F687">
        <v>154.9</v>
      </c>
      <c r="G687">
        <v>99.2</v>
      </c>
      <c r="H687">
        <v>6.4</v>
      </c>
      <c r="I687">
        <v>5</v>
      </c>
      <c r="J687">
        <v>7.32</v>
      </c>
      <c r="K687">
        <v>8.64</v>
      </c>
      <c r="L687">
        <v>0</v>
      </c>
      <c r="M687" t="s">
        <v>34</v>
      </c>
      <c r="N687" t="s">
        <v>26</v>
      </c>
      <c r="O687">
        <v>11.76</v>
      </c>
      <c r="P687" s="1">
        <v>45292</v>
      </c>
      <c r="Q687" t="str">
        <f t="shared" si="10"/>
        <v>Medium Performance</v>
      </c>
      <c r="R687" s="2">
        <f>Table1_1[[#This Row],[tasks_completed]]/Table1_1[[#This Row],[monthly_hours_worked]]</f>
        <v>3.2278889606197549E-2</v>
      </c>
    </row>
    <row r="688" spans="1:18" x14ac:dyDescent="0.3">
      <c r="A688" t="s">
        <v>102</v>
      </c>
      <c r="B688" t="s">
        <v>23</v>
      </c>
      <c r="C688" t="s">
        <v>37</v>
      </c>
      <c r="D688" t="s">
        <v>29</v>
      </c>
      <c r="E688">
        <v>7</v>
      </c>
      <c r="F688">
        <v>173.9</v>
      </c>
      <c r="G688">
        <v>93.6</v>
      </c>
      <c r="H688">
        <v>3.2</v>
      </c>
      <c r="I688">
        <v>7</v>
      </c>
      <c r="J688">
        <v>7.87</v>
      </c>
      <c r="K688">
        <v>6.85</v>
      </c>
      <c r="L688">
        <v>0</v>
      </c>
      <c r="M688" t="s">
        <v>20</v>
      </c>
      <c r="N688" t="s">
        <v>35</v>
      </c>
      <c r="O688">
        <v>14.08</v>
      </c>
      <c r="P688" s="1">
        <v>45352</v>
      </c>
      <c r="Q688" t="str">
        <f t="shared" si="10"/>
        <v>Medium Performance</v>
      </c>
      <c r="R688" s="2">
        <f>Table1_1[[#This Row],[tasks_completed]]/Table1_1[[#This Row],[monthly_hours_worked]]</f>
        <v>4.0253018976423229E-2</v>
      </c>
    </row>
    <row r="689" spans="1:18" x14ac:dyDescent="0.3">
      <c r="A689" t="s">
        <v>102</v>
      </c>
      <c r="B689" t="s">
        <v>33</v>
      </c>
      <c r="C689" t="s">
        <v>18</v>
      </c>
      <c r="D689" t="s">
        <v>39</v>
      </c>
      <c r="E689">
        <v>6</v>
      </c>
      <c r="F689">
        <v>138.4</v>
      </c>
      <c r="G689">
        <v>93.1</v>
      </c>
      <c r="H689">
        <v>7</v>
      </c>
      <c r="I689">
        <v>7</v>
      </c>
      <c r="J689">
        <v>6.92</v>
      </c>
      <c r="K689">
        <v>6.4</v>
      </c>
      <c r="L689">
        <v>0</v>
      </c>
      <c r="M689" t="s">
        <v>25</v>
      </c>
      <c r="N689" t="s">
        <v>21</v>
      </c>
      <c r="O689">
        <v>16.36</v>
      </c>
      <c r="P689" s="1">
        <v>45352</v>
      </c>
      <c r="Q689" t="str">
        <f t="shared" si="10"/>
        <v>High Performance</v>
      </c>
      <c r="R689" s="2">
        <f>Table1_1[[#This Row],[tasks_completed]]/Table1_1[[#This Row],[monthly_hours_worked]]</f>
        <v>5.057803468208092E-2</v>
      </c>
    </row>
    <row r="690" spans="1:18" x14ac:dyDescent="0.3">
      <c r="A690" t="s">
        <v>102</v>
      </c>
      <c r="B690" t="s">
        <v>23</v>
      </c>
      <c r="C690" t="s">
        <v>41</v>
      </c>
      <c r="D690" t="s">
        <v>19</v>
      </c>
      <c r="E690">
        <v>1</v>
      </c>
      <c r="F690">
        <v>139.9</v>
      </c>
      <c r="G690">
        <v>97.8</v>
      </c>
      <c r="I690">
        <v>8</v>
      </c>
      <c r="J690">
        <v>5.27</v>
      </c>
      <c r="K690">
        <v>6.63</v>
      </c>
      <c r="L690">
        <v>0</v>
      </c>
      <c r="M690" t="s">
        <v>20</v>
      </c>
      <c r="N690" t="s">
        <v>26</v>
      </c>
      <c r="O690">
        <v>19.18</v>
      </c>
      <c r="P690" s="1">
        <v>45383</v>
      </c>
      <c r="Q690" t="str">
        <f t="shared" si="10"/>
        <v>High Performance</v>
      </c>
      <c r="R690" s="2">
        <f>Table1_1[[#This Row],[tasks_completed]]/Table1_1[[#This Row],[monthly_hours_worked]]</f>
        <v>5.7183702644746245E-2</v>
      </c>
    </row>
    <row r="691" spans="1:18" x14ac:dyDescent="0.3">
      <c r="A691" t="s">
        <v>102</v>
      </c>
      <c r="B691" t="s">
        <v>27</v>
      </c>
      <c r="C691" t="s">
        <v>31</v>
      </c>
      <c r="D691" t="s">
        <v>29</v>
      </c>
      <c r="E691">
        <v>3</v>
      </c>
      <c r="F691">
        <v>164.5</v>
      </c>
      <c r="G691">
        <v>90.9</v>
      </c>
      <c r="H691">
        <v>5.6</v>
      </c>
      <c r="I691">
        <v>3</v>
      </c>
      <c r="J691">
        <v>8.73</v>
      </c>
      <c r="K691">
        <v>4.33</v>
      </c>
      <c r="L691">
        <v>1</v>
      </c>
      <c r="M691" t="s">
        <v>34</v>
      </c>
      <c r="N691" t="s">
        <v>21</v>
      </c>
      <c r="O691">
        <v>15.1</v>
      </c>
      <c r="P691" s="1">
        <v>45413</v>
      </c>
      <c r="Q691" t="str">
        <f t="shared" si="10"/>
        <v>High Performance</v>
      </c>
      <c r="R691" s="2">
        <f>Table1_1[[#This Row],[tasks_completed]]/Table1_1[[#This Row],[monthly_hours_worked]]</f>
        <v>1.82370820668693E-2</v>
      </c>
    </row>
    <row r="692" spans="1:18" x14ac:dyDescent="0.3">
      <c r="A692" t="s">
        <v>102</v>
      </c>
      <c r="B692" t="s">
        <v>23</v>
      </c>
      <c r="C692" t="s">
        <v>24</v>
      </c>
      <c r="D692" t="s">
        <v>29</v>
      </c>
      <c r="E692">
        <v>2</v>
      </c>
      <c r="F692">
        <v>176.8</v>
      </c>
      <c r="G692">
        <v>97</v>
      </c>
      <c r="H692">
        <v>2.8</v>
      </c>
      <c r="I692">
        <v>5</v>
      </c>
      <c r="J692">
        <v>7.31</v>
      </c>
      <c r="K692">
        <v>6.27</v>
      </c>
      <c r="L692">
        <v>0</v>
      </c>
      <c r="M692" t="s">
        <v>34</v>
      </c>
      <c r="N692" t="s">
        <v>35</v>
      </c>
      <c r="O692">
        <v>14</v>
      </c>
      <c r="P692" s="1">
        <v>45444</v>
      </c>
      <c r="Q692" t="str">
        <f t="shared" si="10"/>
        <v>Medium Performance</v>
      </c>
      <c r="R692" s="2">
        <f>Table1_1[[#This Row],[tasks_completed]]/Table1_1[[#This Row],[monthly_hours_worked]]</f>
        <v>2.8280542986425336E-2</v>
      </c>
    </row>
    <row r="693" spans="1:18" x14ac:dyDescent="0.3">
      <c r="A693" t="s">
        <v>102</v>
      </c>
      <c r="B693" t="s">
        <v>27</v>
      </c>
      <c r="C693" t="s">
        <v>37</v>
      </c>
      <c r="D693" t="s">
        <v>19</v>
      </c>
      <c r="E693">
        <v>5</v>
      </c>
      <c r="F693">
        <v>166.3</v>
      </c>
      <c r="G693">
        <v>94.8</v>
      </c>
      <c r="H693">
        <v>3</v>
      </c>
      <c r="I693">
        <v>5</v>
      </c>
      <c r="J693">
        <v>10</v>
      </c>
      <c r="K693">
        <v>6.71</v>
      </c>
      <c r="L693">
        <v>0</v>
      </c>
      <c r="M693" t="s">
        <v>34</v>
      </c>
      <c r="N693" t="s">
        <v>21</v>
      </c>
      <c r="O693">
        <v>15.27</v>
      </c>
      <c r="P693" s="1">
        <v>45474</v>
      </c>
      <c r="Q693" t="str">
        <f t="shared" si="10"/>
        <v>High Performance</v>
      </c>
      <c r="R693" s="2">
        <f>Table1_1[[#This Row],[tasks_completed]]/Table1_1[[#This Row],[monthly_hours_worked]]</f>
        <v>3.0066145520144315E-2</v>
      </c>
    </row>
    <row r="694" spans="1:18" x14ac:dyDescent="0.3">
      <c r="A694" t="s">
        <v>102</v>
      </c>
      <c r="B694" t="s">
        <v>33</v>
      </c>
      <c r="C694" t="s">
        <v>37</v>
      </c>
      <c r="D694" t="s">
        <v>39</v>
      </c>
      <c r="E694">
        <v>3</v>
      </c>
      <c r="F694">
        <v>154.6</v>
      </c>
      <c r="G694">
        <v>98.7</v>
      </c>
      <c r="H694">
        <v>6</v>
      </c>
      <c r="I694">
        <v>8</v>
      </c>
      <c r="J694">
        <v>7.83</v>
      </c>
      <c r="K694">
        <v>8.76</v>
      </c>
      <c r="L694">
        <v>0</v>
      </c>
      <c r="M694" t="s">
        <v>34</v>
      </c>
      <c r="N694" t="s">
        <v>35</v>
      </c>
      <c r="O694">
        <v>17.91</v>
      </c>
      <c r="P694" s="1">
        <v>45505</v>
      </c>
      <c r="Q694" t="str">
        <f t="shared" si="10"/>
        <v>High Performance</v>
      </c>
      <c r="R694" s="2">
        <f>Table1_1[[#This Row],[tasks_completed]]/Table1_1[[#This Row],[monthly_hours_worked]]</f>
        <v>5.1746442432082797E-2</v>
      </c>
    </row>
    <row r="695" spans="1:18" x14ac:dyDescent="0.3">
      <c r="A695" t="s">
        <v>102</v>
      </c>
      <c r="B695" t="s">
        <v>27</v>
      </c>
      <c r="C695" t="s">
        <v>18</v>
      </c>
      <c r="D695" t="s">
        <v>29</v>
      </c>
      <c r="E695">
        <v>3</v>
      </c>
      <c r="F695">
        <v>171.8</v>
      </c>
      <c r="G695">
        <v>93.9</v>
      </c>
      <c r="H695">
        <v>8.1</v>
      </c>
      <c r="I695">
        <v>4</v>
      </c>
      <c r="J695">
        <v>8.5</v>
      </c>
      <c r="K695">
        <v>7.63</v>
      </c>
      <c r="L695">
        <v>2</v>
      </c>
      <c r="M695" t="s">
        <v>20</v>
      </c>
      <c r="N695" t="s">
        <v>21</v>
      </c>
      <c r="O695">
        <v>11.5</v>
      </c>
      <c r="P695" s="1">
        <v>45536</v>
      </c>
      <c r="Q695" t="str">
        <f t="shared" si="10"/>
        <v>Medium Performance</v>
      </c>
      <c r="R695" s="2">
        <f>Table1_1[[#This Row],[tasks_completed]]/Table1_1[[#This Row],[monthly_hours_worked]]</f>
        <v>2.3282887077997669E-2</v>
      </c>
    </row>
    <row r="696" spans="1:18" x14ac:dyDescent="0.3">
      <c r="A696" t="s">
        <v>102</v>
      </c>
      <c r="B696" t="s">
        <v>33</v>
      </c>
      <c r="C696" t="s">
        <v>24</v>
      </c>
      <c r="D696" t="s">
        <v>19</v>
      </c>
      <c r="E696">
        <v>8</v>
      </c>
      <c r="F696">
        <v>174.3</v>
      </c>
      <c r="G696">
        <v>97.4</v>
      </c>
      <c r="H696">
        <v>8</v>
      </c>
      <c r="I696">
        <v>8</v>
      </c>
      <c r="J696">
        <v>6.87</v>
      </c>
      <c r="K696">
        <v>6.39</v>
      </c>
      <c r="L696">
        <v>1</v>
      </c>
      <c r="M696" t="s">
        <v>25</v>
      </c>
      <c r="N696" t="s">
        <v>21</v>
      </c>
      <c r="O696">
        <v>21.38</v>
      </c>
      <c r="P696" s="1">
        <v>45566</v>
      </c>
      <c r="Q696" t="str">
        <f t="shared" si="10"/>
        <v>High Performance</v>
      </c>
      <c r="R696" s="2">
        <f>Table1_1[[#This Row],[tasks_completed]]/Table1_1[[#This Row],[monthly_hours_worked]]</f>
        <v>4.5897877223178424E-2</v>
      </c>
    </row>
    <row r="697" spans="1:18" x14ac:dyDescent="0.3">
      <c r="A697" t="s">
        <v>102</v>
      </c>
      <c r="B697" t="s">
        <v>23</v>
      </c>
      <c r="C697" t="s">
        <v>37</v>
      </c>
      <c r="D697" t="s">
        <v>29</v>
      </c>
      <c r="E697">
        <v>1</v>
      </c>
      <c r="F697">
        <v>161.9</v>
      </c>
      <c r="G697">
        <v>94.2</v>
      </c>
      <c r="I697">
        <v>3</v>
      </c>
      <c r="J697">
        <v>8.1</v>
      </c>
      <c r="K697">
        <v>5.26</v>
      </c>
      <c r="L697">
        <v>0</v>
      </c>
      <c r="M697" t="s">
        <v>34</v>
      </c>
      <c r="N697" t="s">
        <v>35</v>
      </c>
      <c r="O697">
        <v>19.239999999999998</v>
      </c>
      <c r="P697" s="1">
        <v>45597</v>
      </c>
      <c r="Q697" t="str">
        <f t="shared" si="10"/>
        <v>High Performance</v>
      </c>
      <c r="R697" s="2">
        <f>Table1_1[[#This Row],[tasks_completed]]/Table1_1[[#This Row],[monthly_hours_worked]]</f>
        <v>1.8529956763434219E-2</v>
      </c>
    </row>
    <row r="698" spans="1:18" x14ac:dyDescent="0.3">
      <c r="A698" t="s">
        <v>103</v>
      </c>
      <c r="B698" t="s">
        <v>43</v>
      </c>
      <c r="C698" t="s">
        <v>24</v>
      </c>
      <c r="D698" t="s">
        <v>19</v>
      </c>
      <c r="E698">
        <v>9</v>
      </c>
      <c r="F698">
        <v>158.69999999999999</v>
      </c>
      <c r="G698">
        <v>94.9</v>
      </c>
      <c r="H698">
        <v>5.9</v>
      </c>
      <c r="I698">
        <v>7</v>
      </c>
      <c r="J698">
        <v>5.96</v>
      </c>
      <c r="K698">
        <v>9.0399999999999991</v>
      </c>
      <c r="L698">
        <v>0</v>
      </c>
      <c r="M698" t="s">
        <v>34</v>
      </c>
      <c r="N698" t="s">
        <v>35</v>
      </c>
      <c r="O698">
        <v>13.55</v>
      </c>
      <c r="P698" s="1">
        <v>45292</v>
      </c>
      <c r="Q698" t="str">
        <f t="shared" si="10"/>
        <v>Medium Performance</v>
      </c>
      <c r="R698" s="2">
        <f>Table1_1[[#This Row],[tasks_completed]]/Table1_1[[#This Row],[monthly_hours_worked]]</f>
        <v>4.4108380592312542E-2</v>
      </c>
    </row>
    <row r="699" spans="1:18" x14ac:dyDescent="0.3">
      <c r="A699" t="s">
        <v>103</v>
      </c>
      <c r="B699" t="s">
        <v>43</v>
      </c>
      <c r="C699" t="s">
        <v>31</v>
      </c>
      <c r="D699" t="s">
        <v>39</v>
      </c>
      <c r="E699">
        <v>4</v>
      </c>
      <c r="F699">
        <v>163.80000000000001</v>
      </c>
      <c r="G699">
        <v>100</v>
      </c>
      <c r="H699">
        <v>7</v>
      </c>
      <c r="I699">
        <v>6</v>
      </c>
      <c r="J699">
        <v>7.46</v>
      </c>
      <c r="K699">
        <v>8.5399999999999991</v>
      </c>
      <c r="L699">
        <v>0</v>
      </c>
      <c r="M699" t="s">
        <v>25</v>
      </c>
      <c r="N699" t="s">
        <v>26</v>
      </c>
      <c r="O699">
        <v>23.26</v>
      </c>
      <c r="P699" s="1">
        <v>45292</v>
      </c>
      <c r="Q699" t="str">
        <f t="shared" si="10"/>
        <v>High Performance</v>
      </c>
      <c r="R699" s="2">
        <f>Table1_1[[#This Row],[tasks_completed]]/Table1_1[[#This Row],[monthly_hours_worked]]</f>
        <v>3.6630036630036625E-2</v>
      </c>
    </row>
    <row r="700" spans="1:18" x14ac:dyDescent="0.3">
      <c r="A700" t="s">
        <v>103</v>
      </c>
      <c r="B700" t="s">
        <v>17</v>
      </c>
      <c r="C700" t="s">
        <v>31</v>
      </c>
      <c r="D700" t="s">
        <v>19</v>
      </c>
      <c r="E700">
        <v>5</v>
      </c>
      <c r="F700">
        <v>168.9</v>
      </c>
      <c r="G700">
        <v>91.1</v>
      </c>
      <c r="H700">
        <v>4.3</v>
      </c>
      <c r="I700">
        <v>6</v>
      </c>
      <c r="J700">
        <v>5.05</v>
      </c>
      <c r="K700">
        <v>9.08</v>
      </c>
      <c r="L700">
        <v>0</v>
      </c>
      <c r="M700" t="s">
        <v>34</v>
      </c>
      <c r="N700" t="s">
        <v>35</v>
      </c>
      <c r="O700">
        <v>10.24</v>
      </c>
      <c r="P700" s="1">
        <v>45352</v>
      </c>
      <c r="Q700" t="str">
        <f t="shared" si="10"/>
        <v>Medium Performance</v>
      </c>
      <c r="R700" s="2">
        <f>Table1_1[[#This Row],[tasks_completed]]/Table1_1[[#This Row],[monthly_hours_worked]]</f>
        <v>3.5523978685612786E-2</v>
      </c>
    </row>
    <row r="701" spans="1:18" x14ac:dyDescent="0.3">
      <c r="A701" t="s">
        <v>103</v>
      </c>
      <c r="B701" t="s">
        <v>33</v>
      </c>
      <c r="C701" t="s">
        <v>31</v>
      </c>
      <c r="D701" t="s">
        <v>39</v>
      </c>
      <c r="E701">
        <v>1</v>
      </c>
      <c r="F701">
        <v>160.30000000000001</v>
      </c>
      <c r="G701">
        <v>100</v>
      </c>
      <c r="H701">
        <v>6.5</v>
      </c>
      <c r="I701">
        <v>9</v>
      </c>
      <c r="J701">
        <v>7.49</v>
      </c>
      <c r="K701">
        <v>7.84</v>
      </c>
      <c r="L701">
        <v>0</v>
      </c>
      <c r="M701" t="s">
        <v>20</v>
      </c>
      <c r="N701" t="s">
        <v>26</v>
      </c>
      <c r="O701">
        <v>9.16</v>
      </c>
      <c r="P701" s="1">
        <v>45352</v>
      </c>
      <c r="Q701" t="str">
        <f t="shared" si="10"/>
        <v>Low Performance</v>
      </c>
      <c r="R701" s="2">
        <f>Table1_1[[#This Row],[tasks_completed]]/Table1_1[[#This Row],[monthly_hours_worked]]</f>
        <v>5.6144728633811598E-2</v>
      </c>
    </row>
    <row r="702" spans="1:18" x14ac:dyDescent="0.3">
      <c r="A702" t="s">
        <v>103</v>
      </c>
      <c r="B702" t="s">
        <v>17</v>
      </c>
      <c r="C702" t="s">
        <v>18</v>
      </c>
      <c r="D702" t="s">
        <v>19</v>
      </c>
      <c r="E702">
        <v>5</v>
      </c>
      <c r="F702">
        <v>179.2</v>
      </c>
      <c r="G702">
        <v>90.5</v>
      </c>
      <c r="H702">
        <v>2.5</v>
      </c>
      <c r="I702">
        <v>6</v>
      </c>
      <c r="J702">
        <v>6.54</v>
      </c>
      <c r="K702">
        <v>7.4</v>
      </c>
      <c r="L702">
        <v>0</v>
      </c>
      <c r="M702" t="s">
        <v>20</v>
      </c>
      <c r="N702" t="s">
        <v>26</v>
      </c>
      <c r="O702">
        <v>15.18</v>
      </c>
      <c r="P702" s="1">
        <v>45383</v>
      </c>
      <c r="Q702" t="str">
        <f t="shared" si="10"/>
        <v>High Performance</v>
      </c>
      <c r="R702" s="2">
        <f>Table1_1[[#This Row],[tasks_completed]]/Table1_1[[#This Row],[monthly_hours_worked]]</f>
        <v>3.3482142857142856E-2</v>
      </c>
    </row>
    <row r="703" spans="1:18" x14ac:dyDescent="0.3">
      <c r="A703" t="s">
        <v>103</v>
      </c>
      <c r="B703" t="s">
        <v>33</v>
      </c>
      <c r="C703" t="s">
        <v>18</v>
      </c>
      <c r="D703" t="s">
        <v>19</v>
      </c>
      <c r="E703">
        <v>10</v>
      </c>
      <c r="F703">
        <v>164.6</v>
      </c>
      <c r="G703">
        <v>93.2</v>
      </c>
      <c r="H703">
        <v>3.2</v>
      </c>
      <c r="I703">
        <v>8</v>
      </c>
      <c r="J703">
        <v>8.36</v>
      </c>
      <c r="K703">
        <v>3.61</v>
      </c>
      <c r="L703">
        <v>0</v>
      </c>
      <c r="M703" t="s">
        <v>20</v>
      </c>
      <c r="N703" t="s">
        <v>21</v>
      </c>
      <c r="O703">
        <v>8.26</v>
      </c>
      <c r="P703" s="1">
        <v>45413</v>
      </c>
      <c r="Q703" t="str">
        <f t="shared" si="10"/>
        <v>Low Performance</v>
      </c>
      <c r="R703" s="2">
        <f>Table1_1[[#This Row],[tasks_completed]]/Table1_1[[#This Row],[monthly_hours_worked]]</f>
        <v>4.8602673147023087E-2</v>
      </c>
    </row>
    <row r="704" spans="1:18" x14ac:dyDescent="0.3">
      <c r="A704" t="s">
        <v>103</v>
      </c>
      <c r="B704" t="s">
        <v>43</v>
      </c>
      <c r="C704" t="s">
        <v>24</v>
      </c>
      <c r="D704" t="s">
        <v>39</v>
      </c>
      <c r="E704">
        <v>4</v>
      </c>
      <c r="F704">
        <v>167.1</v>
      </c>
      <c r="G704">
        <v>94.9</v>
      </c>
      <c r="H704">
        <v>3.6</v>
      </c>
      <c r="I704">
        <v>5</v>
      </c>
      <c r="J704">
        <v>5</v>
      </c>
      <c r="K704">
        <v>7.68</v>
      </c>
      <c r="L704">
        <v>0</v>
      </c>
      <c r="M704" t="s">
        <v>20</v>
      </c>
      <c r="N704" t="s">
        <v>35</v>
      </c>
      <c r="O704">
        <v>16.670000000000002</v>
      </c>
      <c r="P704" s="1">
        <v>45444</v>
      </c>
      <c r="Q704" t="str">
        <f t="shared" si="10"/>
        <v>High Performance</v>
      </c>
      <c r="R704" s="2">
        <f>Table1_1[[#This Row],[tasks_completed]]/Table1_1[[#This Row],[monthly_hours_worked]]</f>
        <v>2.9922202274087373E-2</v>
      </c>
    </row>
    <row r="705" spans="1:18" x14ac:dyDescent="0.3">
      <c r="A705" t="s">
        <v>103</v>
      </c>
      <c r="B705" t="s">
        <v>33</v>
      </c>
      <c r="C705" t="s">
        <v>37</v>
      </c>
      <c r="D705" t="s">
        <v>19</v>
      </c>
      <c r="E705">
        <v>6</v>
      </c>
      <c r="F705">
        <v>152</v>
      </c>
      <c r="G705">
        <v>93.5</v>
      </c>
      <c r="H705">
        <v>5</v>
      </c>
      <c r="I705">
        <v>2</v>
      </c>
      <c r="J705">
        <v>8.48</v>
      </c>
      <c r="K705">
        <v>6.61</v>
      </c>
      <c r="L705">
        <v>0</v>
      </c>
      <c r="M705" t="s">
        <v>34</v>
      </c>
      <c r="N705" t="s">
        <v>21</v>
      </c>
      <c r="O705">
        <v>15.81</v>
      </c>
      <c r="P705" s="1">
        <v>45474</v>
      </c>
      <c r="Q705" t="str">
        <f t="shared" si="10"/>
        <v>High Performance</v>
      </c>
      <c r="R705" s="2">
        <f>Table1_1[[#This Row],[tasks_completed]]/Table1_1[[#This Row],[monthly_hours_worked]]</f>
        <v>1.3157894736842105E-2</v>
      </c>
    </row>
    <row r="706" spans="1:18" x14ac:dyDescent="0.3">
      <c r="A706" t="s">
        <v>103</v>
      </c>
      <c r="B706" t="s">
        <v>27</v>
      </c>
      <c r="C706" t="s">
        <v>31</v>
      </c>
      <c r="D706" t="s">
        <v>39</v>
      </c>
      <c r="E706">
        <v>3</v>
      </c>
      <c r="F706">
        <v>150.1</v>
      </c>
      <c r="G706">
        <v>93.3</v>
      </c>
      <c r="H706">
        <v>6.5</v>
      </c>
      <c r="I706">
        <v>3</v>
      </c>
      <c r="J706">
        <v>8.17</v>
      </c>
      <c r="K706">
        <v>10</v>
      </c>
      <c r="L706">
        <v>0</v>
      </c>
      <c r="M706" t="s">
        <v>34</v>
      </c>
      <c r="N706" t="s">
        <v>21</v>
      </c>
      <c r="O706">
        <v>15.56</v>
      </c>
      <c r="P706" s="1">
        <v>45505</v>
      </c>
      <c r="Q706" t="str">
        <f t="shared" ref="Q706:Q769" si="11">IF(O706&gt;=15, "High Performance", IF(O706&gt;=10, "Medium Performance", "Low Performance"))</f>
        <v>High Performance</v>
      </c>
      <c r="R706" s="2">
        <f>Table1_1[[#This Row],[tasks_completed]]/Table1_1[[#This Row],[monthly_hours_worked]]</f>
        <v>1.9986675549633577E-2</v>
      </c>
    </row>
    <row r="707" spans="1:18" x14ac:dyDescent="0.3">
      <c r="A707" t="s">
        <v>103</v>
      </c>
      <c r="B707" t="s">
        <v>17</v>
      </c>
      <c r="C707" t="s">
        <v>18</v>
      </c>
      <c r="D707" t="s">
        <v>19</v>
      </c>
      <c r="E707">
        <v>8</v>
      </c>
      <c r="F707">
        <v>164.9</v>
      </c>
      <c r="G707">
        <v>95.4</v>
      </c>
      <c r="H707">
        <v>5.5</v>
      </c>
      <c r="I707">
        <v>6</v>
      </c>
      <c r="J707">
        <v>6.95</v>
      </c>
      <c r="K707">
        <v>5.13</v>
      </c>
      <c r="L707">
        <v>0</v>
      </c>
      <c r="M707" t="s">
        <v>20</v>
      </c>
      <c r="N707" t="s">
        <v>21</v>
      </c>
      <c r="O707">
        <v>12.95</v>
      </c>
      <c r="P707" s="1">
        <v>45536</v>
      </c>
      <c r="Q707" t="str">
        <f t="shared" si="11"/>
        <v>Medium Performance</v>
      </c>
      <c r="R707" s="2">
        <f>Table1_1[[#This Row],[tasks_completed]]/Table1_1[[#This Row],[monthly_hours_worked]]</f>
        <v>3.6385688295936927E-2</v>
      </c>
    </row>
    <row r="708" spans="1:18" x14ac:dyDescent="0.3">
      <c r="A708" t="s">
        <v>103</v>
      </c>
      <c r="B708" t="s">
        <v>17</v>
      </c>
      <c r="C708" t="s">
        <v>24</v>
      </c>
      <c r="D708" t="s">
        <v>39</v>
      </c>
      <c r="E708">
        <v>1</v>
      </c>
      <c r="F708">
        <v>168.8</v>
      </c>
      <c r="G708">
        <v>87.3</v>
      </c>
      <c r="H708">
        <v>5.4</v>
      </c>
      <c r="I708">
        <v>8</v>
      </c>
      <c r="J708">
        <v>9.11</v>
      </c>
      <c r="K708">
        <v>4.53</v>
      </c>
      <c r="L708">
        <v>0</v>
      </c>
      <c r="M708" t="s">
        <v>20</v>
      </c>
      <c r="N708" t="s">
        <v>21</v>
      </c>
      <c r="O708">
        <v>6.72</v>
      </c>
      <c r="P708" s="1">
        <v>45566</v>
      </c>
      <c r="Q708" t="str">
        <f t="shared" si="11"/>
        <v>Low Performance</v>
      </c>
      <c r="R708" s="2">
        <f>Table1_1[[#This Row],[tasks_completed]]/Table1_1[[#This Row],[monthly_hours_worked]]</f>
        <v>4.7393364928909949E-2</v>
      </c>
    </row>
    <row r="709" spans="1:18" x14ac:dyDescent="0.3">
      <c r="A709" t="s">
        <v>103</v>
      </c>
      <c r="B709" t="s">
        <v>43</v>
      </c>
      <c r="C709" t="s">
        <v>24</v>
      </c>
      <c r="D709" t="s">
        <v>19</v>
      </c>
      <c r="E709">
        <v>6</v>
      </c>
      <c r="F709">
        <v>170.3</v>
      </c>
      <c r="G709">
        <v>86.4</v>
      </c>
      <c r="H709">
        <v>5.2</v>
      </c>
      <c r="I709">
        <v>6</v>
      </c>
      <c r="J709">
        <v>7.38</v>
      </c>
      <c r="K709">
        <v>7.2</v>
      </c>
      <c r="L709">
        <v>0</v>
      </c>
      <c r="M709" t="s">
        <v>25</v>
      </c>
      <c r="N709" t="s">
        <v>26</v>
      </c>
      <c r="O709">
        <v>15.92</v>
      </c>
      <c r="P709" s="1">
        <v>45597</v>
      </c>
      <c r="Q709" t="str">
        <f t="shared" si="11"/>
        <v>High Performance</v>
      </c>
      <c r="R709" s="2">
        <f>Table1_1[[#This Row],[tasks_completed]]/Table1_1[[#This Row],[monthly_hours_worked]]</f>
        <v>3.5231943628890192E-2</v>
      </c>
    </row>
    <row r="710" spans="1:18" x14ac:dyDescent="0.3">
      <c r="A710" t="s">
        <v>104</v>
      </c>
      <c r="B710" t="s">
        <v>33</v>
      </c>
      <c r="C710" t="s">
        <v>24</v>
      </c>
      <c r="D710" t="s">
        <v>39</v>
      </c>
      <c r="E710">
        <v>3</v>
      </c>
      <c r="F710">
        <v>157</v>
      </c>
      <c r="G710">
        <v>92.7</v>
      </c>
      <c r="H710">
        <v>5.6</v>
      </c>
      <c r="I710">
        <v>6</v>
      </c>
      <c r="J710">
        <v>8.36</v>
      </c>
      <c r="K710">
        <v>6.42</v>
      </c>
      <c r="L710">
        <v>0</v>
      </c>
      <c r="M710" t="s">
        <v>25</v>
      </c>
      <c r="N710" t="s">
        <v>26</v>
      </c>
      <c r="O710">
        <v>16.940000000000001</v>
      </c>
      <c r="P710" s="1">
        <v>45292</v>
      </c>
      <c r="Q710" t="str">
        <f t="shared" si="11"/>
        <v>High Performance</v>
      </c>
      <c r="R710" s="2">
        <f>Table1_1[[#This Row],[tasks_completed]]/Table1_1[[#This Row],[monthly_hours_worked]]</f>
        <v>3.8216560509554139E-2</v>
      </c>
    </row>
    <row r="711" spans="1:18" x14ac:dyDescent="0.3">
      <c r="A711" t="s">
        <v>104</v>
      </c>
      <c r="B711" t="s">
        <v>33</v>
      </c>
      <c r="C711" t="s">
        <v>37</v>
      </c>
      <c r="D711" t="s">
        <v>29</v>
      </c>
      <c r="E711">
        <v>4</v>
      </c>
      <c r="F711">
        <v>152</v>
      </c>
      <c r="G711">
        <v>99.4</v>
      </c>
      <c r="H711">
        <v>5.9</v>
      </c>
      <c r="I711">
        <v>4</v>
      </c>
      <c r="J711">
        <v>6.29</v>
      </c>
      <c r="K711">
        <v>8.26</v>
      </c>
      <c r="L711">
        <v>0</v>
      </c>
      <c r="M711" t="s">
        <v>20</v>
      </c>
      <c r="N711" t="s">
        <v>26</v>
      </c>
      <c r="O711">
        <v>15.35</v>
      </c>
      <c r="P711" s="1">
        <v>45292</v>
      </c>
      <c r="Q711" t="str">
        <f t="shared" si="11"/>
        <v>High Performance</v>
      </c>
      <c r="R711" s="2">
        <f>Table1_1[[#This Row],[tasks_completed]]/Table1_1[[#This Row],[monthly_hours_worked]]</f>
        <v>2.6315789473684209E-2</v>
      </c>
    </row>
    <row r="712" spans="1:18" x14ac:dyDescent="0.3">
      <c r="A712" t="s">
        <v>104</v>
      </c>
      <c r="B712" t="s">
        <v>23</v>
      </c>
      <c r="C712" t="s">
        <v>18</v>
      </c>
      <c r="D712" t="s">
        <v>39</v>
      </c>
      <c r="E712">
        <v>3</v>
      </c>
      <c r="F712">
        <v>168.1</v>
      </c>
      <c r="G712">
        <v>93.9</v>
      </c>
      <c r="H712">
        <v>3.5</v>
      </c>
      <c r="I712">
        <v>4</v>
      </c>
      <c r="K712">
        <v>3.58</v>
      </c>
      <c r="L712">
        <v>0</v>
      </c>
      <c r="M712" t="s">
        <v>34</v>
      </c>
      <c r="N712" t="s">
        <v>35</v>
      </c>
      <c r="O712">
        <v>14.16</v>
      </c>
      <c r="P712" s="1">
        <v>45352</v>
      </c>
      <c r="Q712" t="str">
        <f t="shared" si="11"/>
        <v>Medium Performance</v>
      </c>
      <c r="R712" s="2">
        <f>Table1_1[[#This Row],[tasks_completed]]/Table1_1[[#This Row],[monthly_hours_worked]]</f>
        <v>2.3795359904818562E-2</v>
      </c>
    </row>
    <row r="713" spans="1:18" x14ac:dyDescent="0.3">
      <c r="A713" t="s">
        <v>104</v>
      </c>
      <c r="B713" t="s">
        <v>23</v>
      </c>
      <c r="C713" t="s">
        <v>31</v>
      </c>
      <c r="D713" t="s">
        <v>19</v>
      </c>
      <c r="E713">
        <v>10</v>
      </c>
      <c r="F713">
        <v>159.1</v>
      </c>
      <c r="G713">
        <v>100</v>
      </c>
      <c r="H713">
        <v>3.1</v>
      </c>
      <c r="I713">
        <v>12</v>
      </c>
      <c r="J713">
        <v>4.79</v>
      </c>
      <c r="K713">
        <v>5.12</v>
      </c>
      <c r="L713">
        <v>0</v>
      </c>
      <c r="M713" t="s">
        <v>25</v>
      </c>
      <c r="N713" t="s">
        <v>26</v>
      </c>
      <c r="O713">
        <v>19.329999999999998</v>
      </c>
      <c r="P713" s="1">
        <v>45352</v>
      </c>
      <c r="Q713" t="str">
        <f t="shared" si="11"/>
        <v>High Performance</v>
      </c>
      <c r="R713" s="2">
        <f>Table1_1[[#This Row],[tasks_completed]]/Table1_1[[#This Row],[monthly_hours_worked]]</f>
        <v>7.5424261470773107E-2</v>
      </c>
    </row>
    <row r="714" spans="1:18" x14ac:dyDescent="0.3">
      <c r="A714" t="s">
        <v>104</v>
      </c>
      <c r="B714" t="s">
        <v>17</v>
      </c>
      <c r="C714" t="s">
        <v>18</v>
      </c>
      <c r="D714" t="s">
        <v>29</v>
      </c>
      <c r="E714">
        <v>7</v>
      </c>
      <c r="F714">
        <v>180</v>
      </c>
      <c r="G714">
        <v>96.5</v>
      </c>
      <c r="H714">
        <v>3</v>
      </c>
      <c r="I714">
        <v>6</v>
      </c>
      <c r="J714">
        <v>6.22</v>
      </c>
      <c r="K714">
        <v>9.67</v>
      </c>
      <c r="L714">
        <v>0</v>
      </c>
      <c r="M714" t="s">
        <v>20</v>
      </c>
      <c r="N714" t="s">
        <v>21</v>
      </c>
      <c r="O714">
        <v>12.95</v>
      </c>
      <c r="P714" s="1">
        <v>45383</v>
      </c>
      <c r="Q714" t="str">
        <f t="shared" si="11"/>
        <v>Medium Performance</v>
      </c>
      <c r="R714" s="2">
        <f>Table1_1[[#This Row],[tasks_completed]]/Table1_1[[#This Row],[monthly_hours_worked]]</f>
        <v>3.3333333333333333E-2</v>
      </c>
    </row>
    <row r="715" spans="1:18" x14ac:dyDescent="0.3">
      <c r="A715" t="s">
        <v>104</v>
      </c>
      <c r="B715" t="s">
        <v>23</v>
      </c>
      <c r="C715" t="s">
        <v>41</v>
      </c>
      <c r="D715" t="s">
        <v>29</v>
      </c>
      <c r="E715">
        <v>5</v>
      </c>
      <c r="F715">
        <v>170.9</v>
      </c>
      <c r="G715">
        <v>89.6</v>
      </c>
      <c r="H715">
        <v>2.1</v>
      </c>
      <c r="I715">
        <v>4</v>
      </c>
      <c r="J715">
        <v>4.82</v>
      </c>
      <c r="K715">
        <v>6.66</v>
      </c>
      <c r="L715">
        <v>1</v>
      </c>
      <c r="M715" t="s">
        <v>34</v>
      </c>
      <c r="N715" t="s">
        <v>26</v>
      </c>
      <c r="O715">
        <v>13.02</v>
      </c>
      <c r="P715" s="1">
        <v>45413</v>
      </c>
      <c r="Q715" t="str">
        <f t="shared" si="11"/>
        <v>Medium Performance</v>
      </c>
      <c r="R715" s="2">
        <f>Table1_1[[#This Row],[tasks_completed]]/Table1_1[[#This Row],[monthly_hours_worked]]</f>
        <v>2.3405500292568753E-2</v>
      </c>
    </row>
    <row r="716" spans="1:18" x14ac:dyDescent="0.3">
      <c r="A716" t="s">
        <v>104</v>
      </c>
      <c r="B716" t="s">
        <v>43</v>
      </c>
      <c r="C716" t="s">
        <v>18</v>
      </c>
      <c r="D716" t="s">
        <v>29</v>
      </c>
      <c r="E716">
        <v>5</v>
      </c>
      <c r="F716">
        <v>159.5</v>
      </c>
      <c r="G716">
        <v>98.3</v>
      </c>
      <c r="H716">
        <v>5.0999999999999996</v>
      </c>
      <c r="I716">
        <v>7</v>
      </c>
      <c r="J716">
        <v>7.3</v>
      </c>
      <c r="K716">
        <v>8.56</v>
      </c>
      <c r="L716">
        <v>1</v>
      </c>
      <c r="M716" t="s">
        <v>34</v>
      </c>
      <c r="N716" t="s">
        <v>35</v>
      </c>
      <c r="O716">
        <v>14.04</v>
      </c>
      <c r="P716" s="1">
        <v>45444</v>
      </c>
      <c r="Q716" t="str">
        <f t="shared" si="11"/>
        <v>Medium Performance</v>
      </c>
      <c r="R716" s="2">
        <f>Table1_1[[#This Row],[tasks_completed]]/Table1_1[[#This Row],[monthly_hours_worked]]</f>
        <v>4.3887147335423198E-2</v>
      </c>
    </row>
    <row r="717" spans="1:18" x14ac:dyDescent="0.3">
      <c r="A717" t="s">
        <v>104</v>
      </c>
      <c r="B717" t="s">
        <v>17</v>
      </c>
      <c r="C717" t="s">
        <v>31</v>
      </c>
      <c r="D717" t="s">
        <v>19</v>
      </c>
      <c r="E717">
        <v>5</v>
      </c>
      <c r="F717">
        <v>159.9</v>
      </c>
      <c r="G717">
        <v>89.5</v>
      </c>
      <c r="H717">
        <v>4.4000000000000004</v>
      </c>
      <c r="I717">
        <v>7</v>
      </c>
      <c r="J717">
        <v>6.35</v>
      </c>
      <c r="K717">
        <v>5.39</v>
      </c>
      <c r="L717">
        <v>0</v>
      </c>
      <c r="M717" t="s">
        <v>25</v>
      </c>
      <c r="N717" t="s">
        <v>35</v>
      </c>
      <c r="O717">
        <v>21.18</v>
      </c>
      <c r="P717" s="1">
        <v>45474</v>
      </c>
      <c r="Q717" t="str">
        <f t="shared" si="11"/>
        <v>High Performance</v>
      </c>
      <c r="R717" s="2">
        <f>Table1_1[[#This Row],[tasks_completed]]/Table1_1[[#This Row],[monthly_hours_worked]]</f>
        <v>4.3777360850531584E-2</v>
      </c>
    </row>
    <row r="718" spans="1:18" x14ac:dyDescent="0.3">
      <c r="A718" t="s">
        <v>104</v>
      </c>
      <c r="B718" t="s">
        <v>17</v>
      </c>
      <c r="C718" t="s">
        <v>24</v>
      </c>
      <c r="D718" t="s">
        <v>39</v>
      </c>
      <c r="E718">
        <v>1</v>
      </c>
      <c r="F718">
        <v>151.1</v>
      </c>
      <c r="G718">
        <v>96.9</v>
      </c>
      <c r="H718">
        <v>8.1</v>
      </c>
      <c r="I718">
        <v>4</v>
      </c>
      <c r="J718">
        <v>7.66</v>
      </c>
      <c r="K718">
        <v>7.49</v>
      </c>
      <c r="L718">
        <v>0</v>
      </c>
      <c r="M718" t="s">
        <v>25</v>
      </c>
      <c r="N718" t="s">
        <v>26</v>
      </c>
      <c r="O718">
        <v>20</v>
      </c>
      <c r="P718" s="1">
        <v>45505</v>
      </c>
      <c r="Q718" t="str">
        <f t="shared" si="11"/>
        <v>High Performance</v>
      </c>
      <c r="R718" s="2">
        <f>Table1_1[[#This Row],[tasks_completed]]/Table1_1[[#This Row],[monthly_hours_worked]]</f>
        <v>2.6472534745201854E-2</v>
      </c>
    </row>
    <row r="719" spans="1:18" x14ac:dyDescent="0.3">
      <c r="A719" t="s">
        <v>104</v>
      </c>
      <c r="B719" t="s">
        <v>17</v>
      </c>
      <c r="C719" t="s">
        <v>18</v>
      </c>
      <c r="D719" t="s">
        <v>39</v>
      </c>
      <c r="E719">
        <v>2</v>
      </c>
      <c r="F719">
        <v>134.1</v>
      </c>
      <c r="G719">
        <v>94.5</v>
      </c>
      <c r="H719">
        <v>6.2</v>
      </c>
      <c r="I719">
        <v>10</v>
      </c>
      <c r="J719">
        <v>7.93</v>
      </c>
      <c r="K719">
        <v>10</v>
      </c>
      <c r="L719">
        <v>0</v>
      </c>
      <c r="M719" t="s">
        <v>20</v>
      </c>
      <c r="N719" t="s">
        <v>35</v>
      </c>
      <c r="O719">
        <v>12.72</v>
      </c>
      <c r="P719" s="1">
        <v>45536</v>
      </c>
      <c r="Q719" t="str">
        <f t="shared" si="11"/>
        <v>Medium Performance</v>
      </c>
      <c r="R719" s="2">
        <f>Table1_1[[#This Row],[tasks_completed]]/Table1_1[[#This Row],[monthly_hours_worked]]</f>
        <v>7.4571215510812833E-2</v>
      </c>
    </row>
    <row r="720" spans="1:18" x14ac:dyDescent="0.3">
      <c r="A720" t="s">
        <v>104</v>
      </c>
      <c r="B720" t="s">
        <v>23</v>
      </c>
      <c r="C720" t="s">
        <v>31</v>
      </c>
      <c r="D720" t="s">
        <v>29</v>
      </c>
      <c r="E720">
        <v>9</v>
      </c>
      <c r="F720">
        <v>173.8</v>
      </c>
      <c r="G720">
        <v>95.2</v>
      </c>
      <c r="H720">
        <v>8.9</v>
      </c>
      <c r="I720">
        <v>5</v>
      </c>
      <c r="J720">
        <v>7.64</v>
      </c>
      <c r="K720">
        <v>6.43</v>
      </c>
      <c r="L720">
        <v>0</v>
      </c>
      <c r="M720" t="s">
        <v>34</v>
      </c>
      <c r="N720" t="s">
        <v>26</v>
      </c>
      <c r="O720">
        <v>11.85</v>
      </c>
      <c r="P720" s="1">
        <v>45566</v>
      </c>
      <c r="Q720" t="str">
        <f t="shared" si="11"/>
        <v>Medium Performance</v>
      </c>
      <c r="R720" s="2">
        <f>Table1_1[[#This Row],[tasks_completed]]/Table1_1[[#This Row],[monthly_hours_worked]]</f>
        <v>2.8768699654775604E-2</v>
      </c>
    </row>
    <row r="721" spans="1:18" x14ac:dyDescent="0.3">
      <c r="A721" t="s">
        <v>104</v>
      </c>
      <c r="B721" t="s">
        <v>23</v>
      </c>
      <c r="C721" t="s">
        <v>18</v>
      </c>
      <c r="D721" t="s">
        <v>19</v>
      </c>
      <c r="E721">
        <v>8</v>
      </c>
      <c r="F721">
        <v>157.30000000000001</v>
      </c>
      <c r="G721">
        <v>96.6</v>
      </c>
      <c r="H721">
        <v>2.4</v>
      </c>
      <c r="I721">
        <v>8</v>
      </c>
      <c r="J721">
        <v>6.69</v>
      </c>
      <c r="K721">
        <v>9.2899999999999991</v>
      </c>
      <c r="L721">
        <v>1</v>
      </c>
      <c r="M721" t="s">
        <v>34</v>
      </c>
      <c r="N721" t="s">
        <v>21</v>
      </c>
      <c r="O721">
        <v>13.03</v>
      </c>
      <c r="P721" s="1">
        <v>45597</v>
      </c>
      <c r="Q721" t="str">
        <f t="shared" si="11"/>
        <v>Medium Performance</v>
      </c>
      <c r="R721" s="2">
        <f>Table1_1[[#This Row],[tasks_completed]]/Table1_1[[#This Row],[monthly_hours_worked]]</f>
        <v>5.085823267641449E-2</v>
      </c>
    </row>
    <row r="722" spans="1:18" x14ac:dyDescent="0.3">
      <c r="A722" t="s">
        <v>105</v>
      </c>
      <c r="B722" t="s">
        <v>27</v>
      </c>
      <c r="C722" t="s">
        <v>24</v>
      </c>
      <c r="D722" t="s">
        <v>39</v>
      </c>
      <c r="E722">
        <v>3</v>
      </c>
      <c r="F722">
        <v>158.69999999999999</v>
      </c>
      <c r="G722">
        <v>88.3</v>
      </c>
      <c r="H722">
        <v>4.3</v>
      </c>
      <c r="I722">
        <v>4</v>
      </c>
      <c r="K722">
        <v>6.1</v>
      </c>
      <c r="L722">
        <v>0</v>
      </c>
      <c r="M722" t="s">
        <v>20</v>
      </c>
      <c r="N722" t="s">
        <v>26</v>
      </c>
      <c r="O722">
        <v>10.33</v>
      </c>
      <c r="P722" s="1">
        <v>45292</v>
      </c>
      <c r="Q722" t="str">
        <f t="shared" si="11"/>
        <v>Medium Performance</v>
      </c>
      <c r="R722" s="2">
        <f>Table1_1[[#This Row],[tasks_completed]]/Table1_1[[#This Row],[monthly_hours_worked]]</f>
        <v>2.5204788909892882E-2</v>
      </c>
    </row>
    <row r="723" spans="1:18" x14ac:dyDescent="0.3">
      <c r="A723" t="s">
        <v>105</v>
      </c>
      <c r="B723" t="s">
        <v>23</v>
      </c>
      <c r="C723" t="s">
        <v>24</v>
      </c>
      <c r="D723" t="s">
        <v>39</v>
      </c>
      <c r="E723">
        <v>2</v>
      </c>
      <c r="F723">
        <v>153.4</v>
      </c>
      <c r="G723">
        <v>89.2</v>
      </c>
      <c r="H723">
        <v>5.8</v>
      </c>
      <c r="I723">
        <v>6</v>
      </c>
      <c r="J723">
        <v>9.6999999999999993</v>
      </c>
      <c r="K723">
        <v>5.41</v>
      </c>
      <c r="L723">
        <v>1</v>
      </c>
      <c r="M723" t="s">
        <v>34</v>
      </c>
      <c r="N723" t="s">
        <v>26</v>
      </c>
      <c r="O723">
        <v>9.06</v>
      </c>
      <c r="P723" s="1">
        <v>45292</v>
      </c>
      <c r="Q723" t="str">
        <f t="shared" si="11"/>
        <v>Low Performance</v>
      </c>
      <c r="R723" s="2">
        <f>Table1_1[[#This Row],[tasks_completed]]/Table1_1[[#This Row],[monthly_hours_worked]]</f>
        <v>3.911342894393742E-2</v>
      </c>
    </row>
    <row r="724" spans="1:18" x14ac:dyDescent="0.3">
      <c r="A724" t="s">
        <v>105</v>
      </c>
      <c r="B724" t="s">
        <v>43</v>
      </c>
      <c r="C724" t="s">
        <v>24</v>
      </c>
      <c r="D724" t="s">
        <v>29</v>
      </c>
      <c r="E724">
        <v>7</v>
      </c>
      <c r="F724">
        <v>173.9</v>
      </c>
      <c r="G724">
        <v>93.9</v>
      </c>
      <c r="H724">
        <v>5.0999999999999996</v>
      </c>
      <c r="I724">
        <v>4</v>
      </c>
      <c r="J724">
        <v>7.53</v>
      </c>
      <c r="K724">
        <v>8.86</v>
      </c>
      <c r="L724">
        <v>1</v>
      </c>
      <c r="M724" t="s">
        <v>25</v>
      </c>
      <c r="N724" t="s">
        <v>21</v>
      </c>
      <c r="O724">
        <v>14.63</v>
      </c>
      <c r="P724" s="1">
        <v>45352</v>
      </c>
      <c r="Q724" t="str">
        <f t="shared" si="11"/>
        <v>Medium Performance</v>
      </c>
      <c r="R724" s="2">
        <f>Table1_1[[#This Row],[tasks_completed]]/Table1_1[[#This Row],[monthly_hours_worked]]</f>
        <v>2.3001725129384702E-2</v>
      </c>
    </row>
    <row r="725" spans="1:18" x14ac:dyDescent="0.3">
      <c r="A725" t="s">
        <v>105</v>
      </c>
      <c r="B725" t="s">
        <v>17</v>
      </c>
      <c r="C725" t="s">
        <v>41</v>
      </c>
      <c r="D725" t="s">
        <v>19</v>
      </c>
      <c r="E725">
        <v>8</v>
      </c>
      <c r="F725">
        <v>156.80000000000001</v>
      </c>
      <c r="G725">
        <v>95.4</v>
      </c>
      <c r="H725">
        <v>4.5999999999999996</v>
      </c>
      <c r="I725">
        <v>12</v>
      </c>
      <c r="J725">
        <v>8.3699999999999992</v>
      </c>
      <c r="K725">
        <v>7.03</v>
      </c>
      <c r="L725">
        <v>1</v>
      </c>
      <c r="M725" t="s">
        <v>20</v>
      </c>
      <c r="N725" t="s">
        <v>35</v>
      </c>
      <c r="O725">
        <v>15.51</v>
      </c>
      <c r="P725" s="1">
        <v>45352</v>
      </c>
      <c r="Q725" t="str">
        <f t="shared" si="11"/>
        <v>High Performance</v>
      </c>
      <c r="R725" s="2">
        <f>Table1_1[[#This Row],[tasks_completed]]/Table1_1[[#This Row],[monthly_hours_worked]]</f>
        <v>7.6530612244897947E-2</v>
      </c>
    </row>
    <row r="726" spans="1:18" x14ac:dyDescent="0.3">
      <c r="A726" t="s">
        <v>105</v>
      </c>
      <c r="B726" t="s">
        <v>43</v>
      </c>
      <c r="C726" t="s">
        <v>37</v>
      </c>
      <c r="D726" t="s">
        <v>29</v>
      </c>
      <c r="E726">
        <v>2</v>
      </c>
      <c r="F726">
        <v>170.6</v>
      </c>
      <c r="G726">
        <v>99.9</v>
      </c>
      <c r="H726">
        <v>2</v>
      </c>
      <c r="I726">
        <v>3</v>
      </c>
      <c r="J726">
        <v>3.58</v>
      </c>
      <c r="K726">
        <v>6.33</v>
      </c>
      <c r="L726">
        <v>0</v>
      </c>
      <c r="M726" t="s">
        <v>25</v>
      </c>
      <c r="N726" t="s">
        <v>35</v>
      </c>
      <c r="O726">
        <v>15.27</v>
      </c>
      <c r="P726" s="1">
        <v>45383</v>
      </c>
      <c r="Q726" t="str">
        <f t="shared" si="11"/>
        <v>High Performance</v>
      </c>
      <c r="R726" s="2">
        <f>Table1_1[[#This Row],[tasks_completed]]/Table1_1[[#This Row],[monthly_hours_worked]]</f>
        <v>1.7584994138335287E-2</v>
      </c>
    </row>
    <row r="727" spans="1:18" x14ac:dyDescent="0.3">
      <c r="A727" t="s">
        <v>105</v>
      </c>
      <c r="B727" t="s">
        <v>17</v>
      </c>
      <c r="C727" t="s">
        <v>24</v>
      </c>
      <c r="D727" t="s">
        <v>19</v>
      </c>
      <c r="E727">
        <v>4</v>
      </c>
      <c r="F727">
        <v>144.9</v>
      </c>
      <c r="G727">
        <v>94.8</v>
      </c>
      <c r="H727">
        <v>3.8</v>
      </c>
      <c r="I727">
        <v>5</v>
      </c>
      <c r="J727">
        <v>8</v>
      </c>
      <c r="K727">
        <v>7</v>
      </c>
      <c r="L727">
        <v>0</v>
      </c>
      <c r="M727" t="s">
        <v>34</v>
      </c>
      <c r="N727" t="s">
        <v>26</v>
      </c>
      <c r="O727">
        <v>7.97</v>
      </c>
      <c r="P727" s="1">
        <v>45413</v>
      </c>
      <c r="Q727" t="str">
        <f t="shared" si="11"/>
        <v>Low Performance</v>
      </c>
      <c r="R727" s="2">
        <f>Table1_1[[#This Row],[tasks_completed]]/Table1_1[[#This Row],[monthly_hours_worked]]</f>
        <v>3.450655624568668E-2</v>
      </c>
    </row>
    <row r="728" spans="1:18" x14ac:dyDescent="0.3">
      <c r="A728" t="s">
        <v>105</v>
      </c>
      <c r="B728" t="s">
        <v>27</v>
      </c>
      <c r="C728" t="s">
        <v>37</v>
      </c>
      <c r="D728" t="s">
        <v>19</v>
      </c>
      <c r="E728">
        <v>3</v>
      </c>
      <c r="F728">
        <v>187.3</v>
      </c>
      <c r="G728">
        <v>90.6</v>
      </c>
      <c r="H728">
        <v>6.1</v>
      </c>
      <c r="I728">
        <v>7</v>
      </c>
      <c r="J728">
        <v>8.9</v>
      </c>
      <c r="K728">
        <v>6.62</v>
      </c>
      <c r="L728">
        <v>1</v>
      </c>
      <c r="M728" t="s">
        <v>25</v>
      </c>
      <c r="N728" t="s">
        <v>26</v>
      </c>
      <c r="O728">
        <v>9.1199999999999992</v>
      </c>
      <c r="P728" s="1">
        <v>45444</v>
      </c>
      <c r="Q728" t="str">
        <f t="shared" si="11"/>
        <v>Low Performance</v>
      </c>
      <c r="R728" s="2">
        <f>Table1_1[[#This Row],[tasks_completed]]/Table1_1[[#This Row],[monthly_hours_worked]]</f>
        <v>3.737319807794981E-2</v>
      </c>
    </row>
    <row r="729" spans="1:18" x14ac:dyDescent="0.3">
      <c r="A729" t="s">
        <v>105</v>
      </c>
      <c r="B729" t="s">
        <v>33</v>
      </c>
      <c r="C729" t="s">
        <v>24</v>
      </c>
      <c r="D729" t="s">
        <v>19</v>
      </c>
      <c r="E729">
        <v>5</v>
      </c>
      <c r="F729">
        <v>163.4</v>
      </c>
      <c r="G729">
        <v>96.8</v>
      </c>
      <c r="H729">
        <v>4.4000000000000004</v>
      </c>
      <c r="I729">
        <v>3</v>
      </c>
      <c r="J729">
        <v>7.19</v>
      </c>
      <c r="K729">
        <v>6.94</v>
      </c>
      <c r="L729">
        <v>0</v>
      </c>
      <c r="M729" t="s">
        <v>34</v>
      </c>
      <c r="N729" t="s">
        <v>26</v>
      </c>
      <c r="O729">
        <v>11.08</v>
      </c>
      <c r="P729" s="1">
        <v>45474</v>
      </c>
      <c r="Q729" t="str">
        <f t="shared" si="11"/>
        <v>Medium Performance</v>
      </c>
      <c r="R729" s="2">
        <f>Table1_1[[#This Row],[tasks_completed]]/Table1_1[[#This Row],[monthly_hours_worked]]</f>
        <v>1.8359853121175031E-2</v>
      </c>
    </row>
    <row r="730" spans="1:18" x14ac:dyDescent="0.3">
      <c r="A730" t="s">
        <v>105</v>
      </c>
      <c r="B730" t="s">
        <v>23</v>
      </c>
      <c r="C730" t="s">
        <v>31</v>
      </c>
      <c r="D730" t="s">
        <v>39</v>
      </c>
      <c r="E730">
        <v>3</v>
      </c>
      <c r="F730">
        <v>167.5</v>
      </c>
      <c r="G730">
        <v>97.9</v>
      </c>
      <c r="H730">
        <v>3.8</v>
      </c>
      <c r="I730">
        <v>8</v>
      </c>
      <c r="J730">
        <v>10</v>
      </c>
      <c r="K730">
        <v>5.61</v>
      </c>
      <c r="L730">
        <v>0</v>
      </c>
      <c r="M730" t="s">
        <v>34</v>
      </c>
      <c r="N730" t="s">
        <v>21</v>
      </c>
      <c r="O730">
        <v>20.97</v>
      </c>
      <c r="P730" s="1">
        <v>45505</v>
      </c>
      <c r="Q730" t="str">
        <f t="shared" si="11"/>
        <v>High Performance</v>
      </c>
      <c r="R730" s="2">
        <f>Table1_1[[#This Row],[tasks_completed]]/Table1_1[[#This Row],[monthly_hours_worked]]</f>
        <v>4.7761194029850747E-2</v>
      </c>
    </row>
    <row r="731" spans="1:18" x14ac:dyDescent="0.3">
      <c r="A731" t="s">
        <v>105</v>
      </c>
      <c r="B731" t="s">
        <v>23</v>
      </c>
      <c r="C731" t="s">
        <v>31</v>
      </c>
      <c r="D731" t="s">
        <v>39</v>
      </c>
      <c r="E731">
        <v>8</v>
      </c>
      <c r="F731">
        <v>168.8</v>
      </c>
      <c r="G731">
        <v>97.6</v>
      </c>
      <c r="H731">
        <v>5.9</v>
      </c>
      <c r="I731">
        <v>10</v>
      </c>
      <c r="J731">
        <v>8.83</v>
      </c>
      <c r="K731">
        <v>8.73</v>
      </c>
      <c r="L731">
        <v>0</v>
      </c>
      <c r="M731" t="s">
        <v>25</v>
      </c>
      <c r="N731" t="s">
        <v>21</v>
      </c>
      <c r="O731">
        <v>11.23</v>
      </c>
      <c r="P731" s="1">
        <v>45536</v>
      </c>
      <c r="Q731" t="str">
        <f t="shared" si="11"/>
        <v>Medium Performance</v>
      </c>
      <c r="R731" s="2">
        <f>Table1_1[[#This Row],[tasks_completed]]/Table1_1[[#This Row],[monthly_hours_worked]]</f>
        <v>5.9241706161137435E-2</v>
      </c>
    </row>
    <row r="732" spans="1:18" x14ac:dyDescent="0.3">
      <c r="A732" t="s">
        <v>105</v>
      </c>
      <c r="B732" t="s">
        <v>43</v>
      </c>
      <c r="C732" t="s">
        <v>41</v>
      </c>
      <c r="D732" t="s">
        <v>29</v>
      </c>
      <c r="E732">
        <v>2</v>
      </c>
      <c r="F732">
        <v>156.9</v>
      </c>
      <c r="G732">
        <v>99.6</v>
      </c>
      <c r="H732">
        <v>4.5</v>
      </c>
      <c r="I732">
        <v>5</v>
      </c>
      <c r="J732">
        <v>9.27</v>
      </c>
      <c r="K732">
        <v>7.33</v>
      </c>
      <c r="L732">
        <v>0</v>
      </c>
      <c r="M732" t="s">
        <v>34</v>
      </c>
      <c r="N732" t="s">
        <v>21</v>
      </c>
      <c r="O732">
        <v>9.4499999999999993</v>
      </c>
      <c r="P732" s="1">
        <v>45566</v>
      </c>
      <c r="Q732" t="str">
        <f t="shared" si="11"/>
        <v>Low Performance</v>
      </c>
      <c r="R732" s="2">
        <f>Table1_1[[#This Row],[tasks_completed]]/Table1_1[[#This Row],[monthly_hours_worked]]</f>
        <v>3.1867431485022309E-2</v>
      </c>
    </row>
    <row r="733" spans="1:18" x14ac:dyDescent="0.3">
      <c r="A733" t="s">
        <v>105</v>
      </c>
      <c r="B733" t="s">
        <v>33</v>
      </c>
      <c r="C733" t="s">
        <v>37</v>
      </c>
      <c r="D733" t="s">
        <v>29</v>
      </c>
      <c r="E733">
        <v>7</v>
      </c>
      <c r="F733">
        <v>152</v>
      </c>
      <c r="G733">
        <v>92.2</v>
      </c>
      <c r="H733">
        <v>4.2</v>
      </c>
      <c r="I733">
        <v>6</v>
      </c>
      <c r="J733">
        <v>8.61</v>
      </c>
      <c r="K733">
        <v>6.75</v>
      </c>
      <c r="L733">
        <v>1</v>
      </c>
      <c r="M733" t="s">
        <v>20</v>
      </c>
      <c r="N733" t="s">
        <v>26</v>
      </c>
      <c r="O733">
        <v>17.22</v>
      </c>
      <c r="P733" s="1">
        <v>45597</v>
      </c>
      <c r="Q733" t="str">
        <f t="shared" si="11"/>
        <v>High Performance</v>
      </c>
      <c r="R733" s="2">
        <f>Table1_1[[#This Row],[tasks_completed]]/Table1_1[[#This Row],[monthly_hours_worked]]</f>
        <v>3.9473684210526314E-2</v>
      </c>
    </row>
    <row r="734" spans="1:18" x14ac:dyDescent="0.3">
      <c r="A734" t="s">
        <v>106</v>
      </c>
      <c r="B734" t="s">
        <v>43</v>
      </c>
      <c r="C734" t="s">
        <v>37</v>
      </c>
      <c r="D734" t="s">
        <v>19</v>
      </c>
      <c r="E734">
        <v>5</v>
      </c>
      <c r="F734">
        <v>157</v>
      </c>
      <c r="G734">
        <v>96.1</v>
      </c>
      <c r="H734">
        <v>5.9</v>
      </c>
      <c r="I734">
        <v>7</v>
      </c>
      <c r="J734">
        <v>7.02</v>
      </c>
      <c r="K734">
        <v>5.77</v>
      </c>
      <c r="L734">
        <v>0</v>
      </c>
      <c r="M734" t="s">
        <v>34</v>
      </c>
      <c r="N734" t="s">
        <v>21</v>
      </c>
      <c r="O734">
        <v>18.38</v>
      </c>
      <c r="P734" s="1">
        <v>45292</v>
      </c>
      <c r="Q734" t="str">
        <f t="shared" si="11"/>
        <v>High Performance</v>
      </c>
      <c r="R734" s="2">
        <f>Table1_1[[#This Row],[tasks_completed]]/Table1_1[[#This Row],[monthly_hours_worked]]</f>
        <v>4.4585987261146494E-2</v>
      </c>
    </row>
    <row r="735" spans="1:18" x14ac:dyDescent="0.3">
      <c r="A735" t="s">
        <v>106</v>
      </c>
      <c r="B735" t="s">
        <v>43</v>
      </c>
      <c r="C735" t="s">
        <v>18</v>
      </c>
      <c r="D735" t="s">
        <v>29</v>
      </c>
      <c r="E735">
        <v>2</v>
      </c>
      <c r="F735">
        <v>143.30000000000001</v>
      </c>
      <c r="G735">
        <v>100</v>
      </c>
      <c r="H735">
        <v>5</v>
      </c>
      <c r="I735">
        <v>8</v>
      </c>
      <c r="J735">
        <v>4.5599999999999996</v>
      </c>
      <c r="K735">
        <v>4.0199999999999996</v>
      </c>
      <c r="L735">
        <v>1</v>
      </c>
      <c r="M735" t="s">
        <v>34</v>
      </c>
      <c r="N735" t="s">
        <v>21</v>
      </c>
      <c r="O735">
        <v>19.97</v>
      </c>
      <c r="P735" s="1">
        <v>45292</v>
      </c>
      <c r="Q735" t="str">
        <f t="shared" si="11"/>
        <v>High Performance</v>
      </c>
      <c r="R735" s="2">
        <f>Table1_1[[#This Row],[tasks_completed]]/Table1_1[[#This Row],[monthly_hours_worked]]</f>
        <v>5.5826936496859728E-2</v>
      </c>
    </row>
    <row r="736" spans="1:18" x14ac:dyDescent="0.3">
      <c r="A736" t="s">
        <v>106</v>
      </c>
      <c r="B736" t="s">
        <v>17</v>
      </c>
      <c r="C736" t="s">
        <v>37</v>
      </c>
      <c r="D736" t="s">
        <v>29</v>
      </c>
      <c r="E736">
        <v>3</v>
      </c>
      <c r="F736">
        <v>174.8</v>
      </c>
      <c r="G736">
        <v>98.5</v>
      </c>
      <c r="H736">
        <v>4.2</v>
      </c>
      <c r="I736">
        <v>8</v>
      </c>
      <c r="J736">
        <v>7.11</v>
      </c>
      <c r="K736">
        <v>4.21</v>
      </c>
      <c r="L736">
        <v>0</v>
      </c>
      <c r="M736" t="s">
        <v>25</v>
      </c>
      <c r="N736" t="s">
        <v>21</v>
      </c>
      <c r="O736">
        <v>15.54</v>
      </c>
      <c r="P736" s="1">
        <v>45352</v>
      </c>
      <c r="Q736" t="str">
        <f t="shared" si="11"/>
        <v>High Performance</v>
      </c>
      <c r="R736" s="2">
        <f>Table1_1[[#This Row],[tasks_completed]]/Table1_1[[#This Row],[monthly_hours_worked]]</f>
        <v>4.5766590389016017E-2</v>
      </c>
    </row>
    <row r="737" spans="1:18" x14ac:dyDescent="0.3">
      <c r="A737" t="s">
        <v>106</v>
      </c>
      <c r="B737" t="s">
        <v>43</v>
      </c>
      <c r="C737" t="s">
        <v>41</v>
      </c>
      <c r="D737" t="s">
        <v>39</v>
      </c>
      <c r="E737">
        <v>3</v>
      </c>
      <c r="F737">
        <v>165.8</v>
      </c>
      <c r="G737">
        <v>96</v>
      </c>
      <c r="H737">
        <v>1.3</v>
      </c>
      <c r="I737">
        <v>9</v>
      </c>
      <c r="J737">
        <v>6.32</v>
      </c>
      <c r="K737">
        <v>6.16</v>
      </c>
      <c r="L737">
        <v>1</v>
      </c>
      <c r="M737" t="s">
        <v>34</v>
      </c>
      <c r="N737" t="s">
        <v>26</v>
      </c>
      <c r="O737">
        <v>13.76</v>
      </c>
      <c r="P737" s="1">
        <v>45352</v>
      </c>
      <c r="Q737" t="str">
        <f t="shared" si="11"/>
        <v>Medium Performance</v>
      </c>
      <c r="R737" s="2">
        <f>Table1_1[[#This Row],[tasks_completed]]/Table1_1[[#This Row],[monthly_hours_worked]]</f>
        <v>5.4282267792521106E-2</v>
      </c>
    </row>
    <row r="738" spans="1:18" x14ac:dyDescent="0.3">
      <c r="A738" t="s">
        <v>106</v>
      </c>
      <c r="B738" t="s">
        <v>27</v>
      </c>
      <c r="C738" t="s">
        <v>31</v>
      </c>
      <c r="D738" t="s">
        <v>39</v>
      </c>
      <c r="E738">
        <v>10</v>
      </c>
      <c r="F738">
        <v>173.4</v>
      </c>
      <c r="G738">
        <v>100</v>
      </c>
      <c r="H738">
        <v>2.8</v>
      </c>
      <c r="I738">
        <v>3</v>
      </c>
      <c r="J738">
        <v>6.63</v>
      </c>
      <c r="K738">
        <v>8.69</v>
      </c>
      <c r="L738">
        <v>0</v>
      </c>
      <c r="M738" t="s">
        <v>34</v>
      </c>
      <c r="N738" t="s">
        <v>35</v>
      </c>
      <c r="O738">
        <v>9.41</v>
      </c>
      <c r="P738" s="1">
        <v>45383</v>
      </c>
      <c r="Q738" t="str">
        <f t="shared" si="11"/>
        <v>Low Performance</v>
      </c>
      <c r="R738" s="2">
        <f>Table1_1[[#This Row],[tasks_completed]]/Table1_1[[#This Row],[monthly_hours_worked]]</f>
        <v>1.7301038062283735E-2</v>
      </c>
    </row>
    <row r="739" spans="1:18" x14ac:dyDescent="0.3">
      <c r="A739" t="s">
        <v>106</v>
      </c>
      <c r="B739" t="s">
        <v>17</v>
      </c>
      <c r="C739" t="s">
        <v>41</v>
      </c>
      <c r="D739" t="s">
        <v>19</v>
      </c>
      <c r="E739">
        <v>3</v>
      </c>
      <c r="F739">
        <v>148.1</v>
      </c>
      <c r="G739">
        <v>97.2</v>
      </c>
      <c r="H739">
        <v>5.4</v>
      </c>
      <c r="I739">
        <v>9</v>
      </c>
      <c r="J739">
        <v>7.27</v>
      </c>
      <c r="K739">
        <v>4.42</v>
      </c>
      <c r="L739">
        <v>0</v>
      </c>
      <c r="M739" t="s">
        <v>34</v>
      </c>
      <c r="N739" t="s">
        <v>21</v>
      </c>
      <c r="O739">
        <v>12.45</v>
      </c>
      <c r="P739" s="1">
        <v>45413</v>
      </c>
      <c r="Q739" t="str">
        <f t="shared" si="11"/>
        <v>Medium Performance</v>
      </c>
      <c r="R739" s="2">
        <f>Table1_1[[#This Row],[tasks_completed]]/Table1_1[[#This Row],[monthly_hours_worked]]</f>
        <v>6.0769750168804863E-2</v>
      </c>
    </row>
    <row r="740" spans="1:18" x14ac:dyDescent="0.3">
      <c r="A740" t="s">
        <v>106</v>
      </c>
      <c r="B740" t="s">
        <v>33</v>
      </c>
      <c r="C740" t="s">
        <v>18</v>
      </c>
      <c r="D740" t="s">
        <v>39</v>
      </c>
      <c r="E740">
        <v>4</v>
      </c>
      <c r="F740">
        <v>167.8</v>
      </c>
      <c r="G740">
        <v>92.2</v>
      </c>
      <c r="I740">
        <v>11</v>
      </c>
      <c r="J740">
        <v>7.31</v>
      </c>
      <c r="K740">
        <v>4.0599999999999996</v>
      </c>
      <c r="L740">
        <v>0</v>
      </c>
      <c r="M740" t="s">
        <v>25</v>
      </c>
      <c r="N740" t="s">
        <v>26</v>
      </c>
      <c r="O740">
        <v>17.77</v>
      </c>
      <c r="P740" s="1">
        <v>45444</v>
      </c>
      <c r="Q740" t="str">
        <f t="shared" si="11"/>
        <v>High Performance</v>
      </c>
      <c r="R740" s="2">
        <f>Table1_1[[#This Row],[tasks_completed]]/Table1_1[[#This Row],[monthly_hours_worked]]</f>
        <v>6.5554231227651957E-2</v>
      </c>
    </row>
    <row r="741" spans="1:18" x14ac:dyDescent="0.3">
      <c r="A741" t="s">
        <v>106</v>
      </c>
      <c r="B741" t="s">
        <v>23</v>
      </c>
      <c r="C741" t="s">
        <v>24</v>
      </c>
      <c r="D741" t="s">
        <v>19</v>
      </c>
      <c r="E741">
        <v>8</v>
      </c>
      <c r="F741">
        <v>164.6</v>
      </c>
      <c r="G741">
        <v>100</v>
      </c>
      <c r="H741">
        <v>5.4</v>
      </c>
      <c r="I741">
        <v>8</v>
      </c>
      <c r="J741">
        <v>6.18</v>
      </c>
      <c r="K741">
        <v>8.5299999999999994</v>
      </c>
      <c r="L741">
        <v>0</v>
      </c>
      <c r="M741" t="s">
        <v>20</v>
      </c>
      <c r="N741" t="s">
        <v>35</v>
      </c>
      <c r="O741">
        <v>14.05</v>
      </c>
      <c r="P741" s="1">
        <v>45474</v>
      </c>
      <c r="Q741" t="str">
        <f t="shared" si="11"/>
        <v>Medium Performance</v>
      </c>
      <c r="R741" s="2">
        <f>Table1_1[[#This Row],[tasks_completed]]/Table1_1[[#This Row],[monthly_hours_worked]]</f>
        <v>4.8602673147023087E-2</v>
      </c>
    </row>
    <row r="742" spans="1:18" x14ac:dyDescent="0.3">
      <c r="A742" t="s">
        <v>106</v>
      </c>
      <c r="B742" t="s">
        <v>27</v>
      </c>
      <c r="C742" t="s">
        <v>18</v>
      </c>
      <c r="D742" t="s">
        <v>39</v>
      </c>
      <c r="E742">
        <v>6</v>
      </c>
      <c r="F742">
        <v>143.9</v>
      </c>
      <c r="G742">
        <v>98.8</v>
      </c>
      <c r="I742">
        <v>8</v>
      </c>
      <c r="J742">
        <v>6.99</v>
      </c>
      <c r="K742">
        <v>4.2699999999999996</v>
      </c>
      <c r="L742">
        <v>1</v>
      </c>
      <c r="M742" t="s">
        <v>34</v>
      </c>
      <c r="N742" t="s">
        <v>35</v>
      </c>
      <c r="O742">
        <v>6.78</v>
      </c>
      <c r="P742" s="1">
        <v>45505</v>
      </c>
      <c r="Q742" t="str">
        <f t="shared" si="11"/>
        <v>Low Performance</v>
      </c>
      <c r="R742" s="2">
        <f>Table1_1[[#This Row],[tasks_completed]]/Table1_1[[#This Row],[monthly_hours_worked]]</f>
        <v>5.5594162612925643E-2</v>
      </c>
    </row>
    <row r="743" spans="1:18" x14ac:dyDescent="0.3">
      <c r="A743" t="s">
        <v>106</v>
      </c>
      <c r="B743" t="s">
        <v>23</v>
      </c>
      <c r="C743" t="s">
        <v>18</v>
      </c>
      <c r="D743" t="s">
        <v>29</v>
      </c>
      <c r="E743">
        <v>8</v>
      </c>
      <c r="F743">
        <v>158.4</v>
      </c>
      <c r="G743">
        <v>95.3</v>
      </c>
      <c r="H743">
        <v>4.3</v>
      </c>
      <c r="I743">
        <v>5</v>
      </c>
      <c r="J743">
        <v>10</v>
      </c>
      <c r="K743">
        <v>9</v>
      </c>
      <c r="L743">
        <v>0</v>
      </c>
      <c r="M743" t="s">
        <v>25</v>
      </c>
      <c r="N743" t="s">
        <v>35</v>
      </c>
      <c r="O743">
        <v>19.48</v>
      </c>
      <c r="P743" s="1">
        <v>45536</v>
      </c>
      <c r="Q743" t="str">
        <f t="shared" si="11"/>
        <v>High Performance</v>
      </c>
      <c r="R743" s="2">
        <f>Table1_1[[#This Row],[tasks_completed]]/Table1_1[[#This Row],[monthly_hours_worked]]</f>
        <v>3.1565656565656568E-2</v>
      </c>
    </row>
    <row r="744" spans="1:18" x14ac:dyDescent="0.3">
      <c r="A744" t="s">
        <v>106</v>
      </c>
      <c r="B744" t="s">
        <v>17</v>
      </c>
      <c r="C744" t="s">
        <v>31</v>
      </c>
      <c r="D744" t="s">
        <v>19</v>
      </c>
      <c r="E744">
        <v>4</v>
      </c>
      <c r="F744">
        <v>154</v>
      </c>
      <c r="G744">
        <v>91.2</v>
      </c>
      <c r="H744">
        <v>4.9000000000000004</v>
      </c>
      <c r="I744">
        <v>14</v>
      </c>
      <c r="J744">
        <v>9.3000000000000007</v>
      </c>
      <c r="K744">
        <v>6.95</v>
      </c>
      <c r="L744">
        <v>0</v>
      </c>
      <c r="M744" t="s">
        <v>34</v>
      </c>
      <c r="N744" t="s">
        <v>21</v>
      </c>
      <c r="O744">
        <v>20.72</v>
      </c>
      <c r="P744" s="1">
        <v>45566</v>
      </c>
      <c r="Q744" t="str">
        <f t="shared" si="11"/>
        <v>High Performance</v>
      </c>
      <c r="R744" s="2">
        <f>Table1_1[[#This Row],[tasks_completed]]/Table1_1[[#This Row],[monthly_hours_worked]]</f>
        <v>9.0909090909090912E-2</v>
      </c>
    </row>
    <row r="745" spans="1:18" x14ac:dyDescent="0.3">
      <c r="A745" t="s">
        <v>106</v>
      </c>
      <c r="B745" t="s">
        <v>33</v>
      </c>
      <c r="C745" t="s">
        <v>24</v>
      </c>
      <c r="D745" t="s">
        <v>29</v>
      </c>
      <c r="E745">
        <v>10</v>
      </c>
      <c r="F745">
        <v>153.4</v>
      </c>
      <c r="G745">
        <v>96.5</v>
      </c>
      <c r="H745">
        <v>3.9</v>
      </c>
      <c r="I745">
        <v>5</v>
      </c>
      <c r="J745">
        <v>7.17</v>
      </c>
      <c r="K745">
        <v>7.2</v>
      </c>
      <c r="L745">
        <v>0</v>
      </c>
      <c r="M745" t="s">
        <v>25</v>
      </c>
      <c r="N745" t="s">
        <v>26</v>
      </c>
      <c r="O745">
        <v>9.57</v>
      </c>
      <c r="P745" s="1">
        <v>45597</v>
      </c>
      <c r="Q745" t="str">
        <f t="shared" si="11"/>
        <v>Low Performance</v>
      </c>
      <c r="R745" s="2">
        <f>Table1_1[[#This Row],[tasks_completed]]/Table1_1[[#This Row],[monthly_hours_worked]]</f>
        <v>3.259452411994785E-2</v>
      </c>
    </row>
    <row r="746" spans="1:18" x14ac:dyDescent="0.3">
      <c r="A746" t="s">
        <v>107</v>
      </c>
      <c r="B746" t="s">
        <v>23</v>
      </c>
      <c r="C746" t="s">
        <v>18</v>
      </c>
      <c r="D746" t="s">
        <v>29</v>
      </c>
      <c r="E746">
        <v>9</v>
      </c>
      <c r="F746">
        <v>154.69999999999999</v>
      </c>
      <c r="G746">
        <v>90.2</v>
      </c>
      <c r="H746">
        <v>8.1999999999999993</v>
      </c>
      <c r="I746">
        <v>4</v>
      </c>
      <c r="J746">
        <v>9.6300000000000008</v>
      </c>
      <c r="K746">
        <v>5.35</v>
      </c>
      <c r="L746">
        <v>1</v>
      </c>
      <c r="M746" t="s">
        <v>20</v>
      </c>
      <c r="N746" t="s">
        <v>35</v>
      </c>
      <c r="O746">
        <v>15.29</v>
      </c>
      <c r="P746" s="1">
        <v>45292</v>
      </c>
      <c r="Q746" t="str">
        <f t="shared" si="11"/>
        <v>High Performance</v>
      </c>
      <c r="R746" s="2">
        <f>Table1_1[[#This Row],[tasks_completed]]/Table1_1[[#This Row],[monthly_hours_worked]]</f>
        <v>2.5856496444731741E-2</v>
      </c>
    </row>
    <row r="747" spans="1:18" x14ac:dyDescent="0.3">
      <c r="A747" t="s">
        <v>107</v>
      </c>
      <c r="B747" t="s">
        <v>27</v>
      </c>
      <c r="C747" t="s">
        <v>41</v>
      </c>
      <c r="D747" t="s">
        <v>19</v>
      </c>
      <c r="E747">
        <v>8</v>
      </c>
      <c r="F747">
        <v>171.2</v>
      </c>
      <c r="G747">
        <v>98.4</v>
      </c>
      <c r="H747">
        <v>5.4</v>
      </c>
      <c r="I747">
        <v>9</v>
      </c>
      <c r="J747">
        <v>9.7799999999999994</v>
      </c>
      <c r="K747">
        <v>5.82</v>
      </c>
      <c r="L747">
        <v>0</v>
      </c>
      <c r="M747" t="s">
        <v>20</v>
      </c>
      <c r="N747" t="s">
        <v>21</v>
      </c>
      <c r="O747">
        <v>21.29</v>
      </c>
      <c r="P747" s="1">
        <v>45292</v>
      </c>
      <c r="Q747" t="str">
        <f t="shared" si="11"/>
        <v>High Performance</v>
      </c>
      <c r="R747" s="2">
        <f>Table1_1[[#This Row],[tasks_completed]]/Table1_1[[#This Row],[monthly_hours_worked]]</f>
        <v>5.2570093457943931E-2</v>
      </c>
    </row>
    <row r="748" spans="1:18" x14ac:dyDescent="0.3">
      <c r="A748" t="s">
        <v>107</v>
      </c>
      <c r="B748" t="s">
        <v>33</v>
      </c>
      <c r="C748" t="s">
        <v>24</v>
      </c>
      <c r="D748" t="s">
        <v>19</v>
      </c>
      <c r="E748">
        <v>2</v>
      </c>
      <c r="F748">
        <v>165.9</v>
      </c>
      <c r="G748">
        <v>100</v>
      </c>
      <c r="H748">
        <v>2.6</v>
      </c>
      <c r="I748">
        <v>4</v>
      </c>
      <c r="J748">
        <v>7.88</v>
      </c>
      <c r="K748">
        <v>7.88</v>
      </c>
      <c r="L748">
        <v>1</v>
      </c>
      <c r="M748" t="s">
        <v>20</v>
      </c>
      <c r="N748" t="s">
        <v>26</v>
      </c>
      <c r="O748">
        <v>19.41</v>
      </c>
      <c r="P748" s="1">
        <v>45352</v>
      </c>
      <c r="Q748" t="str">
        <f t="shared" si="11"/>
        <v>High Performance</v>
      </c>
      <c r="R748" s="2">
        <f>Table1_1[[#This Row],[tasks_completed]]/Table1_1[[#This Row],[monthly_hours_worked]]</f>
        <v>2.4110910186859551E-2</v>
      </c>
    </row>
    <row r="749" spans="1:18" x14ac:dyDescent="0.3">
      <c r="A749" t="s">
        <v>107</v>
      </c>
      <c r="B749" t="s">
        <v>17</v>
      </c>
      <c r="C749" t="s">
        <v>18</v>
      </c>
      <c r="D749" t="s">
        <v>39</v>
      </c>
      <c r="E749">
        <v>3</v>
      </c>
      <c r="F749">
        <v>167</v>
      </c>
      <c r="G749">
        <v>90.6</v>
      </c>
      <c r="H749">
        <v>5.9</v>
      </c>
      <c r="I749">
        <v>10</v>
      </c>
      <c r="J749">
        <v>5.49</v>
      </c>
      <c r="K749">
        <v>8.15</v>
      </c>
      <c r="L749">
        <v>0</v>
      </c>
      <c r="M749" t="s">
        <v>20</v>
      </c>
      <c r="N749" t="s">
        <v>35</v>
      </c>
      <c r="O749">
        <v>13.41</v>
      </c>
      <c r="P749" s="1">
        <v>45352</v>
      </c>
      <c r="Q749" t="str">
        <f t="shared" si="11"/>
        <v>Medium Performance</v>
      </c>
      <c r="R749" s="2">
        <f>Table1_1[[#This Row],[tasks_completed]]/Table1_1[[#This Row],[monthly_hours_worked]]</f>
        <v>5.9880239520958084E-2</v>
      </c>
    </row>
    <row r="750" spans="1:18" x14ac:dyDescent="0.3">
      <c r="A750" t="s">
        <v>107</v>
      </c>
      <c r="B750" t="s">
        <v>27</v>
      </c>
      <c r="C750" t="s">
        <v>18</v>
      </c>
      <c r="D750" t="s">
        <v>39</v>
      </c>
      <c r="E750">
        <v>6</v>
      </c>
      <c r="F750">
        <v>157.5</v>
      </c>
      <c r="G750">
        <v>97.2</v>
      </c>
      <c r="H750">
        <v>6.2</v>
      </c>
      <c r="I750">
        <v>7</v>
      </c>
      <c r="J750">
        <v>7.51</v>
      </c>
      <c r="K750">
        <v>4.43</v>
      </c>
      <c r="L750">
        <v>0</v>
      </c>
      <c r="M750" t="s">
        <v>34</v>
      </c>
      <c r="N750" t="s">
        <v>26</v>
      </c>
      <c r="O750">
        <v>12.18</v>
      </c>
      <c r="P750" s="1">
        <v>45383</v>
      </c>
      <c r="Q750" t="str">
        <f t="shared" si="11"/>
        <v>Medium Performance</v>
      </c>
      <c r="R750" s="2">
        <f>Table1_1[[#This Row],[tasks_completed]]/Table1_1[[#This Row],[monthly_hours_worked]]</f>
        <v>4.4444444444444446E-2</v>
      </c>
    </row>
    <row r="751" spans="1:18" x14ac:dyDescent="0.3">
      <c r="A751" t="s">
        <v>107</v>
      </c>
      <c r="B751" t="s">
        <v>17</v>
      </c>
      <c r="C751" t="s">
        <v>31</v>
      </c>
      <c r="D751" t="s">
        <v>39</v>
      </c>
      <c r="E751">
        <v>2</v>
      </c>
      <c r="F751">
        <v>164.5</v>
      </c>
      <c r="G751">
        <v>94.7</v>
      </c>
      <c r="H751">
        <v>5.5</v>
      </c>
      <c r="I751">
        <v>6</v>
      </c>
      <c r="J751">
        <v>5.9</v>
      </c>
      <c r="K751">
        <v>6.76</v>
      </c>
      <c r="L751">
        <v>0</v>
      </c>
      <c r="M751" t="s">
        <v>34</v>
      </c>
      <c r="N751" t="s">
        <v>35</v>
      </c>
      <c r="O751">
        <v>14.98</v>
      </c>
      <c r="P751" s="1">
        <v>45413</v>
      </c>
      <c r="Q751" t="str">
        <f t="shared" si="11"/>
        <v>Medium Performance</v>
      </c>
      <c r="R751" s="2">
        <f>Table1_1[[#This Row],[tasks_completed]]/Table1_1[[#This Row],[monthly_hours_worked]]</f>
        <v>3.64741641337386E-2</v>
      </c>
    </row>
    <row r="752" spans="1:18" x14ac:dyDescent="0.3">
      <c r="A752" t="s">
        <v>107</v>
      </c>
      <c r="B752" t="s">
        <v>17</v>
      </c>
      <c r="C752" t="s">
        <v>31</v>
      </c>
      <c r="D752" t="s">
        <v>19</v>
      </c>
      <c r="E752">
        <v>8</v>
      </c>
      <c r="F752">
        <v>174.6</v>
      </c>
      <c r="G752">
        <v>95</v>
      </c>
      <c r="H752">
        <v>5.9</v>
      </c>
      <c r="I752">
        <v>7</v>
      </c>
      <c r="J752">
        <v>6.1</v>
      </c>
      <c r="K752">
        <v>8.11</v>
      </c>
      <c r="L752">
        <v>1</v>
      </c>
      <c r="M752" t="s">
        <v>25</v>
      </c>
      <c r="N752" t="s">
        <v>35</v>
      </c>
      <c r="O752">
        <v>8.56</v>
      </c>
      <c r="P752" s="1">
        <v>45444</v>
      </c>
      <c r="Q752" t="str">
        <f t="shared" si="11"/>
        <v>Low Performance</v>
      </c>
      <c r="R752" s="2">
        <f>Table1_1[[#This Row],[tasks_completed]]/Table1_1[[#This Row],[monthly_hours_worked]]</f>
        <v>4.0091638029782363E-2</v>
      </c>
    </row>
    <row r="753" spans="1:18" x14ac:dyDescent="0.3">
      <c r="A753" t="s">
        <v>107</v>
      </c>
      <c r="B753" t="s">
        <v>23</v>
      </c>
      <c r="C753" t="s">
        <v>37</v>
      </c>
      <c r="D753" t="s">
        <v>29</v>
      </c>
      <c r="E753">
        <v>6</v>
      </c>
      <c r="F753">
        <v>165.9</v>
      </c>
      <c r="G753">
        <v>95.3</v>
      </c>
      <c r="H753">
        <v>0</v>
      </c>
      <c r="I753">
        <v>7</v>
      </c>
      <c r="J753">
        <v>7.38</v>
      </c>
      <c r="K753">
        <v>4.63</v>
      </c>
      <c r="L753">
        <v>1</v>
      </c>
      <c r="M753" t="s">
        <v>34</v>
      </c>
      <c r="N753" t="s">
        <v>26</v>
      </c>
      <c r="O753">
        <v>12.99</v>
      </c>
      <c r="P753" s="1">
        <v>45474</v>
      </c>
      <c r="Q753" t="str">
        <f t="shared" si="11"/>
        <v>Medium Performance</v>
      </c>
      <c r="R753" s="2">
        <f>Table1_1[[#This Row],[tasks_completed]]/Table1_1[[#This Row],[monthly_hours_worked]]</f>
        <v>4.2194092827004218E-2</v>
      </c>
    </row>
    <row r="754" spans="1:18" x14ac:dyDescent="0.3">
      <c r="A754" t="s">
        <v>107</v>
      </c>
      <c r="B754" t="s">
        <v>17</v>
      </c>
      <c r="C754" t="s">
        <v>24</v>
      </c>
      <c r="D754" t="s">
        <v>19</v>
      </c>
      <c r="E754">
        <v>9</v>
      </c>
      <c r="F754">
        <v>167.7</v>
      </c>
      <c r="G754">
        <v>92.5</v>
      </c>
      <c r="H754">
        <v>4.7</v>
      </c>
      <c r="I754">
        <v>6</v>
      </c>
      <c r="K754">
        <v>6.41</v>
      </c>
      <c r="L754">
        <v>0</v>
      </c>
      <c r="M754" t="s">
        <v>34</v>
      </c>
      <c r="N754" t="s">
        <v>21</v>
      </c>
      <c r="O754">
        <v>16.510000000000002</v>
      </c>
      <c r="P754" s="1">
        <v>45505</v>
      </c>
      <c r="Q754" t="str">
        <f t="shared" si="11"/>
        <v>High Performance</v>
      </c>
      <c r="R754" s="2">
        <f>Table1_1[[#This Row],[tasks_completed]]/Table1_1[[#This Row],[monthly_hours_worked]]</f>
        <v>3.5778175313059039E-2</v>
      </c>
    </row>
    <row r="755" spans="1:18" x14ac:dyDescent="0.3">
      <c r="A755" t="s">
        <v>107</v>
      </c>
      <c r="B755" t="s">
        <v>17</v>
      </c>
      <c r="C755" t="s">
        <v>18</v>
      </c>
      <c r="D755" t="s">
        <v>29</v>
      </c>
      <c r="E755">
        <v>6</v>
      </c>
      <c r="F755">
        <v>140.9</v>
      </c>
      <c r="G755">
        <v>100</v>
      </c>
      <c r="H755">
        <v>5.7</v>
      </c>
      <c r="I755">
        <v>5</v>
      </c>
      <c r="J755">
        <v>8.6300000000000008</v>
      </c>
      <c r="K755">
        <v>10</v>
      </c>
      <c r="L755">
        <v>0</v>
      </c>
      <c r="M755" t="s">
        <v>25</v>
      </c>
      <c r="N755" t="s">
        <v>35</v>
      </c>
      <c r="O755">
        <v>17.47</v>
      </c>
      <c r="P755" s="1">
        <v>45536</v>
      </c>
      <c r="Q755" t="str">
        <f t="shared" si="11"/>
        <v>High Performance</v>
      </c>
      <c r="R755" s="2">
        <f>Table1_1[[#This Row],[tasks_completed]]/Table1_1[[#This Row],[monthly_hours_worked]]</f>
        <v>3.5486160397444996E-2</v>
      </c>
    </row>
    <row r="756" spans="1:18" x14ac:dyDescent="0.3">
      <c r="A756" t="s">
        <v>107</v>
      </c>
      <c r="B756" t="s">
        <v>33</v>
      </c>
      <c r="C756" t="s">
        <v>31</v>
      </c>
      <c r="D756" t="s">
        <v>29</v>
      </c>
      <c r="E756">
        <v>2</v>
      </c>
      <c r="F756">
        <v>179.8</v>
      </c>
      <c r="G756">
        <v>100</v>
      </c>
      <c r="H756">
        <v>2.2000000000000002</v>
      </c>
      <c r="I756">
        <v>5</v>
      </c>
      <c r="J756">
        <v>8.98</v>
      </c>
      <c r="K756">
        <v>7.35</v>
      </c>
      <c r="L756">
        <v>0</v>
      </c>
      <c r="M756" t="s">
        <v>25</v>
      </c>
      <c r="N756" t="s">
        <v>21</v>
      </c>
      <c r="O756">
        <v>8.68</v>
      </c>
      <c r="P756" s="1">
        <v>45566</v>
      </c>
      <c r="Q756" t="str">
        <f t="shared" si="11"/>
        <v>Low Performance</v>
      </c>
      <c r="R756" s="2">
        <f>Table1_1[[#This Row],[tasks_completed]]/Table1_1[[#This Row],[monthly_hours_worked]]</f>
        <v>2.7808676307007785E-2</v>
      </c>
    </row>
    <row r="757" spans="1:18" x14ac:dyDescent="0.3">
      <c r="A757" t="s">
        <v>107</v>
      </c>
      <c r="B757" t="s">
        <v>27</v>
      </c>
      <c r="C757" t="s">
        <v>31</v>
      </c>
      <c r="D757" t="s">
        <v>29</v>
      </c>
      <c r="E757">
        <v>2</v>
      </c>
      <c r="F757">
        <v>164.5</v>
      </c>
      <c r="G757">
        <v>98.7</v>
      </c>
      <c r="H757">
        <v>5.9</v>
      </c>
      <c r="I757">
        <v>10</v>
      </c>
      <c r="K757">
        <v>6.76</v>
      </c>
      <c r="L757">
        <v>0</v>
      </c>
      <c r="M757" t="s">
        <v>20</v>
      </c>
      <c r="N757" t="s">
        <v>21</v>
      </c>
      <c r="O757">
        <v>11.67</v>
      </c>
      <c r="P757" s="1">
        <v>45597</v>
      </c>
      <c r="Q757" t="str">
        <f t="shared" si="11"/>
        <v>Medium Performance</v>
      </c>
      <c r="R757" s="2">
        <f>Table1_1[[#This Row],[tasks_completed]]/Table1_1[[#This Row],[monthly_hours_worked]]</f>
        <v>6.0790273556231005E-2</v>
      </c>
    </row>
    <row r="758" spans="1:18" x14ac:dyDescent="0.3">
      <c r="A758" t="s">
        <v>108</v>
      </c>
      <c r="B758" t="s">
        <v>43</v>
      </c>
      <c r="C758" t="s">
        <v>37</v>
      </c>
      <c r="D758" t="s">
        <v>39</v>
      </c>
      <c r="E758">
        <v>4</v>
      </c>
      <c r="F758">
        <v>159.80000000000001</v>
      </c>
      <c r="G758">
        <v>98.1</v>
      </c>
      <c r="I758">
        <v>6</v>
      </c>
      <c r="J758">
        <v>6.7</v>
      </c>
      <c r="K758">
        <v>7.23</v>
      </c>
      <c r="L758">
        <v>1</v>
      </c>
      <c r="M758" t="s">
        <v>25</v>
      </c>
      <c r="N758" t="s">
        <v>26</v>
      </c>
      <c r="O758">
        <v>13.6</v>
      </c>
      <c r="P758" s="1">
        <v>45292</v>
      </c>
      <c r="Q758" t="str">
        <f t="shared" si="11"/>
        <v>Medium Performance</v>
      </c>
      <c r="R758" s="2">
        <f>Table1_1[[#This Row],[tasks_completed]]/Table1_1[[#This Row],[monthly_hours_worked]]</f>
        <v>3.7546933667083851E-2</v>
      </c>
    </row>
    <row r="759" spans="1:18" x14ac:dyDescent="0.3">
      <c r="A759" t="s">
        <v>108</v>
      </c>
      <c r="B759" t="s">
        <v>33</v>
      </c>
      <c r="C759" t="s">
        <v>18</v>
      </c>
      <c r="D759" t="s">
        <v>19</v>
      </c>
      <c r="E759">
        <v>2</v>
      </c>
      <c r="F759">
        <v>174.5</v>
      </c>
      <c r="G759">
        <v>94</v>
      </c>
      <c r="H759">
        <v>10</v>
      </c>
      <c r="I759">
        <v>11</v>
      </c>
      <c r="J759">
        <v>5.73</v>
      </c>
      <c r="K759">
        <v>3.56</v>
      </c>
      <c r="L759">
        <v>0</v>
      </c>
      <c r="M759" t="s">
        <v>34</v>
      </c>
      <c r="N759" t="s">
        <v>21</v>
      </c>
      <c r="O759">
        <v>19.48</v>
      </c>
      <c r="P759" s="1">
        <v>45292</v>
      </c>
      <c r="Q759" t="str">
        <f t="shared" si="11"/>
        <v>High Performance</v>
      </c>
      <c r="R759" s="2">
        <f>Table1_1[[#This Row],[tasks_completed]]/Table1_1[[#This Row],[monthly_hours_worked]]</f>
        <v>6.3037249283667621E-2</v>
      </c>
    </row>
    <row r="760" spans="1:18" x14ac:dyDescent="0.3">
      <c r="A760" t="s">
        <v>108</v>
      </c>
      <c r="B760" t="s">
        <v>23</v>
      </c>
      <c r="C760" t="s">
        <v>24</v>
      </c>
      <c r="D760" t="s">
        <v>19</v>
      </c>
      <c r="E760">
        <v>4</v>
      </c>
      <c r="F760">
        <v>145.5</v>
      </c>
      <c r="G760">
        <v>93.8</v>
      </c>
      <c r="H760">
        <v>5.8</v>
      </c>
      <c r="I760">
        <v>5</v>
      </c>
      <c r="J760">
        <v>7</v>
      </c>
      <c r="K760">
        <v>6.04</v>
      </c>
      <c r="L760">
        <v>0</v>
      </c>
      <c r="M760" t="s">
        <v>25</v>
      </c>
      <c r="N760" t="s">
        <v>35</v>
      </c>
      <c r="O760">
        <v>19.45</v>
      </c>
      <c r="P760" s="1">
        <v>45352</v>
      </c>
      <c r="Q760" t="str">
        <f t="shared" si="11"/>
        <v>High Performance</v>
      </c>
      <c r="R760" s="2">
        <f>Table1_1[[#This Row],[tasks_completed]]/Table1_1[[#This Row],[monthly_hours_worked]]</f>
        <v>3.4364261168384883E-2</v>
      </c>
    </row>
    <row r="761" spans="1:18" x14ac:dyDescent="0.3">
      <c r="A761" t="s">
        <v>108</v>
      </c>
      <c r="B761" t="s">
        <v>17</v>
      </c>
      <c r="C761" t="s">
        <v>31</v>
      </c>
      <c r="D761" t="s">
        <v>39</v>
      </c>
      <c r="E761">
        <v>2</v>
      </c>
      <c r="F761">
        <v>160.80000000000001</v>
      </c>
      <c r="G761">
        <v>94.3</v>
      </c>
      <c r="H761">
        <v>4</v>
      </c>
      <c r="I761">
        <v>4</v>
      </c>
      <c r="J761">
        <v>5.54</v>
      </c>
      <c r="K761">
        <v>5.28</v>
      </c>
      <c r="L761">
        <v>0</v>
      </c>
      <c r="M761" t="s">
        <v>20</v>
      </c>
      <c r="N761" t="s">
        <v>35</v>
      </c>
      <c r="O761">
        <v>10.43</v>
      </c>
      <c r="P761" s="1">
        <v>45352</v>
      </c>
      <c r="Q761" t="str">
        <f t="shared" si="11"/>
        <v>Medium Performance</v>
      </c>
      <c r="R761" s="2">
        <f>Table1_1[[#This Row],[tasks_completed]]/Table1_1[[#This Row],[monthly_hours_worked]]</f>
        <v>2.4875621890547261E-2</v>
      </c>
    </row>
    <row r="762" spans="1:18" x14ac:dyDescent="0.3">
      <c r="A762" t="s">
        <v>108</v>
      </c>
      <c r="B762" t="s">
        <v>17</v>
      </c>
      <c r="C762" t="s">
        <v>41</v>
      </c>
      <c r="D762" t="s">
        <v>39</v>
      </c>
      <c r="E762">
        <v>2</v>
      </c>
      <c r="F762">
        <v>169.2</v>
      </c>
      <c r="G762">
        <v>87.7</v>
      </c>
      <c r="H762">
        <v>5.0999999999999996</v>
      </c>
      <c r="I762">
        <v>8</v>
      </c>
      <c r="J762">
        <v>9.49</v>
      </c>
      <c r="K762">
        <v>6.65</v>
      </c>
      <c r="L762">
        <v>0</v>
      </c>
      <c r="M762" t="s">
        <v>25</v>
      </c>
      <c r="N762" t="s">
        <v>35</v>
      </c>
      <c r="O762">
        <v>9.64</v>
      </c>
      <c r="P762" s="1">
        <v>45383</v>
      </c>
      <c r="Q762" t="str">
        <f t="shared" si="11"/>
        <v>Low Performance</v>
      </c>
      <c r="R762" s="2">
        <f>Table1_1[[#This Row],[tasks_completed]]/Table1_1[[#This Row],[monthly_hours_worked]]</f>
        <v>4.7281323877068564E-2</v>
      </c>
    </row>
    <row r="763" spans="1:18" x14ac:dyDescent="0.3">
      <c r="A763" t="s">
        <v>108</v>
      </c>
      <c r="B763" t="s">
        <v>23</v>
      </c>
      <c r="C763" t="s">
        <v>37</v>
      </c>
      <c r="D763" t="s">
        <v>19</v>
      </c>
      <c r="E763">
        <v>5</v>
      </c>
      <c r="F763">
        <v>160.6</v>
      </c>
      <c r="G763">
        <v>88.9</v>
      </c>
      <c r="H763">
        <v>4.4000000000000004</v>
      </c>
      <c r="I763">
        <v>7</v>
      </c>
      <c r="J763">
        <v>9.59</v>
      </c>
      <c r="K763">
        <v>7.09</v>
      </c>
      <c r="L763">
        <v>0</v>
      </c>
      <c r="M763" t="s">
        <v>20</v>
      </c>
      <c r="N763" t="s">
        <v>26</v>
      </c>
      <c r="O763">
        <v>12.26</v>
      </c>
      <c r="P763" s="1">
        <v>45413</v>
      </c>
      <c r="Q763" t="str">
        <f t="shared" si="11"/>
        <v>Medium Performance</v>
      </c>
      <c r="R763" s="2">
        <f>Table1_1[[#This Row],[tasks_completed]]/Table1_1[[#This Row],[monthly_hours_worked]]</f>
        <v>4.3586550435865505E-2</v>
      </c>
    </row>
    <row r="764" spans="1:18" x14ac:dyDescent="0.3">
      <c r="A764" t="s">
        <v>108</v>
      </c>
      <c r="B764" t="s">
        <v>27</v>
      </c>
      <c r="C764" t="s">
        <v>24</v>
      </c>
      <c r="D764" t="s">
        <v>39</v>
      </c>
      <c r="E764">
        <v>5</v>
      </c>
      <c r="F764">
        <v>148</v>
      </c>
      <c r="G764">
        <v>97.2</v>
      </c>
      <c r="H764">
        <v>6.1</v>
      </c>
      <c r="I764">
        <v>3</v>
      </c>
      <c r="J764">
        <v>5.86</v>
      </c>
      <c r="K764">
        <v>9.5</v>
      </c>
      <c r="L764">
        <v>0</v>
      </c>
      <c r="M764" t="s">
        <v>20</v>
      </c>
      <c r="N764" t="s">
        <v>26</v>
      </c>
      <c r="O764">
        <v>18.07</v>
      </c>
      <c r="P764" s="1">
        <v>45444</v>
      </c>
      <c r="Q764" t="str">
        <f t="shared" si="11"/>
        <v>High Performance</v>
      </c>
      <c r="R764" s="2">
        <f>Table1_1[[#This Row],[tasks_completed]]/Table1_1[[#This Row],[monthly_hours_worked]]</f>
        <v>2.0270270270270271E-2</v>
      </c>
    </row>
    <row r="765" spans="1:18" x14ac:dyDescent="0.3">
      <c r="A765" t="s">
        <v>108</v>
      </c>
      <c r="B765" t="s">
        <v>43</v>
      </c>
      <c r="C765" t="s">
        <v>24</v>
      </c>
      <c r="D765" t="s">
        <v>19</v>
      </c>
      <c r="E765">
        <v>4</v>
      </c>
      <c r="F765">
        <v>163.19999999999999</v>
      </c>
      <c r="G765">
        <v>98.8</v>
      </c>
      <c r="I765">
        <v>5</v>
      </c>
      <c r="J765">
        <v>9.61</v>
      </c>
      <c r="K765">
        <v>5.89</v>
      </c>
      <c r="L765">
        <v>0</v>
      </c>
      <c r="M765" t="s">
        <v>34</v>
      </c>
      <c r="N765" t="s">
        <v>21</v>
      </c>
      <c r="O765">
        <v>22.11</v>
      </c>
      <c r="P765" s="1">
        <v>45474</v>
      </c>
      <c r="Q765" t="str">
        <f t="shared" si="11"/>
        <v>High Performance</v>
      </c>
      <c r="R765" s="2">
        <f>Table1_1[[#This Row],[tasks_completed]]/Table1_1[[#This Row],[monthly_hours_worked]]</f>
        <v>3.0637254901960786E-2</v>
      </c>
    </row>
    <row r="766" spans="1:18" x14ac:dyDescent="0.3">
      <c r="A766" t="s">
        <v>108</v>
      </c>
      <c r="B766" t="s">
        <v>23</v>
      </c>
      <c r="C766" t="s">
        <v>18</v>
      </c>
      <c r="D766" t="s">
        <v>39</v>
      </c>
      <c r="E766">
        <v>4</v>
      </c>
      <c r="F766">
        <v>166.4</v>
      </c>
      <c r="G766">
        <v>100</v>
      </c>
      <c r="H766">
        <v>7.1</v>
      </c>
      <c r="I766">
        <v>9</v>
      </c>
      <c r="J766">
        <v>9.6199999999999992</v>
      </c>
      <c r="K766">
        <v>4.9400000000000004</v>
      </c>
      <c r="L766">
        <v>2</v>
      </c>
      <c r="M766" t="s">
        <v>25</v>
      </c>
      <c r="N766" t="s">
        <v>21</v>
      </c>
      <c r="O766">
        <v>16.03</v>
      </c>
      <c r="P766" s="1">
        <v>45505</v>
      </c>
      <c r="Q766" t="str">
        <f t="shared" si="11"/>
        <v>High Performance</v>
      </c>
      <c r="R766" s="2">
        <f>Table1_1[[#This Row],[tasks_completed]]/Table1_1[[#This Row],[monthly_hours_worked]]</f>
        <v>5.4086538461538457E-2</v>
      </c>
    </row>
    <row r="767" spans="1:18" x14ac:dyDescent="0.3">
      <c r="A767" t="s">
        <v>108</v>
      </c>
      <c r="B767" t="s">
        <v>27</v>
      </c>
      <c r="C767" t="s">
        <v>37</v>
      </c>
      <c r="D767" t="s">
        <v>19</v>
      </c>
      <c r="E767">
        <v>1</v>
      </c>
      <c r="F767">
        <v>140.30000000000001</v>
      </c>
      <c r="G767">
        <v>94.7</v>
      </c>
      <c r="H767">
        <v>2.5</v>
      </c>
      <c r="I767">
        <v>3</v>
      </c>
      <c r="J767">
        <v>7.52</v>
      </c>
      <c r="K767">
        <v>9.15</v>
      </c>
      <c r="L767">
        <v>1</v>
      </c>
      <c r="M767" t="s">
        <v>34</v>
      </c>
      <c r="N767" t="s">
        <v>21</v>
      </c>
      <c r="O767">
        <v>11.01</v>
      </c>
      <c r="P767" s="1">
        <v>45536</v>
      </c>
      <c r="Q767" t="str">
        <f t="shared" si="11"/>
        <v>Medium Performance</v>
      </c>
      <c r="R767" s="2">
        <f>Table1_1[[#This Row],[tasks_completed]]/Table1_1[[#This Row],[monthly_hours_worked]]</f>
        <v>2.1382751247327154E-2</v>
      </c>
    </row>
    <row r="768" spans="1:18" x14ac:dyDescent="0.3">
      <c r="A768" t="s">
        <v>108</v>
      </c>
      <c r="B768" t="s">
        <v>33</v>
      </c>
      <c r="C768" t="s">
        <v>18</v>
      </c>
      <c r="D768" t="s">
        <v>19</v>
      </c>
      <c r="E768">
        <v>3</v>
      </c>
      <c r="F768">
        <v>151.69999999999999</v>
      </c>
      <c r="G768">
        <v>91.6</v>
      </c>
      <c r="H768">
        <v>6.3</v>
      </c>
      <c r="I768">
        <v>4</v>
      </c>
      <c r="J768">
        <v>8.0399999999999991</v>
      </c>
      <c r="K768">
        <v>5.87</v>
      </c>
      <c r="L768">
        <v>0</v>
      </c>
      <c r="M768" t="s">
        <v>20</v>
      </c>
      <c r="N768" t="s">
        <v>26</v>
      </c>
      <c r="O768">
        <v>21.83</v>
      </c>
      <c r="P768" s="1">
        <v>45566</v>
      </c>
      <c r="Q768" t="str">
        <f t="shared" si="11"/>
        <v>High Performance</v>
      </c>
      <c r="R768" s="2">
        <f>Table1_1[[#This Row],[tasks_completed]]/Table1_1[[#This Row],[monthly_hours_worked]]</f>
        <v>2.6367831245880029E-2</v>
      </c>
    </row>
    <row r="769" spans="1:18" x14ac:dyDescent="0.3">
      <c r="A769" t="s">
        <v>108</v>
      </c>
      <c r="B769" t="s">
        <v>33</v>
      </c>
      <c r="C769" t="s">
        <v>18</v>
      </c>
      <c r="D769" t="s">
        <v>29</v>
      </c>
      <c r="E769">
        <v>1</v>
      </c>
      <c r="F769">
        <v>158.1</v>
      </c>
      <c r="G769">
        <v>86.1</v>
      </c>
      <c r="H769">
        <v>0.3</v>
      </c>
      <c r="I769">
        <v>7</v>
      </c>
      <c r="J769">
        <v>6.58</v>
      </c>
      <c r="K769">
        <v>5.22</v>
      </c>
      <c r="L769">
        <v>1</v>
      </c>
      <c r="M769" t="s">
        <v>34</v>
      </c>
      <c r="N769" t="s">
        <v>21</v>
      </c>
      <c r="O769">
        <v>7.06</v>
      </c>
      <c r="P769" s="1">
        <v>45597</v>
      </c>
      <c r="Q769" t="str">
        <f t="shared" si="11"/>
        <v>Low Performance</v>
      </c>
      <c r="R769" s="2">
        <f>Table1_1[[#This Row],[tasks_completed]]/Table1_1[[#This Row],[monthly_hours_worked]]</f>
        <v>4.4275774826059461E-2</v>
      </c>
    </row>
    <row r="770" spans="1:18" x14ac:dyDescent="0.3">
      <c r="A770" t="s">
        <v>109</v>
      </c>
      <c r="B770" t="s">
        <v>43</v>
      </c>
      <c r="C770" t="s">
        <v>31</v>
      </c>
      <c r="D770" t="s">
        <v>29</v>
      </c>
      <c r="E770">
        <v>8</v>
      </c>
      <c r="F770">
        <v>163.9</v>
      </c>
      <c r="G770">
        <v>89.8</v>
      </c>
      <c r="H770">
        <v>6.3</v>
      </c>
      <c r="I770">
        <v>7</v>
      </c>
      <c r="J770">
        <v>8.14</v>
      </c>
      <c r="K770">
        <v>6.03</v>
      </c>
      <c r="L770">
        <v>0</v>
      </c>
      <c r="M770" t="s">
        <v>25</v>
      </c>
      <c r="N770" t="s">
        <v>26</v>
      </c>
      <c r="O770">
        <v>13.49</v>
      </c>
      <c r="P770" s="1">
        <v>45292</v>
      </c>
      <c r="Q770" t="str">
        <f t="shared" ref="Q770:Q833" si="12">IF(O770&gt;=15, "High Performance", IF(O770&gt;=10, "Medium Performance", "Low Performance"))</f>
        <v>Medium Performance</v>
      </c>
      <c r="R770" s="2">
        <f>Table1_1[[#This Row],[tasks_completed]]/Table1_1[[#This Row],[monthly_hours_worked]]</f>
        <v>4.2708968883465523E-2</v>
      </c>
    </row>
    <row r="771" spans="1:18" x14ac:dyDescent="0.3">
      <c r="A771" t="s">
        <v>109</v>
      </c>
      <c r="B771" t="s">
        <v>33</v>
      </c>
      <c r="C771" t="s">
        <v>18</v>
      </c>
      <c r="D771" t="s">
        <v>29</v>
      </c>
      <c r="E771">
        <v>4</v>
      </c>
      <c r="F771">
        <v>163.4</v>
      </c>
      <c r="G771">
        <v>93.4</v>
      </c>
      <c r="H771">
        <v>7</v>
      </c>
      <c r="I771">
        <v>4</v>
      </c>
      <c r="J771">
        <v>6</v>
      </c>
      <c r="K771">
        <v>8.56</v>
      </c>
      <c r="L771">
        <v>0</v>
      </c>
      <c r="M771" t="s">
        <v>25</v>
      </c>
      <c r="N771" t="s">
        <v>26</v>
      </c>
      <c r="O771">
        <v>7.73</v>
      </c>
      <c r="P771" s="1">
        <v>45292</v>
      </c>
      <c r="Q771" t="str">
        <f t="shared" si="12"/>
        <v>Low Performance</v>
      </c>
      <c r="R771" s="2">
        <f>Table1_1[[#This Row],[tasks_completed]]/Table1_1[[#This Row],[monthly_hours_worked]]</f>
        <v>2.4479804161566705E-2</v>
      </c>
    </row>
    <row r="772" spans="1:18" x14ac:dyDescent="0.3">
      <c r="A772" t="s">
        <v>109</v>
      </c>
      <c r="B772" t="s">
        <v>43</v>
      </c>
      <c r="C772" t="s">
        <v>37</v>
      </c>
      <c r="D772" t="s">
        <v>39</v>
      </c>
      <c r="E772">
        <v>8</v>
      </c>
      <c r="F772">
        <v>152.9</v>
      </c>
      <c r="G772">
        <v>95.7</v>
      </c>
      <c r="H772">
        <v>1.7</v>
      </c>
      <c r="I772">
        <v>8</v>
      </c>
      <c r="J772">
        <v>7.55</v>
      </c>
      <c r="K772">
        <v>3.98</v>
      </c>
      <c r="L772">
        <v>0</v>
      </c>
      <c r="M772" t="s">
        <v>34</v>
      </c>
      <c r="N772" t="s">
        <v>21</v>
      </c>
      <c r="O772">
        <v>13.03</v>
      </c>
      <c r="P772" s="1">
        <v>45352</v>
      </c>
      <c r="Q772" t="str">
        <f t="shared" si="12"/>
        <v>Medium Performance</v>
      </c>
      <c r="R772" s="2">
        <f>Table1_1[[#This Row],[tasks_completed]]/Table1_1[[#This Row],[monthly_hours_worked]]</f>
        <v>5.2321778940483975E-2</v>
      </c>
    </row>
    <row r="773" spans="1:18" x14ac:dyDescent="0.3">
      <c r="A773" t="s">
        <v>109</v>
      </c>
      <c r="B773" t="s">
        <v>27</v>
      </c>
      <c r="C773" t="s">
        <v>18</v>
      </c>
      <c r="D773" t="s">
        <v>19</v>
      </c>
      <c r="E773">
        <v>6</v>
      </c>
      <c r="F773">
        <v>169.8</v>
      </c>
      <c r="G773">
        <v>93.4</v>
      </c>
      <c r="H773">
        <v>7.5</v>
      </c>
      <c r="I773">
        <v>4</v>
      </c>
      <c r="J773">
        <v>8.8699999999999992</v>
      </c>
      <c r="K773">
        <v>8.9499999999999993</v>
      </c>
      <c r="L773">
        <v>0</v>
      </c>
      <c r="M773" t="s">
        <v>25</v>
      </c>
      <c r="N773" t="s">
        <v>26</v>
      </c>
      <c r="O773">
        <v>13.11</v>
      </c>
      <c r="P773" s="1">
        <v>45352</v>
      </c>
      <c r="Q773" t="str">
        <f t="shared" si="12"/>
        <v>Medium Performance</v>
      </c>
      <c r="R773" s="2">
        <f>Table1_1[[#This Row],[tasks_completed]]/Table1_1[[#This Row],[monthly_hours_worked]]</f>
        <v>2.3557126030624261E-2</v>
      </c>
    </row>
    <row r="774" spans="1:18" x14ac:dyDescent="0.3">
      <c r="A774" t="s">
        <v>109</v>
      </c>
      <c r="B774" t="s">
        <v>43</v>
      </c>
      <c r="C774" t="s">
        <v>18</v>
      </c>
      <c r="D774" t="s">
        <v>19</v>
      </c>
      <c r="E774">
        <v>1</v>
      </c>
      <c r="F774">
        <v>162.19999999999999</v>
      </c>
      <c r="G774">
        <v>98.3</v>
      </c>
      <c r="H774">
        <v>6</v>
      </c>
      <c r="I774">
        <v>10</v>
      </c>
      <c r="J774">
        <v>6.09</v>
      </c>
      <c r="K774">
        <v>3.59</v>
      </c>
      <c r="L774">
        <v>1</v>
      </c>
      <c r="M774" t="s">
        <v>34</v>
      </c>
      <c r="N774" t="s">
        <v>21</v>
      </c>
      <c r="O774">
        <v>13.52</v>
      </c>
      <c r="P774" s="1">
        <v>45383</v>
      </c>
      <c r="Q774" t="str">
        <f t="shared" si="12"/>
        <v>Medium Performance</v>
      </c>
      <c r="R774" s="2">
        <f>Table1_1[[#This Row],[tasks_completed]]/Table1_1[[#This Row],[monthly_hours_worked]]</f>
        <v>6.1652281134401979E-2</v>
      </c>
    </row>
    <row r="775" spans="1:18" x14ac:dyDescent="0.3">
      <c r="A775" t="s">
        <v>109</v>
      </c>
      <c r="B775" t="s">
        <v>43</v>
      </c>
      <c r="C775" t="s">
        <v>24</v>
      </c>
      <c r="D775" t="s">
        <v>29</v>
      </c>
      <c r="E775">
        <v>10</v>
      </c>
      <c r="F775">
        <v>166</v>
      </c>
      <c r="G775">
        <v>92</v>
      </c>
      <c r="H775">
        <v>4.7</v>
      </c>
      <c r="I775">
        <v>5</v>
      </c>
      <c r="J775">
        <v>10</v>
      </c>
      <c r="K775">
        <v>5.3</v>
      </c>
      <c r="L775">
        <v>1</v>
      </c>
      <c r="M775" t="s">
        <v>20</v>
      </c>
      <c r="N775" t="s">
        <v>35</v>
      </c>
      <c r="O775">
        <v>13.71</v>
      </c>
      <c r="P775" s="1">
        <v>45413</v>
      </c>
      <c r="Q775" t="str">
        <f t="shared" si="12"/>
        <v>Medium Performance</v>
      </c>
      <c r="R775" s="2">
        <f>Table1_1[[#This Row],[tasks_completed]]/Table1_1[[#This Row],[monthly_hours_worked]]</f>
        <v>3.0120481927710843E-2</v>
      </c>
    </row>
    <row r="776" spans="1:18" x14ac:dyDescent="0.3">
      <c r="A776" t="s">
        <v>109</v>
      </c>
      <c r="B776" t="s">
        <v>33</v>
      </c>
      <c r="C776" t="s">
        <v>31</v>
      </c>
      <c r="D776" t="s">
        <v>19</v>
      </c>
      <c r="E776">
        <v>9</v>
      </c>
      <c r="F776">
        <v>160.1</v>
      </c>
      <c r="G776">
        <v>92.4</v>
      </c>
      <c r="H776">
        <v>3.8</v>
      </c>
      <c r="I776">
        <v>5</v>
      </c>
      <c r="J776">
        <v>8.0299999999999994</v>
      </c>
      <c r="K776">
        <v>10</v>
      </c>
      <c r="L776">
        <v>1</v>
      </c>
      <c r="M776" t="s">
        <v>34</v>
      </c>
      <c r="N776" t="s">
        <v>35</v>
      </c>
      <c r="O776">
        <v>16.21</v>
      </c>
      <c r="P776" s="1">
        <v>45444</v>
      </c>
      <c r="Q776" t="str">
        <f t="shared" si="12"/>
        <v>High Performance</v>
      </c>
      <c r="R776" s="2">
        <f>Table1_1[[#This Row],[tasks_completed]]/Table1_1[[#This Row],[monthly_hours_worked]]</f>
        <v>3.1230480949406621E-2</v>
      </c>
    </row>
    <row r="777" spans="1:18" x14ac:dyDescent="0.3">
      <c r="A777" t="s">
        <v>109</v>
      </c>
      <c r="B777" t="s">
        <v>33</v>
      </c>
      <c r="C777" t="s">
        <v>31</v>
      </c>
      <c r="D777" t="s">
        <v>39</v>
      </c>
      <c r="E777">
        <v>5</v>
      </c>
      <c r="F777">
        <v>168</v>
      </c>
      <c r="G777">
        <v>100</v>
      </c>
      <c r="H777">
        <v>4.2</v>
      </c>
      <c r="I777">
        <v>5</v>
      </c>
      <c r="J777">
        <v>10</v>
      </c>
      <c r="K777">
        <v>6.42</v>
      </c>
      <c r="L777">
        <v>0</v>
      </c>
      <c r="M777" t="s">
        <v>25</v>
      </c>
      <c r="N777" t="s">
        <v>21</v>
      </c>
      <c r="O777">
        <v>13.74</v>
      </c>
      <c r="P777" s="1">
        <v>45474</v>
      </c>
      <c r="Q777" t="str">
        <f t="shared" si="12"/>
        <v>Medium Performance</v>
      </c>
      <c r="R777" s="2">
        <f>Table1_1[[#This Row],[tasks_completed]]/Table1_1[[#This Row],[monthly_hours_worked]]</f>
        <v>2.976190476190476E-2</v>
      </c>
    </row>
    <row r="778" spans="1:18" x14ac:dyDescent="0.3">
      <c r="A778" t="s">
        <v>109</v>
      </c>
      <c r="B778" t="s">
        <v>23</v>
      </c>
      <c r="C778" t="s">
        <v>24</v>
      </c>
      <c r="D778" t="s">
        <v>19</v>
      </c>
      <c r="E778">
        <v>4</v>
      </c>
      <c r="F778">
        <v>166.4</v>
      </c>
      <c r="G778">
        <v>99.2</v>
      </c>
      <c r="H778">
        <v>6.3</v>
      </c>
      <c r="I778">
        <v>8</v>
      </c>
      <c r="K778">
        <v>5.25</v>
      </c>
      <c r="L778">
        <v>1</v>
      </c>
      <c r="M778" t="s">
        <v>25</v>
      </c>
      <c r="N778" t="s">
        <v>21</v>
      </c>
      <c r="O778">
        <v>12.04</v>
      </c>
      <c r="P778" s="1">
        <v>45505</v>
      </c>
      <c r="Q778" t="str">
        <f t="shared" si="12"/>
        <v>Medium Performance</v>
      </c>
      <c r="R778" s="2">
        <f>Table1_1[[#This Row],[tasks_completed]]/Table1_1[[#This Row],[monthly_hours_worked]]</f>
        <v>4.8076923076923073E-2</v>
      </c>
    </row>
    <row r="779" spans="1:18" x14ac:dyDescent="0.3">
      <c r="A779" t="s">
        <v>109</v>
      </c>
      <c r="B779" t="s">
        <v>17</v>
      </c>
      <c r="C779" t="s">
        <v>24</v>
      </c>
      <c r="D779" t="s">
        <v>39</v>
      </c>
      <c r="E779">
        <v>1</v>
      </c>
      <c r="F779">
        <v>148.30000000000001</v>
      </c>
      <c r="G779">
        <v>97</v>
      </c>
      <c r="H779">
        <v>3.8</v>
      </c>
      <c r="I779">
        <v>7</v>
      </c>
      <c r="J779">
        <v>4.1100000000000003</v>
      </c>
      <c r="K779">
        <v>7.56</v>
      </c>
      <c r="L779">
        <v>1</v>
      </c>
      <c r="M779" t="s">
        <v>20</v>
      </c>
      <c r="N779" t="s">
        <v>35</v>
      </c>
      <c r="O779">
        <v>5.16</v>
      </c>
      <c r="P779" s="1">
        <v>45536</v>
      </c>
      <c r="Q779" t="str">
        <f t="shared" si="12"/>
        <v>Low Performance</v>
      </c>
      <c r="R779" s="2">
        <f>Table1_1[[#This Row],[tasks_completed]]/Table1_1[[#This Row],[monthly_hours_worked]]</f>
        <v>4.7201618341200263E-2</v>
      </c>
    </row>
    <row r="780" spans="1:18" x14ac:dyDescent="0.3">
      <c r="A780" t="s">
        <v>109</v>
      </c>
      <c r="B780" t="s">
        <v>43</v>
      </c>
      <c r="C780" t="s">
        <v>18</v>
      </c>
      <c r="D780" t="s">
        <v>19</v>
      </c>
      <c r="E780">
        <v>3</v>
      </c>
      <c r="F780">
        <v>153.69999999999999</v>
      </c>
      <c r="G780">
        <v>100</v>
      </c>
      <c r="H780">
        <v>5.4</v>
      </c>
      <c r="I780">
        <v>6</v>
      </c>
      <c r="K780">
        <v>4</v>
      </c>
      <c r="L780">
        <v>0</v>
      </c>
      <c r="M780" t="s">
        <v>20</v>
      </c>
      <c r="N780" t="s">
        <v>21</v>
      </c>
      <c r="O780">
        <v>6.9</v>
      </c>
      <c r="P780" s="1">
        <v>45566</v>
      </c>
      <c r="Q780" t="str">
        <f t="shared" si="12"/>
        <v>Low Performance</v>
      </c>
      <c r="R780" s="2">
        <f>Table1_1[[#This Row],[tasks_completed]]/Table1_1[[#This Row],[monthly_hours_worked]]</f>
        <v>3.9037085230969423E-2</v>
      </c>
    </row>
    <row r="781" spans="1:18" x14ac:dyDescent="0.3">
      <c r="A781" t="s">
        <v>109</v>
      </c>
      <c r="B781" t="s">
        <v>43</v>
      </c>
      <c r="C781" t="s">
        <v>37</v>
      </c>
      <c r="D781" t="s">
        <v>39</v>
      </c>
      <c r="E781">
        <v>1</v>
      </c>
      <c r="F781">
        <v>161.5</v>
      </c>
      <c r="G781">
        <v>93.3</v>
      </c>
      <c r="H781">
        <v>3.9</v>
      </c>
      <c r="I781">
        <v>6</v>
      </c>
      <c r="J781">
        <v>8.49</v>
      </c>
      <c r="K781">
        <v>7.95</v>
      </c>
      <c r="L781">
        <v>0</v>
      </c>
      <c r="M781" t="s">
        <v>20</v>
      </c>
      <c r="N781" t="s">
        <v>21</v>
      </c>
      <c r="O781">
        <v>0</v>
      </c>
      <c r="P781" s="1">
        <v>45597</v>
      </c>
      <c r="Q781" t="str">
        <f t="shared" si="12"/>
        <v>Low Performance</v>
      </c>
      <c r="R781" s="2">
        <f>Table1_1[[#This Row],[tasks_completed]]/Table1_1[[#This Row],[monthly_hours_worked]]</f>
        <v>3.7151702786377708E-2</v>
      </c>
    </row>
    <row r="782" spans="1:18" x14ac:dyDescent="0.3">
      <c r="A782" t="s">
        <v>110</v>
      </c>
      <c r="B782" t="s">
        <v>17</v>
      </c>
      <c r="C782" t="s">
        <v>24</v>
      </c>
      <c r="D782" t="s">
        <v>19</v>
      </c>
      <c r="E782">
        <v>7</v>
      </c>
      <c r="F782">
        <v>153.1</v>
      </c>
      <c r="G782">
        <v>90.3</v>
      </c>
      <c r="H782">
        <v>3.3</v>
      </c>
      <c r="I782">
        <v>5</v>
      </c>
      <c r="J782">
        <v>6.83</v>
      </c>
      <c r="K782">
        <v>10</v>
      </c>
      <c r="L782">
        <v>0</v>
      </c>
      <c r="M782" t="s">
        <v>20</v>
      </c>
      <c r="N782" t="s">
        <v>26</v>
      </c>
      <c r="O782">
        <v>2.89</v>
      </c>
      <c r="P782" s="1">
        <v>45292</v>
      </c>
      <c r="Q782" t="str">
        <f t="shared" si="12"/>
        <v>Low Performance</v>
      </c>
      <c r="R782" s="2">
        <f>Table1_1[[#This Row],[tasks_completed]]/Table1_1[[#This Row],[monthly_hours_worked]]</f>
        <v>3.2658393207054215E-2</v>
      </c>
    </row>
    <row r="783" spans="1:18" x14ac:dyDescent="0.3">
      <c r="A783" t="s">
        <v>110</v>
      </c>
      <c r="B783" t="s">
        <v>27</v>
      </c>
      <c r="C783" t="s">
        <v>18</v>
      </c>
      <c r="D783" t="s">
        <v>29</v>
      </c>
      <c r="E783">
        <v>2</v>
      </c>
      <c r="F783">
        <v>159.5</v>
      </c>
      <c r="G783">
        <v>97.8</v>
      </c>
      <c r="H783">
        <v>1.8</v>
      </c>
      <c r="I783">
        <v>11</v>
      </c>
      <c r="J783">
        <v>7.71</v>
      </c>
      <c r="K783">
        <v>4.4000000000000004</v>
      </c>
      <c r="L783">
        <v>0</v>
      </c>
      <c r="M783" t="s">
        <v>20</v>
      </c>
      <c r="N783" t="s">
        <v>21</v>
      </c>
      <c r="O783">
        <v>7.86</v>
      </c>
      <c r="P783" s="1">
        <v>45292</v>
      </c>
      <c r="Q783" t="str">
        <f t="shared" si="12"/>
        <v>Low Performance</v>
      </c>
      <c r="R783" s="2">
        <f>Table1_1[[#This Row],[tasks_completed]]/Table1_1[[#This Row],[monthly_hours_worked]]</f>
        <v>6.8965517241379309E-2</v>
      </c>
    </row>
    <row r="784" spans="1:18" x14ac:dyDescent="0.3">
      <c r="A784" t="s">
        <v>110</v>
      </c>
      <c r="B784" t="s">
        <v>17</v>
      </c>
      <c r="C784" t="s">
        <v>24</v>
      </c>
      <c r="D784" t="s">
        <v>39</v>
      </c>
      <c r="E784">
        <v>7</v>
      </c>
      <c r="F784">
        <v>154.19999999999999</v>
      </c>
      <c r="G784">
        <v>100</v>
      </c>
      <c r="H784">
        <v>3.7</v>
      </c>
      <c r="I784">
        <v>8</v>
      </c>
      <c r="J784">
        <v>5.82</v>
      </c>
      <c r="K784">
        <v>8.2799999999999994</v>
      </c>
      <c r="L784">
        <v>0</v>
      </c>
      <c r="M784" t="s">
        <v>20</v>
      </c>
      <c r="N784" t="s">
        <v>26</v>
      </c>
      <c r="O784">
        <v>16.22</v>
      </c>
      <c r="P784" s="1">
        <v>45352</v>
      </c>
      <c r="Q784" t="str">
        <f t="shared" si="12"/>
        <v>High Performance</v>
      </c>
      <c r="R784" s="2">
        <f>Table1_1[[#This Row],[tasks_completed]]/Table1_1[[#This Row],[monthly_hours_worked]]</f>
        <v>5.1880674448767837E-2</v>
      </c>
    </row>
    <row r="785" spans="1:18" x14ac:dyDescent="0.3">
      <c r="A785" t="s">
        <v>110</v>
      </c>
      <c r="B785" t="s">
        <v>17</v>
      </c>
      <c r="C785" t="s">
        <v>37</v>
      </c>
      <c r="D785" t="s">
        <v>39</v>
      </c>
      <c r="E785">
        <v>10</v>
      </c>
      <c r="F785">
        <v>160.30000000000001</v>
      </c>
      <c r="G785">
        <v>97.6</v>
      </c>
      <c r="H785">
        <v>6.8</v>
      </c>
      <c r="I785">
        <v>7</v>
      </c>
      <c r="J785">
        <v>7.67</v>
      </c>
      <c r="K785">
        <v>6.28</v>
      </c>
      <c r="L785">
        <v>1</v>
      </c>
      <c r="M785" t="s">
        <v>25</v>
      </c>
      <c r="N785" t="s">
        <v>21</v>
      </c>
      <c r="O785">
        <v>13.44</v>
      </c>
      <c r="P785" s="1">
        <v>45352</v>
      </c>
      <c r="Q785" t="str">
        <f t="shared" si="12"/>
        <v>Medium Performance</v>
      </c>
      <c r="R785" s="2">
        <f>Table1_1[[#This Row],[tasks_completed]]/Table1_1[[#This Row],[monthly_hours_worked]]</f>
        <v>4.3668122270742356E-2</v>
      </c>
    </row>
    <row r="786" spans="1:18" x14ac:dyDescent="0.3">
      <c r="A786" t="s">
        <v>110</v>
      </c>
      <c r="B786" t="s">
        <v>43</v>
      </c>
      <c r="C786" t="s">
        <v>31</v>
      </c>
      <c r="D786" t="s">
        <v>19</v>
      </c>
      <c r="E786">
        <v>3</v>
      </c>
      <c r="F786">
        <v>161.4</v>
      </c>
      <c r="G786">
        <v>90.5</v>
      </c>
      <c r="H786">
        <v>8.1999999999999993</v>
      </c>
      <c r="I786">
        <v>7</v>
      </c>
      <c r="J786">
        <v>6.5</v>
      </c>
      <c r="K786">
        <v>6.48</v>
      </c>
      <c r="L786">
        <v>1</v>
      </c>
      <c r="M786" t="s">
        <v>34</v>
      </c>
      <c r="N786" t="s">
        <v>26</v>
      </c>
      <c r="O786">
        <v>15.84</v>
      </c>
      <c r="P786" s="1">
        <v>45383</v>
      </c>
      <c r="Q786" t="str">
        <f t="shared" si="12"/>
        <v>High Performance</v>
      </c>
      <c r="R786" s="2">
        <f>Table1_1[[#This Row],[tasks_completed]]/Table1_1[[#This Row],[monthly_hours_worked]]</f>
        <v>4.3370508054522923E-2</v>
      </c>
    </row>
    <row r="787" spans="1:18" x14ac:dyDescent="0.3">
      <c r="A787" t="s">
        <v>110</v>
      </c>
      <c r="B787" t="s">
        <v>23</v>
      </c>
      <c r="C787" t="s">
        <v>18</v>
      </c>
      <c r="D787" t="s">
        <v>39</v>
      </c>
      <c r="E787">
        <v>10</v>
      </c>
      <c r="F787">
        <v>165.5</v>
      </c>
      <c r="G787">
        <v>98</v>
      </c>
      <c r="H787">
        <v>5.3</v>
      </c>
      <c r="I787">
        <v>7</v>
      </c>
      <c r="J787">
        <v>8.9499999999999993</v>
      </c>
      <c r="K787">
        <v>9.19</v>
      </c>
      <c r="L787">
        <v>0</v>
      </c>
      <c r="M787" t="s">
        <v>25</v>
      </c>
      <c r="N787" t="s">
        <v>21</v>
      </c>
      <c r="O787">
        <v>15.04</v>
      </c>
      <c r="P787" s="1">
        <v>45413</v>
      </c>
      <c r="Q787" t="str">
        <f t="shared" si="12"/>
        <v>High Performance</v>
      </c>
      <c r="R787" s="2">
        <f>Table1_1[[#This Row],[tasks_completed]]/Table1_1[[#This Row],[monthly_hours_worked]]</f>
        <v>4.2296072507552872E-2</v>
      </c>
    </row>
    <row r="788" spans="1:18" x14ac:dyDescent="0.3">
      <c r="A788" t="s">
        <v>110</v>
      </c>
      <c r="B788" t="s">
        <v>17</v>
      </c>
      <c r="C788" t="s">
        <v>18</v>
      </c>
      <c r="D788" t="s">
        <v>29</v>
      </c>
      <c r="E788">
        <v>5</v>
      </c>
      <c r="F788">
        <v>158.9</v>
      </c>
      <c r="G788">
        <v>98.4</v>
      </c>
      <c r="H788">
        <v>3.3</v>
      </c>
      <c r="I788">
        <v>10</v>
      </c>
      <c r="J788">
        <v>4.49</v>
      </c>
      <c r="K788">
        <v>5.93</v>
      </c>
      <c r="L788">
        <v>0</v>
      </c>
      <c r="M788" t="s">
        <v>25</v>
      </c>
      <c r="N788" t="s">
        <v>21</v>
      </c>
      <c r="O788">
        <v>9.89</v>
      </c>
      <c r="P788" s="1">
        <v>45444</v>
      </c>
      <c r="Q788" t="str">
        <f t="shared" si="12"/>
        <v>Low Performance</v>
      </c>
      <c r="R788" s="2">
        <f>Table1_1[[#This Row],[tasks_completed]]/Table1_1[[#This Row],[monthly_hours_worked]]</f>
        <v>6.2932662051604776E-2</v>
      </c>
    </row>
    <row r="789" spans="1:18" x14ac:dyDescent="0.3">
      <c r="A789" t="s">
        <v>110</v>
      </c>
      <c r="B789" t="s">
        <v>23</v>
      </c>
      <c r="C789" t="s">
        <v>31</v>
      </c>
      <c r="D789" t="s">
        <v>39</v>
      </c>
      <c r="E789">
        <v>9</v>
      </c>
      <c r="F789">
        <v>149.6</v>
      </c>
      <c r="G789">
        <v>98.2</v>
      </c>
      <c r="H789">
        <v>6.3</v>
      </c>
      <c r="I789">
        <v>3</v>
      </c>
      <c r="J789">
        <v>10</v>
      </c>
      <c r="K789">
        <v>5.89</v>
      </c>
      <c r="L789">
        <v>0</v>
      </c>
      <c r="M789" t="s">
        <v>34</v>
      </c>
      <c r="N789" t="s">
        <v>26</v>
      </c>
      <c r="O789">
        <v>4.63</v>
      </c>
      <c r="P789" s="1">
        <v>45474</v>
      </c>
      <c r="Q789" t="str">
        <f t="shared" si="12"/>
        <v>Low Performance</v>
      </c>
      <c r="R789" s="2">
        <f>Table1_1[[#This Row],[tasks_completed]]/Table1_1[[#This Row],[monthly_hours_worked]]</f>
        <v>2.0053475935828877E-2</v>
      </c>
    </row>
    <row r="790" spans="1:18" x14ac:dyDescent="0.3">
      <c r="A790" t="s">
        <v>110</v>
      </c>
      <c r="B790" t="s">
        <v>17</v>
      </c>
      <c r="C790" t="s">
        <v>41</v>
      </c>
      <c r="D790" t="s">
        <v>19</v>
      </c>
      <c r="E790">
        <v>8</v>
      </c>
      <c r="F790">
        <v>165.1</v>
      </c>
      <c r="G790">
        <v>100</v>
      </c>
      <c r="H790">
        <v>0.2</v>
      </c>
      <c r="I790">
        <v>4</v>
      </c>
      <c r="J790">
        <v>10</v>
      </c>
      <c r="K790">
        <v>9.9499999999999993</v>
      </c>
      <c r="L790">
        <v>2</v>
      </c>
      <c r="M790" t="s">
        <v>20</v>
      </c>
      <c r="N790" t="s">
        <v>21</v>
      </c>
      <c r="O790">
        <v>23.96</v>
      </c>
      <c r="P790" s="1">
        <v>45505</v>
      </c>
      <c r="Q790" t="str">
        <f t="shared" si="12"/>
        <v>High Performance</v>
      </c>
      <c r="R790" s="2">
        <f>Table1_1[[#This Row],[tasks_completed]]/Table1_1[[#This Row],[monthly_hours_worked]]</f>
        <v>2.4227740763173834E-2</v>
      </c>
    </row>
    <row r="791" spans="1:18" x14ac:dyDescent="0.3">
      <c r="A791" t="s">
        <v>110</v>
      </c>
      <c r="B791" t="s">
        <v>17</v>
      </c>
      <c r="C791" t="s">
        <v>18</v>
      </c>
      <c r="D791" t="s">
        <v>29</v>
      </c>
      <c r="E791">
        <v>7</v>
      </c>
      <c r="F791">
        <v>160.19999999999999</v>
      </c>
      <c r="G791">
        <v>87</v>
      </c>
      <c r="H791">
        <v>4.4000000000000004</v>
      </c>
      <c r="I791">
        <v>3</v>
      </c>
      <c r="J791">
        <v>7.73</v>
      </c>
      <c r="K791">
        <v>5.19</v>
      </c>
      <c r="L791">
        <v>1</v>
      </c>
      <c r="M791" t="s">
        <v>34</v>
      </c>
      <c r="N791" t="s">
        <v>35</v>
      </c>
      <c r="O791">
        <v>12.15</v>
      </c>
      <c r="P791" s="1">
        <v>45536</v>
      </c>
      <c r="Q791" t="str">
        <f t="shared" si="12"/>
        <v>Medium Performance</v>
      </c>
      <c r="R791" s="2">
        <f>Table1_1[[#This Row],[tasks_completed]]/Table1_1[[#This Row],[monthly_hours_worked]]</f>
        <v>1.8726591760299626E-2</v>
      </c>
    </row>
    <row r="792" spans="1:18" x14ac:dyDescent="0.3">
      <c r="A792" t="s">
        <v>110</v>
      </c>
      <c r="B792" t="s">
        <v>23</v>
      </c>
      <c r="C792" t="s">
        <v>18</v>
      </c>
      <c r="D792" t="s">
        <v>39</v>
      </c>
      <c r="E792">
        <v>9</v>
      </c>
      <c r="F792">
        <v>157.80000000000001</v>
      </c>
      <c r="G792">
        <v>91.8</v>
      </c>
      <c r="H792">
        <v>7.1</v>
      </c>
      <c r="I792">
        <v>6</v>
      </c>
      <c r="J792">
        <v>6.44</v>
      </c>
      <c r="K792">
        <v>6.98</v>
      </c>
      <c r="L792">
        <v>0</v>
      </c>
      <c r="M792" t="s">
        <v>25</v>
      </c>
      <c r="N792" t="s">
        <v>21</v>
      </c>
      <c r="O792">
        <v>14.96</v>
      </c>
      <c r="P792" s="1">
        <v>45566</v>
      </c>
      <c r="Q792" t="str">
        <f t="shared" si="12"/>
        <v>Medium Performance</v>
      </c>
      <c r="R792" s="2">
        <f>Table1_1[[#This Row],[tasks_completed]]/Table1_1[[#This Row],[monthly_hours_worked]]</f>
        <v>3.8022813688212927E-2</v>
      </c>
    </row>
    <row r="793" spans="1:18" x14ac:dyDescent="0.3">
      <c r="A793" t="s">
        <v>110</v>
      </c>
      <c r="B793" t="s">
        <v>43</v>
      </c>
      <c r="C793" t="s">
        <v>18</v>
      </c>
      <c r="D793" t="s">
        <v>29</v>
      </c>
      <c r="E793">
        <v>2</v>
      </c>
      <c r="F793">
        <v>165.9</v>
      </c>
      <c r="G793">
        <v>97.7</v>
      </c>
      <c r="H793">
        <v>3.8</v>
      </c>
      <c r="I793">
        <v>8</v>
      </c>
      <c r="J793">
        <v>6.45</v>
      </c>
      <c r="K793">
        <v>9.2200000000000006</v>
      </c>
      <c r="L793">
        <v>2</v>
      </c>
      <c r="M793" t="s">
        <v>34</v>
      </c>
      <c r="N793" t="s">
        <v>35</v>
      </c>
      <c r="O793">
        <v>10.43</v>
      </c>
      <c r="P793" s="1">
        <v>45597</v>
      </c>
      <c r="Q793" t="str">
        <f t="shared" si="12"/>
        <v>Medium Performance</v>
      </c>
      <c r="R793" s="2">
        <f>Table1_1[[#This Row],[tasks_completed]]/Table1_1[[#This Row],[monthly_hours_worked]]</f>
        <v>4.8221820373719103E-2</v>
      </c>
    </row>
    <row r="794" spans="1:18" x14ac:dyDescent="0.3">
      <c r="A794" t="s">
        <v>111</v>
      </c>
      <c r="B794" t="s">
        <v>43</v>
      </c>
      <c r="C794" t="s">
        <v>31</v>
      </c>
      <c r="D794" t="s">
        <v>29</v>
      </c>
      <c r="E794">
        <v>6</v>
      </c>
      <c r="F794">
        <v>163.5</v>
      </c>
      <c r="G794">
        <v>94.7</v>
      </c>
      <c r="H794">
        <v>7.1</v>
      </c>
      <c r="I794">
        <v>3</v>
      </c>
      <c r="J794">
        <v>7.85</v>
      </c>
      <c r="K794">
        <v>5.83</v>
      </c>
      <c r="L794">
        <v>0</v>
      </c>
      <c r="M794" t="s">
        <v>20</v>
      </c>
      <c r="N794" t="s">
        <v>26</v>
      </c>
      <c r="O794">
        <v>9.3699999999999992</v>
      </c>
      <c r="P794" s="1">
        <v>45292</v>
      </c>
      <c r="Q794" t="str">
        <f t="shared" si="12"/>
        <v>Low Performance</v>
      </c>
      <c r="R794" s="2">
        <f>Table1_1[[#This Row],[tasks_completed]]/Table1_1[[#This Row],[monthly_hours_worked]]</f>
        <v>1.834862385321101E-2</v>
      </c>
    </row>
    <row r="795" spans="1:18" x14ac:dyDescent="0.3">
      <c r="A795" t="s">
        <v>111</v>
      </c>
      <c r="B795" t="s">
        <v>43</v>
      </c>
      <c r="C795" t="s">
        <v>24</v>
      </c>
      <c r="D795" t="s">
        <v>39</v>
      </c>
      <c r="E795">
        <v>1</v>
      </c>
      <c r="F795">
        <v>141.1</v>
      </c>
      <c r="G795">
        <v>93.8</v>
      </c>
      <c r="H795">
        <v>2.7</v>
      </c>
      <c r="I795">
        <v>8</v>
      </c>
      <c r="J795">
        <v>6.22</v>
      </c>
      <c r="K795">
        <v>6.48</v>
      </c>
      <c r="L795">
        <v>1</v>
      </c>
      <c r="M795" t="s">
        <v>25</v>
      </c>
      <c r="N795" t="s">
        <v>21</v>
      </c>
      <c r="O795">
        <v>14.46</v>
      </c>
      <c r="P795" s="1">
        <v>45292</v>
      </c>
      <c r="Q795" t="str">
        <f t="shared" si="12"/>
        <v>Medium Performance</v>
      </c>
      <c r="R795" s="2">
        <f>Table1_1[[#This Row],[tasks_completed]]/Table1_1[[#This Row],[monthly_hours_worked]]</f>
        <v>5.669737774627924E-2</v>
      </c>
    </row>
    <row r="796" spans="1:18" x14ac:dyDescent="0.3">
      <c r="A796" t="s">
        <v>111</v>
      </c>
      <c r="B796" t="s">
        <v>33</v>
      </c>
      <c r="C796" t="s">
        <v>37</v>
      </c>
      <c r="D796" t="s">
        <v>39</v>
      </c>
      <c r="E796">
        <v>5</v>
      </c>
      <c r="F796">
        <v>158.5</v>
      </c>
      <c r="G796">
        <v>98.6</v>
      </c>
      <c r="H796">
        <v>5.2</v>
      </c>
      <c r="I796">
        <v>3</v>
      </c>
      <c r="J796">
        <v>6.72</v>
      </c>
      <c r="K796">
        <v>5.69</v>
      </c>
      <c r="L796">
        <v>0</v>
      </c>
      <c r="M796" t="s">
        <v>25</v>
      </c>
      <c r="N796" t="s">
        <v>21</v>
      </c>
      <c r="O796">
        <v>17.670000000000002</v>
      </c>
      <c r="P796" s="1">
        <v>45352</v>
      </c>
      <c r="Q796" t="str">
        <f t="shared" si="12"/>
        <v>High Performance</v>
      </c>
      <c r="R796" s="2">
        <f>Table1_1[[#This Row],[tasks_completed]]/Table1_1[[#This Row],[monthly_hours_worked]]</f>
        <v>1.8927444794952682E-2</v>
      </c>
    </row>
    <row r="797" spans="1:18" x14ac:dyDescent="0.3">
      <c r="A797" t="s">
        <v>111</v>
      </c>
      <c r="B797" t="s">
        <v>27</v>
      </c>
      <c r="C797" t="s">
        <v>41</v>
      </c>
      <c r="D797" t="s">
        <v>19</v>
      </c>
      <c r="E797">
        <v>9</v>
      </c>
      <c r="F797">
        <v>172.2</v>
      </c>
      <c r="G797">
        <v>86.7</v>
      </c>
      <c r="H797">
        <v>7.3</v>
      </c>
      <c r="I797">
        <v>12</v>
      </c>
      <c r="J797">
        <v>10</v>
      </c>
      <c r="K797">
        <v>6.88</v>
      </c>
      <c r="L797">
        <v>1</v>
      </c>
      <c r="M797" t="s">
        <v>25</v>
      </c>
      <c r="N797" t="s">
        <v>26</v>
      </c>
      <c r="O797">
        <v>8.35</v>
      </c>
      <c r="P797" s="1">
        <v>45352</v>
      </c>
      <c r="Q797" t="str">
        <f t="shared" si="12"/>
        <v>Low Performance</v>
      </c>
      <c r="R797" s="2">
        <f>Table1_1[[#This Row],[tasks_completed]]/Table1_1[[#This Row],[monthly_hours_worked]]</f>
        <v>6.9686411149825794E-2</v>
      </c>
    </row>
    <row r="798" spans="1:18" x14ac:dyDescent="0.3">
      <c r="A798" t="s">
        <v>111</v>
      </c>
      <c r="B798" t="s">
        <v>33</v>
      </c>
      <c r="C798" t="s">
        <v>31</v>
      </c>
      <c r="D798" t="s">
        <v>39</v>
      </c>
      <c r="E798">
        <v>3</v>
      </c>
      <c r="F798">
        <v>162.4</v>
      </c>
      <c r="G798">
        <v>93.2</v>
      </c>
      <c r="H798">
        <v>1.9</v>
      </c>
      <c r="I798">
        <v>8</v>
      </c>
      <c r="J798">
        <v>8.49</v>
      </c>
      <c r="K798">
        <v>5.17</v>
      </c>
      <c r="L798">
        <v>1</v>
      </c>
      <c r="M798" t="s">
        <v>34</v>
      </c>
      <c r="N798" t="s">
        <v>35</v>
      </c>
      <c r="O798">
        <v>3.8</v>
      </c>
      <c r="P798" s="1">
        <v>45383</v>
      </c>
      <c r="Q798" t="str">
        <f t="shared" si="12"/>
        <v>Low Performance</v>
      </c>
      <c r="R798" s="2">
        <f>Table1_1[[#This Row],[tasks_completed]]/Table1_1[[#This Row],[monthly_hours_worked]]</f>
        <v>4.926108374384236E-2</v>
      </c>
    </row>
    <row r="799" spans="1:18" x14ac:dyDescent="0.3">
      <c r="A799" t="s">
        <v>111</v>
      </c>
      <c r="B799" t="s">
        <v>17</v>
      </c>
      <c r="C799" t="s">
        <v>18</v>
      </c>
      <c r="D799" t="s">
        <v>39</v>
      </c>
      <c r="E799">
        <v>5</v>
      </c>
      <c r="F799">
        <v>167.4</v>
      </c>
      <c r="G799">
        <v>99.8</v>
      </c>
      <c r="H799">
        <v>2.4</v>
      </c>
      <c r="I799">
        <v>5</v>
      </c>
      <c r="J799">
        <v>9.85</v>
      </c>
      <c r="K799">
        <v>10</v>
      </c>
      <c r="L799">
        <v>0</v>
      </c>
      <c r="M799" t="s">
        <v>20</v>
      </c>
      <c r="N799" t="s">
        <v>21</v>
      </c>
      <c r="O799">
        <v>6.75</v>
      </c>
      <c r="P799" s="1">
        <v>45413</v>
      </c>
      <c r="Q799" t="str">
        <f t="shared" si="12"/>
        <v>Low Performance</v>
      </c>
      <c r="R799" s="2">
        <f>Table1_1[[#This Row],[tasks_completed]]/Table1_1[[#This Row],[monthly_hours_worked]]</f>
        <v>2.986857825567503E-2</v>
      </c>
    </row>
    <row r="800" spans="1:18" x14ac:dyDescent="0.3">
      <c r="A800" t="s">
        <v>111</v>
      </c>
      <c r="B800" t="s">
        <v>43</v>
      </c>
      <c r="C800" t="s">
        <v>24</v>
      </c>
      <c r="D800" t="s">
        <v>19</v>
      </c>
      <c r="E800">
        <v>9</v>
      </c>
      <c r="F800">
        <v>165.6</v>
      </c>
      <c r="G800">
        <v>89.5</v>
      </c>
      <c r="H800">
        <v>5.9</v>
      </c>
      <c r="I800">
        <v>7</v>
      </c>
      <c r="J800">
        <v>7.79</v>
      </c>
      <c r="K800">
        <v>9.2899999999999991</v>
      </c>
      <c r="L800">
        <v>0</v>
      </c>
      <c r="M800" t="s">
        <v>34</v>
      </c>
      <c r="N800" t="s">
        <v>21</v>
      </c>
      <c r="O800">
        <v>4.38</v>
      </c>
      <c r="P800" s="1">
        <v>45444</v>
      </c>
      <c r="Q800" t="str">
        <f t="shared" si="12"/>
        <v>Low Performance</v>
      </c>
      <c r="R800" s="2">
        <f>Table1_1[[#This Row],[tasks_completed]]/Table1_1[[#This Row],[monthly_hours_worked]]</f>
        <v>4.2270531400966184E-2</v>
      </c>
    </row>
    <row r="801" spans="1:18" x14ac:dyDescent="0.3">
      <c r="A801" t="s">
        <v>111</v>
      </c>
      <c r="B801" t="s">
        <v>27</v>
      </c>
      <c r="C801" t="s">
        <v>18</v>
      </c>
      <c r="D801" t="s">
        <v>39</v>
      </c>
      <c r="E801">
        <v>5</v>
      </c>
      <c r="F801">
        <v>152.30000000000001</v>
      </c>
      <c r="G801">
        <v>93.9</v>
      </c>
      <c r="H801">
        <v>5.7</v>
      </c>
      <c r="I801">
        <v>6</v>
      </c>
      <c r="J801">
        <v>6.65</v>
      </c>
      <c r="K801">
        <v>4.51</v>
      </c>
      <c r="L801">
        <v>0</v>
      </c>
      <c r="M801" t="s">
        <v>34</v>
      </c>
      <c r="N801" t="s">
        <v>35</v>
      </c>
      <c r="O801">
        <v>9.49</v>
      </c>
      <c r="P801" s="1">
        <v>45474</v>
      </c>
      <c r="Q801" t="str">
        <f t="shared" si="12"/>
        <v>Low Performance</v>
      </c>
      <c r="R801" s="2">
        <f>Table1_1[[#This Row],[tasks_completed]]/Table1_1[[#This Row],[monthly_hours_worked]]</f>
        <v>3.9395929087327641E-2</v>
      </c>
    </row>
    <row r="802" spans="1:18" x14ac:dyDescent="0.3">
      <c r="A802" t="s">
        <v>111</v>
      </c>
      <c r="B802" t="s">
        <v>43</v>
      </c>
      <c r="C802" t="s">
        <v>41</v>
      </c>
      <c r="D802" t="s">
        <v>39</v>
      </c>
      <c r="E802">
        <v>10</v>
      </c>
      <c r="F802">
        <v>142.9</v>
      </c>
      <c r="G802">
        <v>96.1</v>
      </c>
      <c r="H802">
        <v>7.7</v>
      </c>
      <c r="I802">
        <v>7</v>
      </c>
      <c r="J802">
        <v>8.94</v>
      </c>
      <c r="K802">
        <v>9.84</v>
      </c>
      <c r="L802">
        <v>1</v>
      </c>
      <c r="M802" t="s">
        <v>20</v>
      </c>
      <c r="N802" t="s">
        <v>26</v>
      </c>
      <c r="O802">
        <v>25.25</v>
      </c>
      <c r="P802" s="1">
        <v>45505</v>
      </c>
      <c r="Q802" t="str">
        <f t="shared" si="12"/>
        <v>High Performance</v>
      </c>
      <c r="R802" s="2">
        <f>Table1_1[[#This Row],[tasks_completed]]/Table1_1[[#This Row],[monthly_hours_worked]]</f>
        <v>4.8985304408677398E-2</v>
      </c>
    </row>
    <row r="803" spans="1:18" x14ac:dyDescent="0.3">
      <c r="A803" t="s">
        <v>111</v>
      </c>
      <c r="B803" t="s">
        <v>27</v>
      </c>
      <c r="C803" t="s">
        <v>37</v>
      </c>
      <c r="D803" t="s">
        <v>39</v>
      </c>
      <c r="E803">
        <v>3</v>
      </c>
      <c r="F803">
        <v>168.7</v>
      </c>
      <c r="G803">
        <v>98.4</v>
      </c>
      <c r="H803">
        <v>3.4</v>
      </c>
      <c r="I803">
        <v>9</v>
      </c>
      <c r="J803">
        <v>5.23</v>
      </c>
      <c r="K803">
        <v>3.29</v>
      </c>
      <c r="L803">
        <v>2</v>
      </c>
      <c r="M803" t="s">
        <v>20</v>
      </c>
      <c r="N803" t="s">
        <v>21</v>
      </c>
      <c r="O803">
        <v>6.52</v>
      </c>
      <c r="P803" s="1">
        <v>45536</v>
      </c>
      <c r="Q803" t="str">
        <f t="shared" si="12"/>
        <v>Low Performance</v>
      </c>
      <c r="R803" s="2">
        <f>Table1_1[[#This Row],[tasks_completed]]/Table1_1[[#This Row],[monthly_hours_worked]]</f>
        <v>5.3349140486069951E-2</v>
      </c>
    </row>
    <row r="804" spans="1:18" x14ac:dyDescent="0.3">
      <c r="A804" t="s">
        <v>111</v>
      </c>
      <c r="B804" t="s">
        <v>17</v>
      </c>
      <c r="C804" t="s">
        <v>37</v>
      </c>
      <c r="D804" t="s">
        <v>19</v>
      </c>
      <c r="E804">
        <v>9</v>
      </c>
      <c r="F804">
        <v>147.4</v>
      </c>
      <c r="G804">
        <v>86.7</v>
      </c>
      <c r="H804">
        <v>5.9</v>
      </c>
      <c r="I804">
        <v>5</v>
      </c>
      <c r="J804">
        <v>6.5</v>
      </c>
      <c r="K804">
        <v>4.0199999999999996</v>
      </c>
      <c r="L804">
        <v>1</v>
      </c>
      <c r="M804" t="s">
        <v>25</v>
      </c>
      <c r="N804" t="s">
        <v>21</v>
      </c>
      <c r="O804">
        <v>13.41</v>
      </c>
      <c r="P804" s="1">
        <v>45566</v>
      </c>
      <c r="Q804" t="str">
        <f t="shared" si="12"/>
        <v>Medium Performance</v>
      </c>
      <c r="R804" s="2">
        <f>Table1_1[[#This Row],[tasks_completed]]/Table1_1[[#This Row],[monthly_hours_worked]]</f>
        <v>3.3921302578018994E-2</v>
      </c>
    </row>
    <row r="805" spans="1:18" x14ac:dyDescent="0.3">
      <c r="A805" t="s">
        <v>111</v>
      </c>
      <c r="B805" t="s">
        <v>33</v>
      </c>
      <c r="C805" t="s">
        <v>18</v>
      </c>
      <c r="D805" t="s">
        <v>39</v>
      </c>
      <c r="E805">
        <v>4</v>
      </c>
      <c r="F805">
        <v>150.5</v>
      </c>
      <c r="G805">
        <v>97.5</v>
      </c>
      <c r="H805">
        <v>4.9000000000000004</v>
      </c>
      <c r="I805">
        <v>9</v>
      </c>
      <c r="J805">
        <v>6.75</v>
      </c>
      <c r="K805">
        <v>10</v>
      </c>
      <c r="L805">
        <v>0</v>
      </c>
      <c r="M805" t="s">
        <v>34</v>
      </c>
      <c r="N805" t="s">
        <v>35</v>
      </c>
      <c r="O805">
        <v>11.46</v>
      </c>
      <c r="P805" s="1">
        <v>45597</v>
      </c>
      <c r="Q805" t="str">
        <f t="shared" si="12"/>
        <v>Medium Performance</v>
      </c>
      <c r="R805" s="2">
        <f>Table1_1[[#This Row],[tasks_completed]]/Table1_1[[#This Row],[monthly_hours_worked]]</f>
        <v>5.9800664451827246E-2</v>
      </c>
    </row>
    <row r="806" spans="1:18" x14ac:dyDescent="0.3">
      <c r="A806" t="s">
        <v>112</v>
      </c>
      <c r="B806" t="s">
        <v>27</v>
      </c>
      <c r="C806" t="s">
        <v>24</v>
      </c>
      <c r="D806" t="s">
        <v>29</v>
      </c>
      <c r="E806">
        <v>7</v>
      </c>
      <c r="F806">
        <v>163.19999999999999</v>
      </c>
      <c r="G806">
        <v>100</v>
      </c>
      <c r="H806">
        <v>5.9</v>
      </c>
      <c r="I806">
        <v>7</v>
      </c>
      <c r="J806">
        <v>6.45</v>
      </c>
      <c r="K806">
        <v>3.67</v>
      </c>
      <c r="L806">
        <v>0</v>
      </c>
      <c r="M806" t="s">
        <v>25</v>
      </c>
      <c r="N806" t="s">
        <v>21</v>
      </c>
      <c r="O806">
        <v>8.61</v>
      </c>
      <c r="P806" s="1">
        <v>45292</v>
      </c>
      <c r="Q806" t="str">
        <f t="shared" si="12"/>
        <v>Low Performance</v>
      </c>
      <c r="R806" s="2">
        <f>Table1_1[[#This Row],[tasks_completed]]/Table1_1[[#This Row],[monthly_hours_worked]]</f>
        <v>4.2892156862745098E-2</v>
      </c>
    </row>
    <row r="807" spans="1:18" x14ac:dyDescent="0.3">
      <c r="A807" t="s">
        <v>112</v>
      </c>
      <c r="B807" t="s">
        <v>23</v>
      </c>
      <c r="C807" t="s">
        <v>37</v>
      </c>
      <c r="D807" t="s">
        <v>19</v>
      </c>
      <c r="E807">
        <v>1</v>
      </c>
      <c r="F807">
        <v>160.6</v>
      </c>
      <c r="G807">
        <v>86.1</v>
      </c>
      <c r="H807">
        <v>7.1</v>
      </c>
      <c r="I807">
        <v>5</v>
      </c>
      <c r="J807">
        <v>7.21</v>
      </c>
      <c r="K807">
        <v>4.4000000000000004</v>
      </c>
      <c r="L807">
        <v>0</v>
      </c>
      <c r="M807" t="s">
        <v>34</v>
      </c>
      <c r="N807" t="s">
        <v>21</v>
      </c>
      <c r="O807">
        <v>10.29</v>
      </c>
      <c r="P807" s="1">
        <v>45292</v>
      </c>
      <c r="Q807" t="str">
        <f t="shared" si="12"/>
        <v>Medium Performance</v>
      </c>
      <c r="R807" s="2">
        <f>Table1_1[[#This Row],[tasks_completed]]/Table1_1[[#This Row],[monthly_hours_worked]]</f>
        <v>3.1133250311332503E-2</v>
      </c>
    </row>
    <row r="808" spans="1:18" x14ac:dyDescent="0.3">
      <c r="A808" t="s">
        <v>112</v>
      </c>
      <c r="B808" t="s">
        <v>23</v>
      </c>
      <c r="C808" t="s">
        <v>41</v>
      </c>
      <c r="D808" t="s">
        <v>39</v>
      </c>
      <c r="E808">
        <v>4</v>
      </c>
      <c r="F808">
        <v>165.2</v>
      </c>
      <c r="G808">
        <v>95.5</v>
      </c>
      <c r="H808">
        <v>4</v>
      </c>
      <c r="I808">
        <v>8</v>
      </c>
      <c r="J808">
        <v>6.07</v>
      </c>
      <c r="K808">
        <v>7.34</v>
      </c>
      <c r="L808">
        <v>0</v>
      </c>
      <c r="M808" t="s">
        <v>20</v>
      </c>
      <c r="N808" t="s">
        <v>21</v>
      </c>
      <c r="O808">
        <v>10.69</v>
      </c>
      <c r="P808" s="1">
        <v>45352</v>
      </c>
      <c r="Q808" t="str">
        <f t="shared" si="12"/>
        <v>Medium Performance</v>
      </c>
      <c r="R808" s="2">
        <f>Table1_1[[#This Row],[tasks_completed]]/Table1_1[[#This Row],[monthly_hours_worked]]</f>
        <v>4.8426150121065381E-2</v>
      </c>
    </row>
    <row r="809" spans="1:18" x14ac:dyDescent="0.3">
      <c r="A809" t="s">
        <v>112</v>
      </c>
      <c r="B809" t="s">
        <v>23</v>
      </c>
      <c r="C809" t="s">
        <v>24</v>
      </c>
      <c r="D809" t="s">
        <v>19</v>
      </c>
      <c r="E809">
        <v>8</v>
      </c>
      <c r="F809">
        <v>157.6</v>
      </c>
      <c r="G809">
        <v>99.8</v>
      </c>
      <c r="H809">
        <v>3</v>
      </c>
      <c r="I809">
        <v>3</v>
      </c>
      <c r="J809">
        <v>6.34</v>
      </c>
      <c r="K809">
        <v>4.82</v>
      </c>
      <c r="L809">
        <v>2</v>
      </c>
      <c r="M809" t="s">
        <v>20</v>
      </c>
      <c r="N809" t="s">
        <v>26</v>
      </c>
      <c r="O809">
        <v>9.5399999999999991</v>
      </c>
      <c r="P809" s="1">
        <v>45352</v>
      </c>
      <c r="Q809" t="str">
        <f t="shared" si="12"/>
        <v>Low Performance</v>
      </c>
      <c r="R809" s="2">
        <f>Table1_1[[#This Row],[tasks_completed]]/Table1_1[[#This Row],[monthly_hours_worked]]</f>
        <v>1.9035532994923859E-2</v>
      </c>
    </row>
    <row r="810" spans="1:18" x14ac:dyDescent="0.3">
      <c r="A810" t="s">
        <v>112</v>
      </c>
      <c r="B810" t="s">
        <v>33</v>
      </c>
      <c r="C810" t="s">
        <v>41</v>
      </c>
      <c r="D810" t="s">
        <v>29</v>
      </c>
      <c r="E810">
        <v>7</v>
      </c>
      <c r="F810">
        <v>155.1</v>
      </c>
      <c r="G810">
        <v>99.4</v>
      </c>
      <c r="H810">
        <v>8.8000000000000007</v>
      </c>
      <c r="I810">
        <v>6</v>
      </c>
      <c r="J810">
        <v>8.85</v>
      </c>
      <c r="K810">
        <v>9.2799999999999994</v>
      </c>
      <c r="L810">
        <v>0</v>
      </c>
      <c r="M810" t="s">
        <v>34</v>
      </c>
      <c r="N810" t="s">
        <v>26</v>
      </c>
      <c r="O810">
        <v>19.21</v>
      </c>
      <c r="P810" s="1">
        <v>45383</v>
      </c>
      <c r="Q810" t="str">
        <f t="shared" si="12"/>
        <v>High Performance</v>
      </c>
      <c r="R810" s="2">
        <f>Table1_1[[#This Row],[tasks_completed]]/Table1_1[[#This Row],[monthly_hours_worked]]</f>
        <v>3.8684719535783368E-2</v>
      </c>
    </row>
    <row r="811" spans="1:18" x14ac:dyDescent="0.3">
      <c r="A811" t="s">
        <v>112</v>
      </c>
      <c r="B811" t="s">
        <v>33</v>
      </c>
      <c r="C811" t="s">
        <v>41</v>
      </c>
      <c r="D811" t="s">
        <v>19</v>
      </c>
      <c r="E811">
        <v>1</v>
      </c>
      <c r="F811">
        <v>150.4</v>
      </c>
      <c r="G811">
        <v>95</v>
      </c>
      <c r="H811">
        <v>4.8</v>
      </c>
      <c r="I811">
        <v>7</v>
      </c>
      <c r="J811">
        <v>5.38</v>
      </c>
      <c r="K811">
        <v>3.22</v>
      </c>
      <c r="L811">
        <v>0</v>
      </c>
      <c r="M811" t="s">
        <v>25</v>
      </c>
      <c r="N811" t="s">
        <v>26</v>
      </c>
      <c r="O811">
        <v>12.41</v>
      </c>
      <c r="P811" s="1">
        <v>45413</v>
      </c>
      <c r="Q811" t="str">
        <f t="shared" si="12"/>
        <v>Medium Performance</v>
      </c>
      <c r="R811" s="2">
        <f>Table1_1[[#This Row],[tasks_completed]]/Table1_1[[#This Row],[monthly_hours_worked]]</f>
        <v>4.6542553191489359E-2</v>
      </c>
    </row>
    <row r="812" spans="1:18" x14ac:dyDescent="0.3">
      <c r="A812" t="s">
        <v>112</v>
      </c>
      <c r="B812" t="s">
        <v>23</v>
      </c>
      <c r="C812" t="s">
        <v>31</v>
      </c>
      <c r="D812" t="s">
        <v>19</v>
      </c>
      <c r="E812">
        <v>6</v>
      </c>
      <c r="F812">
        <v>179.5</v>
      </c>
      <c r="G812">
        <v>92.8</v>
      </c>
      <c r="H812">
        <v>4.4000000000000004</v>
      </c>
      <c r="I812">
        <v>8</v>
      </c>
      <c r="J812">
        <v>7.66</v>
      </c>
      <c r="K812">
        <v>7.43</v>
      </c>
      <c r="L812">
        <v>0</v>
      </c>
      <c r="M812" t="s">
        <v>20</v>
      </c>
      <c r="N812" t="s">
        <v>21</v>
      </c>
      <c r="O812">
        <v>20.260000000000002</v>
      </c>
      <c r="P812" s="1">
        <v>45444</v>
      </c>
      <c r="Q812" t="str">
        <f t="shared" si="12"/>
        <v>High Performance</v>
      </c>
      <c r="R812" s="2">
        <f>Table1_1[[#This Row],[tasks_completed]]/Table1_1[[#This Row],[monthly_hours_worked]]</f>
        <v>4.456824512534819E-2</v>
      </c>
    </row>
    <row r="813" spans="1:18" x14ac:dyDescent="0.3">
      <c r="A813" t="s">
        <v>112</v>
      </c>
      <c r="B813" t="s">
        <v>43</v>
      </c>
      <c r="C813" t="s">
        <v>18</v>
      </c>
      <c r="D813" t="s">
        <v>29</v>
      </c>
      <c r="E813">
        <v>1</v>
      </c>
      <c r="F813">
        <v>160.69999999999999</v>
      </c>
      <c r="G813">
        <v>80.900000000000006</v>
      </c>
      <c r="H813">
        <v>4.5</v>
      </c>
      <c r="I813">
        <v>4</v>
      </c>
      <c r="J813">
        <v>8.17</v>
      </c>
      <c r="K813">
        <v>4.92</v>
      </c>
      <c r="L813">
        <v>0</v>
      </c>
      <c r="M813" t="s">
        <v>25</v>
      </c>
      <c r="N813" t="s">
        <v>21</v>
      </c>
      <c r="O813">
        <v>7.01</v>
      </c>
      <c r="P813" s="1">
        <v>45474</v>
      </c>
      <c r="Q813" t="str">
        <f t="shared" si="12"/>
        <v>Low Performance</v>
      </c>
      <c r="R813" s="2">
        <f>Table1_1[[#This Row],[tasks_completed]]/Table1_1[[#This Row],[monthly_hours_worked]]</f>
        <v>2.4891101431238336E-2</v>
      </c>
    </row>
    <row r="814" spans="1:18" x14ac:dyDescent="0.3">
      <c r="A814" t="s">
        <v>112</v>
      </c>
      <c r="B814" t="s">
        <v>27</v>
      </c>
      <c r="C814" t="s">
        <v>24</v>
      </c>
      <c r="D814" t="s">
        <v>29</v>
      </c>
      <c r="E814">
        <v>2</v>
      </c>
      <c r="F814">
        <v>145.30000000000001</v>
      </c>
      <c r="G814">
        <v>89.8</v>
      </c>
      <c r="H814">
        <v>2.8</v>
      </c>
      <c r="I814">
        <v>5</v>
      </c>
      <c r="J814">
        <v>8.09</v>
      </c>
      <c r="K814">
        <v>5.44</v>
      </c>
      <c r="L814">
        <v>0</v>
      </c>
      <c r="M814" t="s">
        <v>34</v>
      </c>
      <c r="N814" t="s">
        <v>35</v>
      </c>
      <c r="O814">
        <v>23.45</v>
      </c>
      <c r="P814" s="1">
        <v>45505</v>
      </c>
      <c r="Q814" t="str">
        <f t="shared" si="12"/>
        <v>High Performance</v>
      </c>
      <c r="R814" s="2">
        <f>Table1_1[[#This Row],[tasks_completed]]/Table1_1[[#This Row],[monthly_hours_worked]]</f>
        <v>3.4411562284927734E-2</v>
      </c>
    </row>
    <row r="815" spans="1:18" x14ac:dyDescent="0.3">
      <c r="A815" t="s">
        <v>112</v>
      </c>
      <c r="B815" t="s">
        <v>17</v>
      </c>
      <c r="C815" t="s">
        <v>37</v>
      </c>
      <c r="D815" t="s">
        <v>19</v>
      </c>
      <c r="E815">
        <v>1</v>
      </c>
      <c r="F815">
        <v>164.6</v>
      </c>
      <c r="G815">
        <v>92.6</v>
      </c>
      <c r="H815">
        <v>4.7</v>
      </c>
      <c r="I815">
        <v>8</v>
      </c>
      <c r="J815">
        <v>8.1999999999999993</v>
      </c>
      <c r="K815">
        <v>5.44</v>
      </c>
      <c r="L815">
        <v>0</v>
      </c>
      <c r="M815" t="s">
        <v>25</v>
      </c>
      <c r="N815" t="s">
        <v>21</v>
      </c>
      <c r="O815">
        <v>20.25</v>
      </c>
      <c r="P815" s="1">
        <v>45536</v>
      </c>
      <c r="Q815" t="str">
        <f t="shared" si="12"/>
        <v>High Performance</v>
      </c>
      <c r="R815" s="2">
        <f>Table1_1[[#This Row],[tasks_completed]]/Table1_1[[#This Row],[monthly_hours_worked]]</f>
        <v>4.8602673147023087E-2</v>
      </c>
    </row>
    <row r="816" spans="1:18" x14ac:dyDescent="0.3">
      <c r="A816" t="s">
        <v>112</v>
      </c>
      <c r="B816" t="s">
        <v>33</v>
      </c>
      <c r="C816" t="s">
        <v>24</v>
      </c>
      <c r="D816" t="s">
        <v>39</v>
      </c>
      <c r="E816">
        <v>1</v>
      </c>
      <c r="F816">
        <v>161.19999999999999</v>
      </c>
      <c r="G816">
        <v>96.1</v>
      </c>
      <c r="H816">
        <v>8</v>
      </c>
      <c r="I816">
        <v>8</v>
      </c>
      <c r="J816">
        <v>7.93</v>
      </c>
      <c r="K816">
        <v>7.71</v>
      </c>
      <c r="L816">
        <v>0</v>
      </c>
      <c r="M816" t="s">
        <v>25</v>
      </c>
      <c r="N816" t="s">
        <v>21</v>
      </c>
      <c r="O816">
        <v>15.61</v>
      </c>
      <c r="P816" s="1">
        <v>45566</v>
      </c>
      <c r="Q816" t="str">
        <f t="shared" si="12"/>
        <v>High Performance</v>
      </c>
      <c r="R816" s="2">
        <f>Table1_1[[#This Row],[tasks_completed]]/Table1_1[[#This Row],[monthly_hours_worked]]</f>
        <v>4.9627791563275438E-2</v>
      </c>
    </row>
    <row r="817" spans="1:18" x14ac:dyDescent="0.3">
      <c r="A817" t="s">
        <v>112</v>
      </c>
      <c r="B817" t="s">
        <v>23</v>
      </c>
      <c r="C817" t="s">
        <v>41</v>
      </c>
      <c r="D817" t="s">
        <v>19</v>
      </c>
      <c r="E817">
        <v>5</v>
      </c>
      <c r="F817">
        <v>172.1</v>
      </c>
      <c r="G817">
        <v>97.9</v>
      </c>
      <c r="H817">
        <v>3.1</v>
      </c>
      <c r="I817">
        <v>6</v>
      </c>
      <c r="J817">
        <v>8.48</v>
      </c>
      <c r="K817">
        <v>5.15</v>
      </c>
      <c r="L817">
        <v>1</v>
      </c>
      <c r="M817" t="s">
        <v>25</v>
      </c>
      <c r="N817" t="s">
        <v>21</v>
      </c>
      <c r="O817">
        <v>18.37</v>
      </c>
      <c r="P817" s="1">
        <v>45597</v>
      </c>
      <c r="Q817" t="str">
        <f t="shared" si="12"/>
        <v>High Performance</v>
      </c>
      <c r="R817" s="2">
        <f>Table1_1[[#This Row],[tasks_completed]]/Table1_1[[#This Row],[monthly_hours_worked]]</f>
        <v>3.4863451481696686E-2</v>
      </c>
    </row>
    <row r="818" spans="1:18" x14ac:dyDescent="0.3">
      <c r="A818" t="s">
        <v>113</v>
      </c>
      <c r="B818" t="s">
        <v>27</v>
      </c>
      <c r="C818" t="s">
        <v>37</v>
      </c>
      <c r="D818" t="s">
        <v>29</v>
      </c>
      <c r="E818">
        <v>2</v>
      </c>
      <c r="F818">
        <v>154.19999999999999</v>
      </c>
      <c r="G818">
        <v>100</v>
      </c>
      <c r="H818">
        <v>3.5</v>
      </c>
      <c r="I818">
        <v>5</v>
      </c>
      <c r="J818">
        <v>8.7799999999999994</v>
      </c>
      <c r="K818">
        <v>6.8</v>
      </c>
      <c r="L818">
        <v>1</v>
      </c>
      <c r="M818" t="s">
        <v>20</v>
      </c>
      <c r="N818" t="s">
        <v>26</v>
      </c>
      <c r="O818">
        <v>15.22</v>
      </c>
      <c r="P818" s="1">
        <v>45292</v>
      </c>
      <c r="Q818" t="str">
        <f t="shared" si="12"/>
        <v>High Performance</v>
      </c>
      <c r="R818" s="2">
        <f>Table1_1[[#This Row],[tasks_completed]]/Table1_1[[#This Row],[monthly_hours_worked]]</f>
        <v>3.2425421530479899E-2</v>
      </c>
    </row>
    <row r="819" spans="1:18" x14ac:dyDescent="0.3">
      <c r="A819" t="s">
        <v>113</v>
      </c>
      <c r="B819" t="s">
        <v>43</v>
      </c>
      <c r="C819" t="s">
        <v>41</v>
      </c>
      <c r="D819" t="s">
        <v>29</v>
      </c>
      <c r="E819">
        <v>9</v>
      </c>
      <c r="F819">
        <v>175</v>
      </c>
      <c r="G819">
        <v>91.5</v>
      </c>
      <c r="H819">
        <v>4</v>
      </c>
      <c r="I819">
        <v>4</v>
      </c>
      <c r="J819">
        <v>5.64</v>
      </c>
      <c r="K819">
        <v>8.1199999999999992</v>
      </c>
      <c r="L819">
        <v>0</v>
      </c>
      <c r="M819" t="s">
        <v>20</v>
      </c>
      <c r="N819" t="s">
        <v>35</v>
      </c>
      <c r="O819">
        <v>18.559999999999999</v>
      </c>
      <c r="P819" s="1">
        <v>45292</v>
      </c>
      <c r="Q819" t="str">
        <f t="shared" si="12"/>
        <v>High Performance</v>
      </c>
      <c r="R819" s="2">
        <f>Table1_1[[#This Row],[tasks_completed]]/Table1_1[[#This Row],[monthly_hours_worked]]</f>
        <v>2.2857142857142857E-2</v>
      </c>
    </row>
    <row r="820" spans="1:18" x14ac:dyDescent="0.3">
      <c r="A820" t="s">
        <v>113</v>
      </c>
      <c r="B820" t="s">
        <v>33</v>
      </c>
      <c r="C820" t="s">
        <v>24</v>
      </c>
      <c r="D820" t="s">
        <v>29</v>
      </c>
      <c r="E820">
        <v>7</v>
      </c>
      <c r="F820">
        <v>183.9</v>
      </c>
      <c r="G820">
        <v>94.4</v>
      </c>
      <c r="H820">
        <v>5.3</v>
      </c>
      <c r="I820">
        <v>4</v>
      </c>
      <c r="J820">
        <v>6.96</v>
      </c>
      <c r="K820">
        <v>7.21</v>
      </c>
      <c r="L820">
        <v>0</v>
      </c>
      <c r="M820" t="s">
        <v>34</v>
      </c>
      <c r="N820" t="s">
        <v>35</v>
      </c>
      <c r="O820">
        <v>12.29</v>
      </c>
      <c r="P820" s="1">
        <v>45352</v>
      </c>
      <c r="Q820" t="str">
        <f t="shared" si="12"/>
        <v>Medium Performance</v>
      </c>
      <c r="R820" s="2">
        <f>Table1_1[[#This Row],[tasks_completed]]/Table1_1[[#This Row],[monthly_hours_worked]]</f>
        <v>2.1750951604132679E-2</v>
      </c>
    </row>
    <row r="821" spans="1:18" x14ac:dyDescent="0.3">
      <c r="A821" t="s">
        <v>113</v>
      </c>
      <c r="B821" t="s">
        <v>43</v>
      </c>
      <c r="C821" t="s">
        <v>37</v>
      </c>
      <c r="D821" t="s">
        <v>29</v>
      </c>
      <c r="E821">
        <v>8</v>
      </c>
      <c r="F821">
        <v>169.2</v>
      </c>
      <c r="G821">
        <v>100</v>
      </c>
      <c r="H821">
        <v>4.0999999999999996</v>
      </c>
      <c r="I821">
        <v>5</v>
      </c>
      <c r="J821">
        <v>8.39</v>
      </c>
      <c r="K821">
        <v>5.63</v>
      </c>
      <c r="L821">
        <v>1</v>
      </c>
      <c r="M821" t="s">
        <v>34</v>
      </c>
      <c r="N821" t="s">
        <v>26</v>
      </c>
      <c r="O821">
        <v>22.88</v>
      </c>
      <c r="P821" s="1">
        <v>45352</v>
      </c>
      <c r="Q821" t="str">
        <f t="shared" si="12"/>
        <v>High Performance</v>
      </c>
      <c r="R821" s="2">
        <f>Table1_1[[#This Row],[tasks_completed]]/Table1_1[[#This Row],[monthly_hours_worked]]</f>
        <v>2.955082742316785E-2</v>
      </c>
    </row>
    <row r="822" spans="1:18" x14ac:dyDescent="0.3">
      <c r="A822" t="s">
        <v>113</v>
      </c>
      <c r="B822" t="s">
        <v>27</v>
      </c>
      <c r="C822" t="s">
        <v>37</v>
      </c>
      <c r="D822" t="s">
        <v>29</v>
      </c>
      <c r="E822">
        <v>8</v>
      </c>
      <c r="F822">
        <v>162.30000000000001</v>
      </c>
      <c r="G822">
        <v>100</v>
      </c>
      <c r="H822">
        <v>4.5</v>
      </c>
      <c r="I822">
        <v>8</v>
      </c>
      <c r="J822">
        <v>7.03</v>
      </c>
      <c r="K822">
        <v>9.7100000000000009</v>
      </c>
      <c r="L822">
        <v>1</v>
      </c>
      <c r="M822" t="s">
        <v>34</v>
      </c>
      <c r="N822" t="s">
        <v>26</v>
      </c>
      <c r="O822">
        <v>12.69</v>
      </c>
      <c r="P822" s="1">
        <v>45383</v>
      </c>
      <c r="Q822" t="str">
        <f t="shared" si="12"/>
        <v>Medium Performance</v>
      </c>
      <c r="R822" s="2">
        <f>Table1_1[[#This Row],[tasks_completed]]/Table1_1[[#This Row],[monthly_hours_worked]]</f>
        <v>4.9291435613062227E-2</v>
      </c>
    </row>
    <row r="823" spans="1:18" x14ac:dyDescent="0.3">
      <c r="A823" t="s">
        <v>113</v>
      </c>
      <c r="B823" t="s">
        <v>23</v>
      </c>
      <c r="C823" t="s">
        <v>31</v>
      </c>
      <c r="D823" t="s">
        <v>39</v>
      </c>
      <c r="E823">
        <v>3</v>
      </c>
      <c r="F823">
        <v>166.7</v>
      </c>
      <c r="G823">
        <v>89.1</v>
      </c>
      <c r="H823">
        <v>7.8</v>
      </c>
      <c r="I823">
        <v>6</v>
      </c>
      <c r="J823">
        <v>7.87</v>
      </c>
      <c r="K823">
        <v>3.77</v>
      </c>
      <c r="L823">
        <v>1</v>
      </c>
      <c r="M823" t="s">
        <v>34</v>
      </c>
      <c r="N823" t="s">
        <v>26</v>
      </c>
      <c r="O823">
        <v>24.93</v>
      </c>
      <c r="P823" s="1">
        <v>45413</v>
      </c>
      <c r="Q823" t="str">
        <f t="shared" si="12"/>
        <v>High Performance</v>
      </c>
      <c r="R823" s="2">
        <f>Table1_1[[#This Row],[tasks_completed]]/Table1_1[[#This Row],[monthly_hours_worked]]</f>
        <v>3.5992801439712063E-2</v>
      </c>
    </row>
    <row r="824" spans="1:18" x14ac:dyDescent="0.3">
      <c r="A824" t="s">
        <v>113</v>
      </c>
      <c r="B824" t="s">
        <v>33</v>
      </c>
      <c r="C824" t="s">
        <v>24</v>
      </c>
      <c r="D824" t="s">
        <v>29</v>
      </c>
      <c r="E824">
        <v>10</v>
      </c>
      <c r="F824">
        <v>161.69999999999999</v>
      </c>
      <c r="G824">
        <v>97.1</v>
      </c>
      <c r="H824">
        <v>3.6</v>
      </c>
      <c r="I824">
        <v>5</v>
      </c>
      <c r="J824">
        <v>8.06</v>
      </c>
      <c r="K824">
        <v>7.6</v>
      </c>
      <c r="L824">
        <v>0</v>
      </c>
      <c r="M824" t="s">
        <v>34</v>
      </c>
      <c r="N824" t="s">
        <v>21</v>
      </c>
      <c r="O824">
        <v>12.63</v>
      </c>
      <c r="P824" s="1">
        <v>45444</v>
      </c>
      <c r="Q824" t="str">
        <f t="shared" si="12"/>
        <v>Medium Performance</v>
      </c>
      <c r="R824" s="2">
        <f>Table1_1[[#This Row],[tasks_completed]]/Table1_1[[#This Row],[monthly_hours_worked]]</f>
        <v>3.0921459492888066E-2</v>
      </c>
    </row>
    <row r="825" spans="1:18" x14ac:dyDescent="0.3">
      <c r="A825" t="s">
        <v>113</v>
      </c>
      <c r="B825" t="s">
        <v>27</v>
      </c>
      <c r="C825" t="s">
        <v>31</v>
      </c>
      <c r="D825" t="s">
        <v>19</v>
      </c>
      <c r="E825">
        <v>5</v>
      </c>
      <c r="F825">
        <v>154.9</v>
      </c>
      <c r="G825">
        <v>99.4</v>
      </c>
      <c r="H825">
        <v>7.1</v>
      </c>
      <c r="I825">
        <v>5</v>
      </c>
      <c r="J825">
        <v>7.37</v>
      </c>
      <c r="K825">
        <v>8.0399999999999991</v>
      </c>
      <c r="L825">
        <v>1</v>
      </c>
      <c r="M825" t="s">
        <v>25</v>
      </c>
      <c r="N825" t="s">
        <v>21</v>
      </c>
      <c r="O825">
        <v>3.79</v>
      </c>
      <c r="P825" s="1">
        <v>45474</v>
      </c>
      <c r="Q825" t="str">
        <f t="shared" si="12"/>
        <v>Low Performance</v>
      </c>
      <c r="R825" s="2">
        <f>Table1_1[[#This Row],[tasks_completed]]/Table1_1[[#This Row],[monthly_hours_worked]]</f>
        <v>3.2278889606197549E-2</v>
      </c>
    </row>
    <row r="826" spans="1:18" x14ac:dyDescent="0.3">
      <c r="A826" t="s">
        <v>113</v>
      </c>
      <c r="B826" t="s">
        <v>27</v>
      </c>
      <c r="C826" t="s">
        <v>37</v>
      </c>
      <c r="D826" t="s">
        <v>19</v>
      </c>
      <c r="E826">
        <v>6</v>
      </c>
      <c r="F826">
        <v>155.80000000000001</v>
      </c>
      <c r="G826">
        <v>100</v>
      </c>
      <c r="H826">
        <v>6.2</v>
      </c>
      <c r="I826">
        <v>3</v>
      </c>
      <c r="J826">
        <v>6.44</v>
      </c>
      <c r="K826">
        <v>9.35</v>
      </c>
      <c r="L826">
        <v>0</v>
      </c>
      <c r="M826" t="s">
        <v>25</v>
      </c>
      <c r="N826" t="s">
        <v>26</v>
      </c>
      <c r="O826">
        <v>24.47</v>
      </c>
      <c r="P826" s="1">
        <v>45505</v>
      </c>
      <c r="Q826" t="str">
        <f t="shared" si="12"/>
        <v>High Performance</v>
      </c>
      <c r="R826" s="2">
        <f>Table1_1[[#This Row],[tasks_completed]]/Table1_1[[#This Row],[monthly_hours_worked]]</f>
        <v>1.9255455712451859E-2</v>
      </c>
    </row>
    <row r="827" spans="1:18" x14ac:dyDescent="0.3">
      <c r="A827" t="s">
        <v>113</v>
      </c>
      <c r="B827" t="s">
        <v>27</v>
      </c>
      <c r="C827" t="s">
        <v>18</v>
      </c>
      <c r="D827" t="s">
        <v>39</v>
      </c>
      <c r="E827">
        <v>7</v>
      </c>
      <c r="F827">
        <v>175.4</v>
      </c>
      <c r="G827">
        <v>91.3</v>
      </c>
      <c r="H827">
        <v>2</v>
      </c>
      <c r="I827">
        <v>8</v>
      </c>
      <c r="J827">
        <v>8.69</v>
      </c>
      <c r="K827">
        <v>4.68</v>
      </c>
      <c r="L827">
        <v>1</v>
      </c>
      <c r="M827" t="s">
        <v>25</v>
      </c>
      <c r="N827" t="s">
        <v>35</v>
      </c>
      <c r="O827">
        <v>4.66</v>
      </c>
      <c r="P827" s="1">
        <v>45536</v>
      </c>
      <c r="Q827" t="str">
        <f t="shared" si="12"/>
        <v>Low Performance</v>
      </c>
      <c r="R827" s="2">
        <f>Table1_1[[#This Row],[tasks_completed]]/Table1_1[[#This Row],[monthly_hours_worked]]</f>
        <v>4.5610034207525657E-2</v>
      </c>
    </row>
    <row r="828" spans="1:18" x14ac:dyDescent="0.3">
      <c r="A828" t="s">
        <v>113</v>
      </c>
      <c r="B828" t="s">
        <v>17</v>
      </c>
      <c r="C828" t="s">
        <v>24</v>
      </c>
      <c r="D828" t="s">
        <v>39</v>
      </c>
      <c r="E828">
        <v>7</v>
      </c>
      <c r="F828">
        <v>169.3</v>
      </c>
      <c r="G828">
        <v>100</v>
      </c>
      <c r="H828">
        <v>4</v>
      </c>
      <c r="I828">
        <v>8</v>
      </c>
      <c r="J828">
        <v>7.25</v>
      </c>
      <c r="K828">
        <v>8.39</v>
      </c>
      <c r="L828">
        <v>0</v>
      </c>
      <c r="M828" t="s">
        <v>20</v>
      </c>
      <c r="N828" t="s">
        <v>21</v>
      </c>
      <c r="O828">
        <v>12.98</v>
      </c>
      <c r="P828" s="1">
        <v>45566</v>
      </c>
      <c r="Q828" t="str">
        <f t="shared" si="12"/>
        <v>Medium Performance</v>
      </c>
      <c r="R828" s="2">
        <f>Table1_1[[#This Row],[tasks_completed]]/Table1_1[[#This Row],[monthly_hours_worked]]</f>
        <v>4.7253396337861783E-2</v>
      </c>
    </row>
    <row r="829" spans="1:18" x14ac:dyDescent="0.3">
      <c r="A829" t="s">
        <v>113</v>
      </c>
      <c r="B829" t="s">
        <v>17</v>
      </c>
      <c r="C829" t="s">
        <v>37</v>
      </c>
      <c r="D829" t="s">
        <v>39</v>
      </c>
      <c r="E829">
        <v>3</v>
      </c>
      <c r="F829">
        <v>151.69999999999999</v>
      </c>
      <c r="G829">
        <v>93</v>
      </c>
      <c r="H829">
        <v>8.4</v>
      </c>
      <c r="I829">
        <v>2</v>
      </c>
      <c r="J829">
        <v>7.39</v>
      </c>
      <c r="K829">
        <v>6.96</v>
      </c>
      <c r="L829">
        <v>0</v>
      </c>
      <c r="M829" t="s">
        <v>25</v>
      </c>
      <c r="N829" t="s">
        <v>35</v>
      </c>
      <c r="O829">
        <v>10.220000000000001</v>
      </c>
      <c r="P829" s="1">
        <v>45597</v>
      </c>
      <c r="Q829" t="str">
        <f t="shared" si="12"/>
        <v>Medium Performance</v>
      </c>
      <c r="R829" s="2">
        <f>Table1_1[[#This Row],[tasks_completed]]/Table1_1[[#This Row],[monthly_hours_worked]]</f>
        <v>1.3183915622940015E-2</v>
      </c>
    </row>
    <row r="830" spans="1:18" x14ac:dyDescent="0.3">
      <c r="A830" t="s">
        <v>114</v>
      </c>
      <c r="B830" t="s">
        <v>23</v>
      </c>
      <c r="C830" t="s">
        <v>24</v>
      </c>
      <c r="D830" t="s">
        <v>19</v>
      </c>
      <c r="E830">
        <v>4</v>
      </c>
      <c r="F830">
        <v>149.9</v>
      </c>
      <c r="G830">
        <v>100</v>
      </c>
      <c r="H830">
        <v>4.8</v>
      </c>
      <c r="I830">
        <v>4</v>
      </c>
      <c r="J830">
        <v>3.6</v>
      </c>
      <c r="K830">
        <v>7.82</v>
      </c>
      <c r="L830">
        <v>1</v>
      </c>
      <c r="M830" t="s">
        <v>25</v>
      </c>
      <c r="N830" t="s">
        <v>35</v>
      </c>
      <c r="O830">
        <v>8.68</v>
      </c>
      <c r="P830" s="1">
        <v>45292</v>
      </c>
      <c r="Q830" t="str">
        <f t="shared" si="12"/>
        <v>Low Performance</v>
      </c>
      <c r="R830" s="2">
        <f>Table1_1[[#This Row],[tasks_completed]]/Table1_1[[#This Row],[monthly_hours_worked]]</f>
        <v>2.6684456304202801E-2</v>
      </c>
    </row>
    <row r="831" spans="1:18" x14ac:dyDescent="0.3">
      <c r="A831" t="s">
        <v>114</v>
      </c>
      <c r="B831" t="s">
        <v>33</v>
      </c>
      <c r="C831" t="s">
        <v>18</v>
      </c>
      <c r="D831" t="s">
        <v>19</v>
      </c>
      <c r="E831">
        <v>4</v>
      </c>
      <c r="F831">
        <v>177</v>
      </c>
      <c r="G831">
        <v>98.2</v>
      </c>
      <c r="H831">
        <v>3.3</v>
      </c>
      <c r="I831">
        <v>5</v>
      </c>
      <c r="J831">
        <v>6.41</v>
      </c>
      <c r="K831">
        <v>4.28</v>
      </c>
      <c r="L831">
        <v>0</v>
      </c>
      <c r="M831" t="s">
        <v>25</v>
      </c>
      <c r="N831" t="s">
        <v>21</v>
      </c>
      <c r="O831">
        <v>6.88</v>
      </c>
      <c r="P831" s="1">
        <v>45292</v>
      </c>
      <c r="Q831" t="str">
        <f t="shared" si="12"/>
        <v>Low Performance</v>
      </c>
      <c r="R831" s="2">
        <f>Table1_1[[#This Row],[tasks_completed]]/Table1_1[[#This Row],[monthly_hours_worked]]</f>
        <v>2.8248587570621469E-2</v>
      </c>
    </row>
    <row r="832" spans="1:18" x14ac:dyDescent="0.3">
      <c r="A832" t="s">
        <v>114</v>
      </c>
      <c r="B832" t="s">
        <v>43</v>
      </c>
      <c r="C832" t="s">
        <v>31</v>
      </c>
      <c r="D832" t="s">
        <v>19</v>
      </c>
      <c r="E832">
        <v>1</v>
      </c>
      <c r="F832">
        <v>154.69999999999999</v>
      </c>
      <c r="G832">
        <v>100</v>
      </c>
      <c r="H832">
        <v>9.1</v>
      </c>
      <c r="I832">
        <v>4</v>
      </c>
      <c r="J832">
        <v>9.5399999999999991</v>
      </c>
      <c r="K832">
        <v>5.52</v>
      </c>
      <c r="L832">
        <v>0</v>
      </c>
      <c r="M832" t="s">
        <v>20</v>
      </c>
      <c r="N832" t="s">
        <v>21</v>
      </c>
      <c r="O832">
        <v>18.059999999999999</v>
      </c>
      <c r="P832" s="1">
        <v>45352</v>
      </c>
      <c r="Q832" t="str">
        <f t="shared" si="12"/>
        <v>High Performance</v>
      </c>
      <c r="R832" s="2">
        <f>Table1_1[[#This Row],[tasks_completed]]/Table1_1[[#This Row],[monthly_hours_worked]]</f>
        <v>2.5856496444731741E-2</v>
      </c>
    </row>
    <row r="833" spans="1:18" x14ac:dyDescent="0.3">
      <c r="A833" t="s">
        <v>114</v>
      </c>
      <c r="B833" t="s">
        <v>43</v>
      </c>
      <c r="C833" t="s">
        <v>31</v>
      </c>
      <c r="D833" t="s">
        <v>39</v>
      </c>
      <c r="E833">
        <v>10</v>
      </c>
      <c r="F833">
        <v>170.6</v>
      </c>
      <c r="G833">
        <v>94.6</v>
      </c>
      <c r="H833">
        <v>1.5</v>
      </c>
      <c r="I833">
        <v>4</v>
      </c>
      <c r="J833">
        <v>6.82</v>
      </c>
      <c r="K833">
        <v>2.9</v>
      </c>
      <c r="L833">
        <v>1</v>
      </c>
      <c r="M833" t="s">
        <v>20</v>
      </c>
      <c r="N833" t="s">
        <v>26</v>
      </c>
      <c r="O833">
        <v>17.100000000000001</v>
      </c>
      <c r="P833" s="1">
        <v>45352</v>
      </c>
      <c r="Q833" t="str">
        <f t="shared" si="12"/>
        <v>High Performance</v>
      </c>
      <c r="R833" s="2">
        <f>Table1_1[[#This Row],[tasks_completed]]/Table1_1[[#This Row],[monthly_hours_worked]]</f>
        <v>2.3446658851113716E-2</v>
      </c>
    </row>
    <row r="834" spans="1:18" x14ac:dyDescent="0.3">
      <c r="A834" t="s">
        <v>114</v>
      </c>
      <c r="B834" t="s">
        <v>43</v>
      </c>
      <c r="C834" t="s">
        <v>18</v>
      </c>
      <c r="D834" t="s">
        <v>39</v>
      </c>
      <c r="E834">
        <v>9</v>
      </c>
      <c r="F834">
        <v>159.5</v>
      </c>
      <c r="G834">
        <v>100</v>
      </c>
      <c r="H834">
        <v>4.5</v>
      </c>
      <c r="I834">
        <v>4</v>
      </c>
      <c r="J834">
        <v>7.68</v>
      </c>
      <c r="K834">
        <v>4.57</v>
      </c>
      <c r="L834">
        <v>1</v>
      </c>
      <c r="M834" t="s">
        <v>34</v>
      </c>
      <c r="N834" t="s">
        <v>26</v>
      </c>
      <c r="O834">
        <v>0</v>
      </c>
      <c r="P834" s="1">
        <v>45383</v>
      </c>
      <c r="Q834" t="str">
        <f t="shared" ref="Q834:Q897" si="13">IF(O834&gt;=15, "High Performance", IF(O834&gt;=10, "Medium Performance", "Low Performance"))</f>
        <v>Low Performance</v>
      </c>
      <c r="R834" s="2">
        <f>Table1_1[[#This Row],[tasks_completed]]/Table1_1[[#This Row],[monthly_hours_worked]]</f>
        <v>2.5078369905956112E-2</v>
      </c>
    </row>
    <row r="835" spans="1:18" x14ac:dyDescent="0.3">
      <c r="A835" t="s">
        <v>114</v>
      </c>
      <c r="B835" t="s">
        <v>23</v>
      </c>
      <c r="C835" t="s">
        <v>24</v>
      </c>
      <c r="D835" t="s">
        <v>39</v>
      </c>
      <c r="E835">
        <v>1</v>
      </c>
      <c r="F835">
        <v>164.3</v>
      </c>
      <c r="G835">
        <v>89.6</v>
      </c>
      <c r="H835">
        <v>3.1</v>
      </c>
      <c r="I835">
        <v>6</v>
      </c>
      <c r="J835">
        <v>6.39</v>
      </c>
      <c r="K835">
        <v>3.85</v>
      </c>
      <c r="L835">
        <v>2</v>
      </c>
      <c r="M835" t="s">
        <v>25</v>
      </c>
      <c r="N835" t="s">
        <v>21</v>
      </c>
      <c r="O835">
        <v>13.91</v>
      </c>
      <c r="P835" s="1">
        <v>45413</v>
      </c>
      <c r="Q835" t="str">
        <f t="shared" si="13"/>
        <v>Medium Performance</v>
      </c>
      <c r="R835" s="2">
        <f>Table1_1[[#This Row],[tasks_completed]]/Table1_1[[#This Row],[monthly_hours_worked]]</f>
        <v>3.6518563603164939E-2</v>
      </c>
    </row>
    <row r="836" spans="1:18" x14ac:dyDescent="0.3">
      <c r="A836" t="s">
        <v>114</v>
      </c>
      <c r="B836" t="s">
        <v>33</v>
      </c>
      <c r="C836" t="s">
        <v>18</v>
      </c>
      <c r="D836" t="s">
        <v>39</v>
      </c>
      <c r="E836">
        <v>8</v>
      </c>
      <c r="F836">
        <v>156.80000000000001</v>
      </c>
      <c r="G836">
        <v>98.3</v>
      </c>
      <c r="H836">
        <v>2.9</v>
      </c>
      <c r="I836">
        <v>5</v>
      </c>
      <c r="J836">
        <v>6.4</v>
      </c>
      <c r="K836">
        <v>6.43</v>
      </c>
      <c r="L836">
        <v>0</v>
      </c>
      <c r="M836" t="s">
        <v>20</v>
      </c>
      <c r="N836" t="s">
        <v>21</v>
      </c>
      <c r="O836">
        <v>18.59</v>
      </c>
      <c r="P836" s="1">
        <v>45444</v>
      </c>
      <c r="Q836" t="str">
        <f t="shared" si="13"/>
        <v>High Performance</v>
      </c>
      <c r="R836" s="2">
        <f>Table1_1[[#This Row],[tasks_completed]]/Table1_1[[#This Row],[monthly_hours_worked]]</f>
        <v>3.1887755102040817E-2</v>
      </c>
    </row>
    <row r="837" spans="1:18" x14ac:dyDescent="0.3">
      <c r="A837" t="s">
        <v>114</v>
      </c>
      <c r="B837" t="s">
        <v>17</v>
      </c>
      <c r="C837" t="s">
        <v>37</v>
      </c>
      <c r="D837" t="s">
        <v>29</v>
      </c>
      <c r="E837">
        <v>5</v>
      </c>
      <c r="F837">
        <v>154.80000000000001</v>
      </c>
      <c r="G837">
        <v>97.6</v>
      </c>
      <c r="H837">
        <v>3.7</v>
      </c>
      <c r="I837">
        <v>9</v>
      </c>
      <c r="J837">
        <v>5.81</v>
      </c>
      <c r="K837">
        <v>7.47</v>
      </c>
      <c r="L837">
        <v>1</v>
      </c>
      <c r="M837" t="s">
        <v>20</v>
      </c>
      <c r="N837" t="s">
        <v>21</v>
      </c>
      <c r="O837">
        <v>11.05</v>
      </c>
      <c r="P837" s="1">
        <v>45474</v>
      </c>
      <c r="Q837" t="str">
        <f t="shared" si="13"/>
        <v>Medium Performance</v>
      </c>
      <c r="R837" s="2">
        <f>Table1_1[[#This Row],[tasks_completed]]/Table1_1[[#This Row],[monthly_hours_worked]]</f>
        <v>5.8139534883720929E-2</v>
      </c>
    </row>
    <row r="838" spans="1:18" x14ac:dyDescent="0.3">
      <c r="A838" t="s">
        <v>114</v>
      </c>
      <c r="B838" t="s">
        <v>17</v>
      </c>
      <c r="C838" t="s">
        <v>41</v>
      </c>
      <c r="D838" t="s">
        <v>29</v>
      </c>
      <c r="E838">
        <v>7</v>
      </c>
      <c r="F838">
        <v>171.6</v>
      </c>
      <c r="G838">
        <v>99.5</v>
      </c>
      <c r="H838">
        <v>3.1</v>
      </c>
      <c r="I838">
        <v>5</v>
      </c>
      <c r="K838">
        <v>6.37</v>
      </c>
      <c r="L838">
        <v>0</v>
      </c>
      <c r="M838" t="s">
        <v>20</v>
      </c>
      <c r="N838" t="s">
        <v>26</v>
      </c>
      <c r="O838">
        <v>13.39</v>
      </c>
      <c r="P838" s="1">
        <v>45505</v>
      </c>
      <c r="Q838" t="str">
        <f t="shared" si="13"/>
        <v>Medium Performance</v>
      </c>
      <c r="R838" s="2">
        <f>Table1_1[[#This Row],[tasks_completed]]/Table1_1[[#This Row],[monthly_hours_worked]]</f>
        <v>2.913752913752914E-2</v>
      </c>
    </row>
    <row r="839" spans="1:18" x14ac:dyDescent="0.3">
      <c r="A839" t="s">
        <v>114</v>
      </c>
      <c r="B839" t="s">
        <v>27</v>
      </c>
      <c r="C839" t="s">
        <v>31</v>
      </c>
      <c r="D839" t="s">
        <v>19</v>
      </c>
      <c r="E839">
        <v>9</v>
      </c>
      <c r="F839">
        <v>156.6</v>
      </c>
      <c r="G839">
        <v>90</v>
      </c>
      <c r="H839">
        <v>6.4</v>
      </c>
      <c r="I839">
        <v>4</v>
      </c>
      <c r="J839">
        <v>6.86</v>
      </c>
      <c r="K839">
        <v>6.42</v>
      </c>
      <c r="L839">
        <v>0</v>
      </c>
      <c r="M839" t="s">
        <v>25</v>
      </c>
      <c r="N839" t="s">
        <v>35</v>
      </c>
      <c r="O839">
        <v>15.25</v>
      </c>
      <c r="P839" s="1">
        <v>45536</v>
      </c>
      <c r="Q839" t="str">
        <f t="shared" si="13"/>
        <v>High Performance</v>
      </c>
      <c r="R839" s="2">
        <f>Table1_1[[#This Row],[tasks_completed]]/Table1_1[[#This Row],[monthly_hours_worked]]</f>
        <v>2.554278416347382E-2</v>
      </c>
    </row>
    <row r="840" spans="1:18" x14ac:dyDescent="0.3">
      <c r="A840" t="s">
        <v>114</v>
      </c>
      <c r="B840" t="s">
        <v>23</v>
      </c>
      <c r="C840" t="s">
        <v>41</v>
      </c>
      <c r="D840" t="s">
        <v>39</v>
      </c>
      <c r="E840">
        <v>2</v>
      </c>
      <c r="F840">
        <v>152.5</v>
      </c>
      <c r="G840">
        <v>93.5</v>
      </c>
      <c r="H840">
        <v>3</v>
      </c>
      <c r="I840">
        <v>9</v>
      </c>
      <c r="J840">
        <v>8.49</v>
      </c>
      <c r="K840">
        <v>7.57</v>
      </c>
      <c r="L840">
        <v>0</v>
      </c>
      <c r="M840" t="s">
        <v>25</v>
      </c>
      <c r="N840" t="s">
        <v>21</v>
      </c>
      <c r="O840">
        <v>9.2200000000000006</v>
      </c>
      <c r="P840" s="1">
        <v>45566</v>
      </c>
      <c r="Q840" t="str">
        <f t="shared" si="13"/>
        <v>Low Performance</v>
      </c>
      <c r="R840" s="2">
        <f>Table1_1[[#This Row],[tasks_completed]]/Table1_1[[#This Row],[monthly_hours_worked]]</f>
        <v>5.9016393442622953E-2</v>
      </c>
    </row>
    <row r="841" spans="1:18" x14ac:dyDescent="0.3">
      <c r="A841" t="s">
        <v>114</v>
      </c>
      <c r="B841" t="s">
        <v>17</v>
      </c>
      <c r="C841" t="s">
        <v>37</v>
      </c>
      <c r="D841" t="s">
        <v>29</v>
      </c>
      <c r="E841">
        <v>4</v>
      </c>
      <c r="F841">
        <v>170.9</v>
      </c>
      <c r="G841">
        <v>96.5</v>
      </c>
      <c r="H841">
        <v>1.7</v>
      </c>
      <c r="I841">
        <v>9</v>
      </c>
      <c r="K841">
        <v>6.65</v>
      </c>
      <c r="L841">
        <v>0</v>
      </c>
      <c r="M841" t="s">
        <v>25</v>
      </c>
      <c r="N841" t="s">
        <v>35</v>
      </c>
      <c r="O841">
        <v>15</v>
      </c>
      <c r="P841" s="1">
        <v>45597</v>
      </c>
      <c r="Q841" t="str">
        <f t="shared" si="13"/>
        <v>High Performance</v>
      </c>
      <c r="R841" s="2">
        <f>Table1_1[[#This Row],[tasks_completed]]/Table1_1[[#This Row],[monthly_hours_worked]]</f>
        <v>5.2662375658279692E-2</v>
      </c>
    </row>
    <row r="842" spans="1:18" x14ac:dyDescent="0.3">
      <c r="A842" t="s">
        <v>115</v>
      </c>
      <c r="B842" t="s">
        <v>27</v>
      </c>
      <c r="C842" t="s">
        <v>41</v>
      </c>
      <c r="D842" t="s">
        <v>39</v>
      </c>
      <c r="E842">
        <v>2</v>
      </c>
      <c r="F842">
        <v>159.30000000000001</v>
      </c>
      <c r="G842">
        <v>94.6</v>
      </c>
      <c r="H842">
        <v>8.1</v>
      </c>
      <c r="I842">
        <v>3</v>
      </c>
      <c r="J842">
        <v>5.08</v>
      </c>
      <c r="K842">
        <v>2.2400000000000002</v>
      </c>
      <c r="L842">
        <v>0</v>
      </c>
      <c r="M842" t="s">
        <v>34</v>
      </c>
      <c r="N842" t="s">
        <v>35</v>
      </c>
      <c r="O842">
        <v>8.4</v>
      </c>
      <c r="P842" s="1">
        <v>45292</v>
      </c>
      <c r="Q842" t="str">
        <f t="shared" si="13"/>
        <v>Low Performance</v>
      </c>
      <c r="R842" s="2">
        <f>Table1_1[[#This Row],[tasks_completed]]/Table1_1[[#This Row],[monthly_hours_worked]]</f>
        <v>1.8832391713747645E-2</v>
      </c>
    </row>
    <row r="843" spans="1:18" x14ac:dyDescent="0.3">
      <c r="A843" t="s">
        <v>115</v>
      </c>
      <c r="B843" t="s">
        <v>33</v>
      </c>
      <c r="C843" t="s">
        <v>24</v>
      </c>
      <c r="D843" t="s">
        <v>29</v>
      </c>
      <c r="E843">
        <v>9</v>
      </c>
      <c r="F843">
        <v>164</v>
      </c>
      <c r="G843">
        <v>95.5</v>
      </c>
      <c r="H843">
        <v>4.7</v>
      </c>
      <c r="I843">
        <v>4</v>
      </c>
      <c r="J843">
        <v>9.4</v>
      </c>
      <c r="K843">
        <v>4.91</v>
      </c>
      <c r="L843">
        <v>1</v>
      </c>
      <c r="M843" t="s">
        <v>25</v>
      </c>
      <c r="N843" t="s">
        <v>35</v>
      </c>
      <c r="O843">
        <v>12.38</v>
      </c>
      <c r="P843" s="1">
        <v>45292</v>
      </c>
      <c r="Q843" t="str">
        <f t="shared" si="13"/>
        <v>Medium Performance</v>
      </c>
      <c r="R843" s="2">
        <f>Table1_1[[#This Row],[tasks_completed]]/Table1_1[[#This Row],[monthly_hours_worked]]</f>
        <v>2.4390243902439025E-2</v>
      </c>
    </row>
    <row r="844" spans="1:18" x14ac:dyDescent="0.3">
      <c r="A844" t="s">
        <v>115</v>
      </c>
      <c r="B844" t="s">
        <v>27</v>
      </c>
      <c r="C844" t="s">
        <v>41</v>
      </c>
      <c r="D844" t="s">
        <v>39</v>
      </c>
      <c r="E844">
        <v>5</v>
      </c>
      <c r="F844">
        <v>162.19999999999999</v>
      </c>
      <c r="G844">
        <v>93.8</v>
      </c>
      <c r="H844">
        <v>4.2</v>
      </c>
      <c r="I844">
        <v>5</v>
      </c>
      <c r="J844">
        <v>5.52</v>
      </c>
      <c r="K844">
        <v>8.16</v>
      </c>
      <c r="L844">
        <v>1</v>
      </c>
      <c r="M844" t="s">
        <v>25</v>
      </c>
      <c r="N844" t="s">
        <v>21</v>
      </c>
      <c r="O844">
        <v>16.71</v>
      </c>
      <c r="P844" s="1">
        <v>45352</v>
      </c>
      <c r="Q844" t="str">
        <f t="shared" si="13"/>
        <v>High Performance</v>
      </c>
      <c r="R844" s="2">
        <f>Table1_1[[#This Row],[tasks_completed]]/Table1_1[[#This Row],[monthly_hours_worked]]</f>
        <v>3.0826140567200989E-2</v>
      </c>
    </row>
    <row r="845" spans="1:18" x14ac:dyDescent="0.3">
      <c r="A845" t="s">
        <v>115</v>
      </c>
      <c r="B845" t="s">
        <v>33</v>
      </c>
      <c r="C845" t="s">
        <v>18</v>
      </c>
      <c r="D845" t="s">
        <v>39</v>
      </c>
      <c r="E845">
        <v>10</v>
      </c>
      <c r="F845">
        <v>163.4</v>
      </c>
      <c r="G845">
        <v>97.9</v>
      </c>
      <c r="H845">
        <v>7.1</v>
      </c>
      <c r="I845">
        <v>8</v>
      </c>
      <c r="J845">
        <v>8.41</v>
      </c>
      <c r="K845">
        <v>2.69</v>
      </c>
      <c r="L845">
        <v>1</v>
      </c>
      <c r="M845" t="s">
        <v>25</v>
      </c>
      <c r="N845" t="s">
        <v>35</v>
      </c>
      <c r="O845">
        <v>15.39</v>
      </c>
      <c r="P845" s="1">
        <v>45352</v>
      </c>
      <c r="Q845" t="str">
        <f t="shared" si="13"/>
        <v>High Performance</v>
      </c>
      <c r="R845" s="2">
        <f>Table1_1[[#This Row],[tasks_completed]]/Table1_1[[#This Row],[monthly_hours_worked]]</f>
        <v>4.8959608323133411E-2</v>
      </c>
    </row>
    <row r="846" spans="1:18" x14ac:dyDescent="0.3">
      <c r="A846" t="s">
        <v>115</v>
      </c>
      <c r="B846" t="s">
        <v>27</v>
      </c>
      <c r="C846" t="s">
        <v>31</v>
      </c>
      <c r="D846" t="s">
        <v>29</v>
      </c>
      <c r="E846">
        <v>6</v>
      </c>
      <c r="F846">
        <v>149.4</v>
      </c>
      <c r="G846">
        <v>93.7</v>
      </c>
      <c r="I846">
        <v>4</v>
      </c>
      <c r="J846">
        <v>7.64</v>
      </c>
      <c r="K846">
        <v>6.92</v>
      </c>
      <c r="L846">
        <v>0</v>
      </c>
      <c r="M846" t="s">
        <v>25</v>
      </c>
      <c r="N846" t="s">
        <v>21</v>
      </c>
      <c r="O846">
        <v>11.9</v>
      </c>
      <c r="P846" s="1">
        <v>45383</v>
      </c>
      <c r="Q846" t="str">
        <f t="shared" si="13"/>
        <v>Medium Performance</v>
      </c>
      <c r="R846" s="2">
        <f>Table1_1[[#This Row],[tasks_completed]]/Table1_1[[#This Row],[monthly_hours_worked]]</f>
        <v>2.677376171352075E-2</v>
      </c>
    </row>
    <row r="847" spans="1:18" x14ac:dyDescent="0.3">
      <c r="A847" t="s">
        <v>115</v>
      </c>
      <c r="B847" t="s">
        <v>23</v>
      </c>
      <c r="C847" t="s">
        <v>24</v>
      </c>
      <c r="D847" t="s">
        <v>19</v>
      </c>
      <c r="E847">
        <v>9</v>
      </c>
      <c r="F847">
        <v>160.9</v>
      </c>
      <c r="G847">
        <v>98.7</v>
      </c>
      <c r="H847">
        <v>6.6</v>
      </c>
      <c r="I847">
        <v>5</v>
      </c>
      <c r="J847">
        <v>9.9499999999999993</v>
      </c>
      <c r="K847">
        <v>7.12</v>
      </c>
      <c r="L847">
        <v>0</v>
      </c>
      <c r="M847" t="s">
        <v>20</v>
      </c>
      <c r="N847" t="s">
        <v>21</v>
      </c>
      <c r="O847">
        <v>20.78</v>
      </c>
      <c r="P847" s="1">
        <v>45413</v>
      </c>
      <c r="Q847" t="str">
        <f t="shared" si="13"/>
        <v>High Performance</v>
      </c>
      <c r="R847" s="2">
        <f>Table1_1[[#This Row],[tasks_completed]]/Table1_1[[#This Row],[monthly_hours_worked]]</f>
        <v>3.1075201988812928E-2</v>
      </c>
    </row>
    <row r="848" spans="1:18" x14ac:dyDescent="0.3">
      <c r="A848" t="s">
        <v>115</v>
      </c>
      <c r="B848" t="s">
        <v>43</v>
      </c>
      <c r="C848" t="s">
        <v>18</v>
      </c>
      <c r="D848" t="s">
        <v>39</v>
      </c>
      <c r="E848">
        <v>2</v>
      </c>
      <c r="F848">
        <v>179.5</v>
      </c>
      <c r="G848">
        <v>95.8</v>
      </c>
      <c r="H848">
        <v>5.0999999999999996</v>
      </c>
      <c r="I848">
        <v>3</v>
      </c>
      <c r="J848">
        <v>7.35</v>
      </c>
      <c r="K848">
        <v>10</v>
      </c>
      <c r="L848">
        <v>0</v>
      </c>
      <c r="M848" t="s">
        <v>20</v>
      </c>
      <c r="N848" t="s">
        <v>35</v>
      </c>
      <c r="O848">
        <v>14.16</v>
      </c>
      <c r="P848" s="1">
        <v>45444</v>
      </c>
      <c r="Q848" t="str">
        <f t="shared" si="13"/>
        <v>Medium Performance</v>
      </c>
      <c r="R848" s="2">
        <f>Table1_1[[#This Row],[tasks_completed]]/Table1_1[[#This Row],[monthly_hours_worked]]</f>
        <v>1.6713091922005572E-2</v>
      </c>
    </row>
    <row r="849" spans="1:18" x14ac:dyDescent="0.3">
      <c r="A849" t="s">
        <v>115</v>
      </c>
      <c r="B849" t="s">
        <v>43</v>
      </c>
      <c r="C849" t="s">
        <v>37</v>
      </c>
      <c r="D849" t="s">
        <v>29</v>
      </c>
      <c r="E849">
        <v>5</v>
      </c>
      <c r="F849">
        <v>159</v>
      </c>
      <c r="G849">
        <v>98.9</v>
      </c>
      <c r="H849">
        <v>3.8</v>
      </c>
      <c r="I849">
        <v>3</v>
      </c>
      <c r="J849">
        <v>6.87</v>
      </c>
      <c r="K849">
        <v>7.65</v>
      </c>
      <c r="L849">
        <v>0</v>
      </c>
      <c r="M849" t="s">
        <v>34</v>
      </c>
      <c r="N849" t="s">
        <v>26</v>
      </c>
      <c r="O849">
        <v>19.190000000000001</v>
      </c>
      <c r="P849" s="1">
        <v>45474</v>
      </c>
      <c r="Q849" t="str">
        <f t="shared" si="13"/>
        <v>High Performance</v>
      </c>
      <c r="R849" s="2">
        <f>Table1_1[[#This Row],[tasks_completed]]/Table1_1[[#This Row],[monthly_hours_worked]]</f>
        <v>1.8867924528301886E-2</v>
      </c>
    </row>
    <row r="850" spans="1:18" x14ac:dyDescent="0.3">
      <c r="A850" t="s">
        <v>115</v>
      </c>
      <c r="B850" t="s">
        <v>43</v>
      </c>
      <c r="C850" t="s">
        <v>24</v>
      </c>
      <c r="D850" t="s">
        <v>39</v>
      </c>
      <c r="E850">
        <v>9</v>
      </c>
      <c r="F850">
        <v>148.19999999999999</v>
      </c>
      <c r="G850">
        <v>97.2</v>
      </c>
      <c r="H850">
        <v>7.2</v>
      </c>
      <c r="I850">
        <v>4</v>
      </c>
      <c r="J850">
        <v>8.6300000000000008</v>
      </c>
      <c r="K850">
        <v>5.66</v>
      </c>
      <c r="L850">
        <v>1</v>
      </c>
      <c r="M850" t="s">
        <v>20</v>
      </c>
      <c r="N850" t="s">
        <v>35</v>
      </c>
      <c r="O850">
        <v>10.130000000000001</v>
      </c>
      <c r="P850" s="1">
        <v>45505</v>
      </c>
      <c r="Q850" t="str">
        <f t="shared" si="13"/>
        <v>Medium Performance</v>
      </c>
      <c r="R850" s="2">
        <f>Table1_1[[#This Row],[tasks_completed]]/Table1_1[[#This Row],[monthly_hours_worked]]</f>
        <v>2.6990553306342781E-2</v>
      </c>
    </row>
    <row r="851" spans="1:18" x14ac:dyDescent="0.3">
      <c r="A851" t="s">
        <v>115</v>
      </c>
      <c r="B851" t="s">
        <v>23</v>
      </c>
      <c r="C851" t="s">
        <v>31</v>
      </c>
      <c r="D851" t="s">
        <v>29</v>
      </c>
      <c r="E851">
        <v>7</v>
      </c>
      <c r="F851">
        <v>171.1</v>
      </c>
      <c r="G851">
        <v>82.6</v>
      </c>
      <c r="H851">
        <v>4.0999999999999996</v>
      </c>
      <c r="I851">
        <v>6</v>
      </c>
      <c r="J851">
        <v>7.84</v>
      </c>
      <c r="K851">
        <v>8.5299999999999994</v>
      </c>
      <c r="L851">
        <v>2</v>
      </c>
      <c r="M851" t="s">
        <v>20</v>
      </c>
      <c r="N851" t="s">
        <v>35</v>
      </c>
      <c r="O851">
        <v>17.29</v>
      </c>
      <c r="P851" s="1">
        <v>45536</v>
      </c>
      <c r="Q851" t="str">
        <f t="shared" si="13"/>
        <v>High Performance</v>
      </c>
      <c r="R851" s="2">
        <f>Table1_1[[#This Row],[tasks_completed]]/Table1_1[[#This Row],[monthly_hours_worked]]</f>
        <v>3.5067212156633547E-2</v>
      </c>
    </row>
    <row r="852" spans="1:18" x14ac:dyDescent="0.3">
      <c r="A852" t="s">
        <v>115</v>
      </c>
      <c r="B852" t="s">
        <v>43</v>
      </c>
      <c r="C852" t="s">
        <v>37</v>
      </c>
      <c r="D852" t="s">
        <v>29</v>
      </c>
      <c r="E852">
        <v>3</v>
      </c>
      <c r="F852">
        <v>171.4</v>
      </c>
      <c r="G852">
        <v>100</v>
      </c>
      <c r="H852">
        <v>7.4</v>
      </c>
      <c r="I852">
        <v>6</v>
      </c>
      <c r="J852">
        <v>6.29</v>
      </c>
      <c r="K852">
        <v>5.27</v>
      </c>
      <c r="L852">
        <v>1</v>
      </c>
      <c r="M852" t="s">
        <v>20</v>
      </c>
      <c r="N852" t="s">
        <v>26</v>
      </c>
      <c r="O852">
        <v>12.7</v>
      </c>
      <c r="P852" s="1">
        <v>45566</v>
      </c>
      <c r="Q852" t="str">
        <f t="shared" si="13"/>
        <v>Medium Performance</v>
      </c>
      <c r="R852" s="2">
        <f>Table1_1[[#This Row],[tasks_completed]]/Table1_1[[#This Row],[monthly_hours_worked]]</f>
        <v>3.5005834305717617E-2</v>
      </c>
    </row>
    <row r="853" spans="1:18" x14ac:dyDescent="0.3">
      <c r="A853" t="s">
        <v>115</v>
      </c>
      <c r="B853" t="s">
        <v>17</v>
      </c>
      <c r="C853" t="s">
        <v>24</v>
      </c>
      <c r="D853" t="s">
        <v>19</v>
      </c>
      <c r="E853">
        <v>2</v>
      </c>
      <c r="F853">
        <v>171</v>
      </c>
      <c r="G853">
        <v>100</v>
      </c>
      <c r="H853">
        <v>6.7</v>
      </c>
      <c r="I853">
        <v>2</v>
      </c>
      <c r="J853">
        <v>10</v>
      </c>
      <c r="K853">
        <v>6.59</v>
      </c>
      <c r="L853">
        <v>0</v>
      </c>
      <c r="M853" t="s">
        <v>34</v>
      </c>
      <c r="N853" t="s">
        <v>21</v>
      </c>
      <c r="O853">
        <v>10.64</v>
      </c>
      <c r="P853" s="1">
        <v>45597</v>
      </c>
      <c r="Q853" t="str">
        <f t="shared" si="13"/>
        <v>Medium Performance</v>
      </c>
      <c r="R853" s="2">
        <f>Table1_1[[#This Row],[tasks_completed]]/Table1_1[[#This Row],[monthly_hours_worked]]</f>
        <v>1.1695906432748537E-2</v>
      </c>
    </row>
    <row r="854" spans="1:18" x14ac:dyDescent="0.3">
      <c r="A854" t="s">
        <v>116</v>
      </c>
      <c r="B854" t="s">
        <v>17</v>
      </c>
      <c r="C854" t="s">
        <v>37</v>
      </c>
      <c r="D854" t="s">
        <v>19</v>
      </c>
      <c r="E854">
        <v>2</v>
      </c>
      <c r="F854">
        <v>134.69999999999999</v>
      </c>
      <c r="G854">
        <v>94.7</v>
      </c>
      <c r="I854">
        <v>7</v>
      </c>
      <c r="J854">
        <v>7.65</v>
      </c>
      <c r="K854">
        <v>6.58</v>
      </c>
      <c r="L854">
        <v>1</v>
      </c>
      <c r="M854" t="s">
        <v>20</v>
      </c>
      <c r="N854" t="s">
        <v>26</v>
      </c>
      <c r="O854">
        <v>15.33</v>
      </c>
      <c r="P854" s="1">
        <v>45292</v>
      </c>
      <c r="Q854" t="str">
        <f t="shared" si="13"/>
        <v>High Performance</v>
      </c>
      <c r="R854" s="2">
        <f>Table1_1[[#This Row],[tasks_completed]]/Table1_1[[#This Row],[monthly_hours_worked]]</f>
        <v>5.196733481811433E-2</v>
      </c>
    </row>
    <row r="855" spans="1:18" x14ac:dyDescent="0.3">
      <c r="A855" t="s">
        <v>116</v>
      </c>
      <c r="B855" t="s">
        <v>23</v>
      </c>
      <c r="C855" t="s">
        <v>41</v>
      </c>
      <c r="D855" t="s">
        <v>29</v>
      </c>
      <c r="E855">
        <v>10</v>
      </c>
      <c r="F855">
        <v>161.69999999999999</v>
      </c>
      <c r="G855">
        <v>90.4</v>
      </c>
      <c r="H855">
        <v>6.2</v>
      </c>
      <c r="I855">
        <v>8</v>
      </c>
      <c r="J855">
        <v>7.65</v>
      </c>
      <c r="K855">
        <v>10</v>
      </c>
      <c r="L855">
        <v>0</v>
      </c>
      <c r="M855" t="s">
        <v>20</v>
      </c>
      <c r="N855" t="s">
        <v>26</v>
      </c>
      <c r="O855">
        <v>10.41</v>
      </c>
      <c r="P855" s="1">
        <v>45292</v>
      </c>
      <c r="Q855" t="str">
        <f t="shared" si="13"/>
        <v>Medium Performance</v>
      </c>
      <c r="R855" s="2">
        <f>Table1_1[[#This Row],[tasks_completed]]/Table1_1[[#This Row],[monthly_hours_worked]]</f>
        <v>4.9474335188620905E-2</v>
      </c>
    </row>
    <row r="856" spans="1:18" x14ac:dyDescent="0.3">
      <c r="A856" t="s">
        <v>116</v>
      </c>
      <c r="B856" t="s">
        <v>43</v>
      </c>
      <c r="C856" t="s">
        <v>41</v>
      </c>
      <c r="D856" t="s">
        <v>19</v>
      </c>
      <c r="E856">
        <v>5</v>
      </c>
      <c r="F856">
        <v>160.30000000000001</v>
      </c>
      <c r="G856">
        <v>95.1</v>
      </c>
      <c r="H856">
        <v>5.9</v>
      </c>
      <c r="I856">
        <v>5</v>
      </c>
      <c r="J856">
        <v>5.21</v>
      </c>
      <c r="K856">
        <v>7.75</v>
      </c>
      <c r="L856">
        <v>0</v>
      </c>
      <c r="M856" t="s">
        <v>20</v>
      </c>
      <c r="N856" t="s">
        <v>26</v>
      </c>
      <c r="O856">
        <v>8.1300000000000008</v>
      </c>
      <c r="P856" s="1">
        <v>45352</v>
      </c>
      <c r="Q856" t="str">
        <f t="shared" si="13"/>
        <v>Low Performance</v>
      </c>
      <c r="R856" s="2">
        <f>Table1_1[[#This Row],[tasks_completed]]/Table1_1[[#This Row],[monthly_hours_worked]]</f>
        <v>3.119151590767311E-2</v>
      </c>
    </row>
    <row r="857" spans="1:18" x14ac:dyDescent="0.3">
      <c r="A857" t="s">
        <v>116</v>
      </c>
      <c r="B857" t="s">
        <v>23</v>
      </c>
      <c r="C857" t="s">
        <v>31</v>
      </c>
      <c r="D857" t="s">
        <v>39</v>
      </c>
      <c r="E857">
        <v>3</v>
      </c>
      <c r="F857">
        <v>154.1</v>
      </c>
      <c r="G857">
        <v>93.9</v>
      </c>
      <c r="H857">
        <v>8.1</v>
      </c>
      <c r="I857">
        <v>11</v>
      </c>
      <c r="J857">
        <v>5.94</v>
      </c>
      <c r="K857">
        <v>9.09</v>
      </c>
      <c r="L857">
        <v>0</v>
      </c>
      <c r="M857" t="s">
        <v>25</v>
      </c>
      <c r="N857" t="s">
        <v>35</v>
      </c>
      <c r="O857">
        <v>11.73</v>
      </c>
      <c r="P857" s="1">
        <v>45352</v>
      </c>
      <c r="Q857" t="str">
        <f t="shared" si="13"/>
        <v>Medium Performance</v>
      </c>
      <c r="R857" s="2">
        <f>Table1_1[[#This Row],[tasks_completed]]/Table1_1[[#This Row],[monthly_hours_worked]]</f>
        <v>7.1382219338092148E-2</v>
      </c>
    </row>
    <row r="858" spans="1:18" x14ac:dyDescent="0.3">
      <c r="A858" t="s">
        <v>116</v>
      </c>
      <c r="B858" t="s">
        <v>17</v>
      </c>
      <c r="C858" t="s">
        <v>41</v>
      </c>
      <c r="D858" t="s">
        <v>19</v>
      </c>
      <c r="E858">
        <v>8</v>
      </c>
      <c r="F858">
        <v>166.7</v>
      </c>
      <c r="G858">
        <v>92.9</v>
      </c>
      <c r="H858">
        <v>3.8</v>
      </c>
      <c r="I858">
        <v>7</v>
      </c>
      <c r="J858">
        <v>9.07</v>
      </c>
      <c r="K858">
        <v>8.69</v>
      </c>
      <c r="L858">
        <v>0</v>
      </c>
      <c r="M858" t="s">
        <v>34</v>
      </c>
      <c r="N858" t="s">
        <v>26</v>
      </c>
      <c r="O858">
        <v>9.44</v>
      </c>
      <c r="P858" s="1">
        <v>45383</v>
      </c>
      <c r="Q858" t="str">
        <f t="shared" si="13"/>
        <v>Low Performance</v>
      </c>
      <c r="R858" s="2">
        <f>Table1_1[[#This Row],[tasks_completed]]/Table1_1[[#This Row],[monthly_hours_worked]]</f>
        <v>4.1991601679664071E-2</v>
      </c>
    </row>
    <row r="859" spans="1:18" x14ac:dyDescent="0.3">
      <c r="A859" t="s">
        <v>116</v>
      </c>
      <c r="B859" t="s">
        <v>27</v>
      </c>
      <c r="C859" t="s">
        <v>24</v>
      </c>
      <c r="D859" t="s">
        <v>29</v>
      </c>
      <c r="E859">
        <v>1</v>
      </c>
      <c r="F859">
        <v>162.30000000000001</v>
      </c>
      <c r="G859">
        <v>100</v>
      </c>
      <c r="H859">
        <v>3.5</v>
      </c>
      <c r="I859">
        <v>8</v>
      </c>
      <c r="J859">
        <v>6.93</v>
      </c>
      <c r="K859">
        <v>9.5500000000000007</v>
      </c>
      <c r="L859">
        <v>0</v>
      </c>
      <c r="M859" t="s">
        <v>20</v>
      </c>
      <c r="N859" t="s">
        <v>21</v>
      </c>
      <c r="O859">
        <v>10.039999999999999</v>
      </c>
      <c r="P859" s="1">
        <v>45413</v>
      </c>
      <c r="Q859" t="str">
        <f t="shared" si="13"/>
        <v>Medium Performance</v>
      </c>
      <c r="R859" s="2">
        <f>Table1_1[[#This Row],[tasks_completed]]/Table1_1[[#This Row],[monthly_hours_worked]]</f>
        <v>4.9291435613062227E-2</v>
      </c>
    </row>
    <row r="860" spans="1:18" x14ac:dyDescent="0.3">
      <c r="A860" t="s">
        <v>116</v>
      </c>
      <c r="B860" t="s">
        <v>23</v>
      </c>
      <c r="C860" t="s">
        <v>24</v>
      </c>
      <c r="D860" t="s">
        <v>29</v>
      </c>
      <c r="E860">
        <v>2</v>
      </c>
      <c r="F860">
        <v>167.2</v>
      </c>
      <c r="G860">
        <v>92.1</v>
      </c>
      <c r="H860">
        <v>2.5</v>
      </c>
      <c r="I860">
        <v>4</v>
      </c>
      <c r="J860">
        <v>8.1</v>
      </c>
      <c r="K860">
        <v>4.67</v>
      </c>
      <c r="L860">
        <v>1</v>
      </c>
      <c r="M860" t="s">
        <v>25</v>
      </c>
      <c r="N860" t="s">
        <v>21</v>
      </c>
      <c r="O860">
        <v>19.64</v>
      </c>
      <c r="P860" s="1">
        <v>45444</v>
      </c>
      <c r="Q860" t="str">
        <f t="shared" si="13"/>
        <v>High Performance</v>
      </c>
      <c r="R860" s="2">
        <f>Table1_1[[#This Row],[tasks_completed]]/Table1_1[[#This Row],[monthly_hours_worked]]</f>
        <v>2.3923444976076555E-2</v>
      </c>
    </row>
    <row r="861" spans="1:18" x14ac:dyDescent="0.3">
      <c r="A861" t="s">
        <v>116</v>
      </c>
      <c r="B861" t="s">
        <v>43</v>
      </c>
      <c r="C861" t="s">
        <v>18</v>
      </c>
      <c r="D861" t="s">
        <v>19</v>
      </c>
      <c r="E861">
        <v>4</v>
      </c>
      <c r="F861">
        <v>171.9</v>
      </c>
      <c r="G861">
        <v>99.5</v>
      </c>
      <c r="H861">
        <v>3.6</v>
      </c>
      <c r="I861">
        <v>3</v>
      </c>
      <c r="J861">
        <v>8.01</v>
      </c>
      <c r="K861">
        <v>4.55</v>
      </c>
      <c r="L861">
        <v>1</v>
      </c>
      <c r="M861" t="s">
        <v>20</v>
      </c>
      <c r="N861" t="s">
        <v>21</v>
      </c>
      <c r="O861">
        <v>0.61</v>
      </c>
      <c r="P861" s="1">
        <v>45474</v>
      </c>
      <c r="Q861" t="str">
        <f t="shared" si="13"/>
        <v>Low Performance</v>
      </c>
      <c r="R861" s="2">
        <f>Table1_1[[#This Row],[tasks_completed]]/Table1_1[[#This Row],[monthly_hours_worked]]</f>
        <v>1.7452006980802792E-2</v>
      </c>
    </row>
    <row r="862" spans="1:18" x14ac:dyDescent="0.3">
      <c r="A862" t="s">
        <v>116</v>
      </c>
      <c r="B862" t="s">
        <v>23</v>
      </c>
      <c r="C862" t="s">
        <v>41</v>
      </c>
      <c r="D862" t="s">
        <v>39</v>
      </c>
      <c r="E862">
        <v>6</v>
      </c>
      <c r="F862">
        <v>156</v>
      </c>
      <c r="G862">
        <v>94.2</v>
      </c>
      <c r="H862">
        <v>6.3</v>
      </c>
      <c r="I862">
        <v>8</v>
      </c>
      <c r="J862">
        <v>10</v>
      </c>
      <c r="K862">
        <v>7.82</v>
      </c>
      <c r="L862">
        <v>1</v>
      </c>
      <c r="M862" t="s">
        <v>20</v>
      </c>
      <c r="N862" t="s">
        <v>26</v>
      </c>
      <c r="O862">
        <v>9.5500000000000007</v>
      </c>
      <c r="P862" s="1">
        <v>45505</v>
      </c>
      <c r="Q862" t="str">
        <f t="shared" si="13"/>
        <v>Low Performance</v>
      </c>
      <c r="R862" s="2">
        <f>Table1_1[[#This Row],[tasks_completed]]/Table1_1[[#This Row],[monthly_hours_worked]]</f>
        <v>5.128205128205128E-2</v>
      </c>
    </row>
    <row r="863" spans="1:18" x14ac:dyDescent="0.3">
      <c r="A863" t="s">
        <v>116</v>
      </c>
      <c r="B863" t="s">
        <v>17</v>
      </c>
      <c r="C863" t="s">
        <v>18</v>
      </c>
      <c r="D863" t="s">
        <v>39</v>
      </c>
      <c r="E863">
        <v>8</v>
      </c>
      <c r="F863">
        <v>162.30000000000001</v>
      </c>
      <c r="G863">
        <v>93.3</v>
      </c>
      <c r="H863">
        <v>6.8</v>
      </c>
      <c r="I863">
        <v>10</v>
      </c>
      <c r="K863">
        <v>5.23</v>
      </c>
      <c r="L863">
        <v>0</v>
      </c>
      <c r="M863" t="s">
        <v>34</v>
      </c>
      <c r="N863" t="s">
        <v>35</v>
      </c>
      <c r="O863">
        <v>12.4</v>
      </c>
      <c r="P863" s="1">
        <v>45536</v>
      </c>
      <c r="Q863" t="str">
        <f t="shared" si="13"/>
        <v>Medium Performance</v>
      </c>
      <c r="R863" s="2">
        <f>Table1_1[[#This Row],[tasks_completed]]/Table1_1[[#This Row],[monthly_hours_worked]]</f>
        <v>6.1614294516327786E-2</v>
      </c>
    </row>
    <row r="864" spans="1:18" x14ac:dyDescent="0.3">
      <c r="A864" t="s">
        <v>116</v>
      </c>
      <c r="B864" t="s">
        <v>27</v>
      </c>
      <c r="C864" t="s">
        <v>37</v>
      </c>
      <c r="D864" t="s">
        <v>39</v>
      </c>
      <c r="E864">
        <v>4</v>
      </c>
      <c r="F864">
        <v>160.69999999999999</v>
      </c>
      <c r="G864">
        <v>89.3</v>
      </c>
      <c r="H864">
        <v>4.9000000000000004</v>
      </c>
      <c r="I864">
        <v>6</v>
      </c>
      <c r="K864">
        <v>6.98</v>
      </c>
      <c r="L864">
        <v>0</v>
      </c>
      <c r="M864" t="s">
        <v>34</v>
      </c>
      <c r="N864" t="s">
        <v>35</v>
      </c>
      <c r="O864">
        <v>7.57</v>
      </c>
      <c r="P864" s="1">
        <v>45566</v>
      </c>
      <c r="Q864" t="str">
        <f t="shared" si="13"/>
        <v>Low Performance</v>
      </c>
      <c r="R864" s="2">
        <f>Table1_1[[#This Row],[tasks_completed]]/Table1_1[[#This Row],[monthly_hours_worked]]</f>
        <v>3.7336652146857503E-2</v>
      </c>
    </row>
    <row r="865" spans="1:18" x14ac:dyDescent="0.3">
      <c r="A865" t="s">
        <v>116</v>
      </c>
      <c r="B865" t="s">
        <v>17</v>
      </c>
      <c r="C865" t="s">
        <v>41</v>
      </c>
      <c r="D865" t="s">
        <v>19</v>
      </c>
      <c r="E865">
        <v>3</v>
      </c>
      <c r="F865">
        <v>162.5</v>
      </c>
      <c r="G865">
        <v>91.5</v>
      </c>
      <c r="H865">
        <v>2.2999999999999998</v>
      </c>
      <c r="I865">
        <v>5</v>
      </c>
      <c r="J865">
        <v>8.3800000000000008</v>
      </c>
      <c r="K865">
        <v>4.41</v>
      </c>
      <c r="L865">
        <v>0</v>
      </c>
      <c r="M865" t="s">
        <v>34</v>
      </c>
      <c r="N865" t="s">
        <v>35</v>
      </c>
      <c r="O865">
        <v>8.6</v>
      </c>
      <c r="P865" s="1">
        <v>45597</v>
      </c>
      <c r="Q865" t="str">
        <f t="shared" si="13"/>
        <v>Low Performance</v>
      </c>
      <c r="R865" s="2">
        <f>Table1_1[[#This Row],[tasks_completed]]/Table1_1[[#This Row],[monthly_hours_worked]]</f>
        <v>3.0769230769230771E-2</v>
      </c>
    </row>
    <row r="866" spans="1:18" x14ac:dyDescent="0.3">
      <c r="A866" t="s">
        <v>117</v>
      </c>
      <c r="B866" t="s">
        <v>17</v>
      </c>
      <c r="C866" t="s">
        <v>31</v>
      </c>
      <c r="D866" t="s">
        <v>29</v>
      </c>
      <c r="E866">
        <v>3</v>
      </c>
      <c r="F866">
        <v>166.4</v>
      </c>
      <c r="G866">
        <v>93.1</v>
      </c>
      <c r="H866">
        <v>3.2</v>
      </c>
      <c r="I866">
        <v>3</v>
      </c>
      <c r="J866">
        <v>7.1</v>
      </c>
      <c r="K866">
        <v>8.7200000000000006</v>
      </c>
      <c r="L866">
        <v>0</v>
      </c>
      <c r="M866" t="s">
        <v>25</v>
      </c>
      <c r="N866" t="s">
        <v>26</v>
      </c>
      <c r="O866">
        <v>0</v>
      </c>
      <c r="P866" s="1">
        <v>45292</v>
      </c>
      <c r="Q866" t="str">
        <f t="shared" si="13"/>
        <v>Low Performance</v>
      </c>
      <c r="R866" s="2">
        <f>Table1_1[[#This Row],[tasks_completed]]/Table1_1[[#This Row],[monthly_hours_worked]]</f>
        <v>1.8028846153846152E-2</v>
      </c>
    </row>
    <row r="867" spans="1:18" x14ac:dyDescent="0.3">
      <c r="A867" t="s">
        <v>117</v>
      </c>
      <c r="B867" t="s">
        <v>27</v>
      </c>
      <c r="C867" t="s">
        <v>41</v>
      </c>
      <c r="D867" t="s">
        <v>29</v>
      </c>
      <c r="E867">
        <v>9</v>
      </c>
      <c r="F867">
        <v>176.3</v>
      </c>
      <c r="G867">
        <v>99.3</v>
      </c>
      <c r="H867">
        <v>7.3</v>
      </c>
      <c r="I867">
        <v>7</v>
      </c>
      <c r="J867">
        <v>9.0500000000000007</v>
      </c>
      <c r="K867">
        <v>4.0999999999999996</v>
      </c>
      <c r="L867">
        <v>1</v>
      </c>
      <c r="M867" t="s">
        <v>25</v>
      </c>
      <c r="N867" t="s">
        <v>26</v>
      </c>
      <c r="O867">
        <v>13.63</v>
      </c>
      <c r="P867" s="1">
        <v>45292</v>
      </c>
      <c r="Q867" t="str">
        <f t="shared" si="13"/>
        <v>Medium Performance</v>
      </c>
      <c r="R867" s="2">
        <f>Table1_1[[#This Row],[tasks_completed]]/Table1_1[[#This Row],[monthly_hours_worked]]</f>
        <v>3.970504821327283E-2</v>
      </c>
    </row>
    <row r="868" spans="1:18" x14ac:dyDescent="0.3">
      <c r="A868" t="s">
        <v>117</v>
      </c>
      <c r="B868" t="s">
        <v>17</v>
      </c>
      <c r="C868" t="s">
        <v>37</v>
      </c>
      <c r="D868" t="s">
        <v>19</v>
      </c>
      <c r="E868">
        <v>6</v>
      </c>
      <c r="F868">
        <v>175.3</v>
      </c>
      <c r="G868">
        <v>93</v>
      </c>
      <c r="H868">
        <v>4.0999999999999996</v>
      </c>
      <c r="I868">
        <v>9</v>
      </c>
      <c r="J868">
        <v>9.8000000000000007</v>
      </c>
      <c r="K868">
        <v>6.74</v>
      </c>
      <c r="L868">
        <v>1</v>
      </c>
      <c r="M868" t="s">
        <v>20</v>
      </c>
      <c r="N868" t="s">
        <v>35</v>
      </c>
      <c r="O868">
        <v>10.27</v>
      </c>
      <c r="P868" s="1">
        <v>45352</v>
      </c>
      <c r="Q868" t="str">
        <f t="shared" si="13"/>
        <v>Medium Performance</v>
      </c>
      <c r="R868" s="2">
        <f>Table1_1[[#This Row],[tasks_completed]]/Table1_1[[#This Row],[monthly_hours_worked]]</f>
        <v>5.1340559041642891E-2</v>
      </c>
    </row>
    <row r="869" spans="1:18" x14ac:dyDescent="0.3">
      <c r="A869" t="s">
        <v>117</v>
      </c>
      <c r="B869" t="s">
        <v>33</v>
      </c>
      <c r="C869" t="s">
        <v>31</v>
      </c>
      <c r="D869" t="s">
        <v>19</v>
      </c>
      <c r="E869">
        <v>10</v>
      </c>
      <c r="F869">
        <v>165.4</v>
      </c>
      <c r="G869">
        <v>98.8</v>
      </c>
      <c r="H869">
        <v>5</v>
      </c>
      <c r="I869">
        <v>4</v>
      </c>
      <c r="J869">
        <v>4.59</v>
      </c>
      <c r="K869">
        <v>6.9</v>
      </c>
      <c r="L869">
        <v>1</v>
      </c>
      <c r="M869" t="s">
        <v>20</v>
      </c>
      <c r="N869" t="s">
        <v>26</v>
      </c>
      <c r="O869">
        <v>6.57</v>
      </c>
      <c r="P869" s="1">
        <v>45352</v>
      </c>
      <c r="Q869" t="str">
        <f t="shared" si="13"/>
        <v>Low Performance</v>
      </c>
      <c r="R869" s="2">
        <f>Table1_1[[#This Row],[tasks_completed]]/Table1_1[[#This Row],[monthly_hours_worked]]</f>
        <v>2.4183796856106408E-2</v>
      </c>
    </row>
    <row r="870" spans="1:18" x14ac:dyDescent="0.3">
      <c r="A870" t="s">
        <v>117</v>
      </c>
      <c r="B870" t="s">
        <v>27</v>
      </c>
      <c r="C870" t="s">
        <v>31</v>
      </c>
      <c r="D870" t="s">
        <v>29</v>
      </c>
      <c r="E870">
        <v>9</v>
      </c>
      <c r="F870">
        <v>176.1</v>
      </c>
      <c r="G870">
        <v>97.4</v>
      </c>
      <c r="H870">
        <v>0.8</v>
      </c>
      <c r="I870">
        <v>5</v>
      </c>
      <c r="J870">
        <v>8.33</v>
      </c>
      <c r="K870">
        <v>7.37</v>
      </c>
      <c r="L870">
        <v>1</v>
      </c>
      <c r="M870" t="s">
        <v>25</v>
      </c>
      <c r="N870" t="s">
        <v>35</v>
      </c>
      <c r="O870">
        <v>5.99</v>
      </c>
      <c r="P870" s="1">
        <v>45383</v>
      </c>
      <c r="Q870" t="str">
        <f t="shared" si="13"/>
        <v>Low Performance</v>
      </c>
      <c r="R870" s="2">
        <f>Table1_1[[#This Row],[tasks_completed]]/Table1_1[[#This Row],[monthly_hours_worked]]</f>
        <v>2.8392958546280524E-2</v>
      </c>
    </row>
    <row r="871" spans="1:18" x14ac:dyDescent="0.3">
      <c r="A871" t="s">
        <v>117</v>
      </c>
      <c r="B871" t="s">
        <v>43</v>
      </c>
      <c r="C871" t="s">
        <v>24</v>
      </c>
      <c r="D871" t="s">
        <v>19</v>
      </c>
      <c r="E871">
        <v>2</v>
      </c>
      <c r="F871">
        <v>151.9</v>
      </c>
      <c r="G871">
        <v>97.4</v>
      </c>
      <c r="H871">
        <v>3.7</v>
      </c>
      <c r="I871">
        <v>4</v>
      </c>
      <c r="J871">
        <v>7.86</v>
      </c>
      <c r="K871">
        <v>5.71</v>
      </c>
      <c r="L871">
        <v>0</v>
      </c>
      <c r="M871" t="s">
        <v>34</v>
      </c>
      <c r="N871" t="s">
        <v>26</v>
      </c>
      <c r="O871">
        <v>9.4</v>
      </c>
      <c r="P871" s="1">
        <v>45413</v>
      </c>
      <c r="Q871" t="str">
        <f t="shared" si="13"/>
        <v>Low Performance</v>
      </c>
      <c r="R871" s="2">
        <f>Table1_1[[#This Row],[tasks_completed]]/Table1_1[[#This Row],[monthly_hours_worked]]</f>
        <v>2.6333113890717578E-2</v>
      </c>
    </row>
    <row r="872" spans="1:18" x14ac:dyDescent="0.3">
      <c r="A872" t="s">
        <v>117</v>
      </c>
      <c r="B872" t="s">
        <v>43</v>
      </c>
      <c r="C872" t="s">
        <v>18</v>
      </c>
      <c r="D872" t="s">
        <v>39</v>
      </c>
      <c r="E872">
        <v>5</v>
      </c>
      <c r="F872">
        <v>170.4</v>
      </c>
      <c r="G872">
        <v>100</v>
      </c>
      <c r="H872">
        <v>5.8</v>
      </c>
      <c r="I872">
        <v>6</v>
      </c>
      <c r="J872">
        <v>7.78</v>
      </c>
      <c r="K872">
        <v>6.09</v>
      </c>
      <c r="L872">
        <v>0</v>
      </c>
      <c r="M872" t="s">
        <v>20</v>
      </c>
      <c r="N872" t="s">
        <v>26</v>
      </c>
      <c r="O872">
        <v>18.61</v>
      </c>
      <c r="P872" s="1">
        <v>45444</v>
      </c>
      <c r="Q872" t="str">
        <f t="shared" si="13"/>
        <v>High Performance</v>
      </c>
      <c r="R872" s="2">
        <f>Table1_1[[#This Row],[tasks_completed]]/Table1_1[[#This Row],[monthly_hours_worked]]</f>
        <v>3.5211267605633804E-2</v>
      </c>
    </row>
    <row r="873" spans="1:18" x14ac:dyDescent="0.3">
      <c r="A873" t="s">
        <v>117</v>
      </c>
      <c r="B873" t="s">
        <v>23</v>
      </c>
      <c r="C873" t="s">
        <v>18</v>
      </c>
      <c r="D873" t="s">
        <v>19</v>
      </c>
      <c r="E873">
        <v>10</v>
      </c>
      <c r="F873">
        <v>157</v>
      </c>
      <c r="G873">
        <v>92.8</v>
      </c>
      <c r="H873">
        <v>5.4</v>
      </c>
      <c r="I873">
        <v>4</v>
      </c>
      <c r="J873">
        <v>7.55</v>
      </c>
      <c r="K873">
        <v>4.43</v>
      </c>
      <c r="L873">
        <v>0</v>
      </c>
      <c r="M873" t="s">
        <v>20</v>
      </c>
      <c r="N873" t="s">
        <v>35</v>
      </c>
      <c r="O873">
        <v>11.35</v>
      </c>
      <c r="P873" s="1">
        <v>45474</v>
      </c>
      <c r="Q873" t="str">
        <f t="shared" si="13"/>
        <v>Medium Performance</v>
      </c>
      <c r="R873" s="2">
        <f>Table1_1[[#This Row],[tasks_completed]]/Table1_1[[#This Row],[monthly_hours_worked]]</f>
        <v>2.5477707006369428E-2</v>
      </c>
    </row>
    <row r="874" spans="1:18" x14ac:dyDescent="0.3">
      <c r="A874" t="s">
        <v>117</v>
      </c>
      <c r="B874" t="s">
        <v>33</v>
      </c>
      <c r="C874" t="s">
        <v>18</v>
      </c>
      <c r="D874" t="s">
        <v>39</v>
      </c>
      <c r="E874">
        <v>2</v>
      </c>
      <c r="F874">
        <v>142.80000000000001</v>
      </c>
      <c r="G874">
        <v>93.4</v>
      </c>
      <c r="H874">
        <v>3.6</v>
      </c>
      <c r="I874">
        <v>10</v>
      </c>
      <c r="J874">
        <v>7.11</v>
      </c>
      <c r="K874">
        <v>7.76</v>
      </c>
      <c r="L874">
        <v>1</v>
      </c>
      <c r="M874" t="s">
        <v>20</v>
      </c>
      <c r="N874" t="s">
        <v>35</v>
      </c>
      <c r="O874">
        <v>17.48</v>
      </c>
      <c r="P874" s="1">
        <v>45505</v>
      </c>
      <c r="Q874" t="str">
        <f t="shared" si="13"/>
        <v>High Performance</v>
      </c>
      <c r="R874" s="2">
        <f>Table1_1[[#This Row],[tasks_completed]]/Table1_1[[#This Row],[monthly_hours_worked]]</f>
        <v>7.0028011204481794E-2</v>
      </c>
    </row>
    <row r="875" spans="1:18" x14ac:dyDescent="0.3">
      <c r="A875" t="s">
        <v>117</v>
      </c>
      <c r="B875" t="s">
        <v>33</v>
      </c>
      <c r="C875" t="s">
        <v>31</v>
      </c>
      <c r="D875" t="s">
        <v>19</v>
      </c>
      <c r="E875">
        <v>7</v>
      </c>
      <c r="F875">
        <v>154.80000000000001</v>
      </c>
      <c r="G875">
        <v>100</v>
      </c>
      <c r="H875">
        <v>5.2</v>
      </c>
      <c r="I875">
        <v>6</v>
      </c>
      <c r="J875">
        <v>7.25</v>
      </c>
      <c r="K875">
        <v>8.4499999999999993</v>
      </c>
      <c r="L875">
        <v>1</v>
      </c>
      <c r="M875" t="s">
        <v>34</v>
      </c>
      <c r="N875" t="s">
        <v>21</v>
      </c>
      <c r="O875">
        <v>15.25</v>
      </c>
      <c r="P875" s="1">
        <v>45536</v>
      </c>
      <c r="Q875" t="str">
        <f t="shared" si="13"/>
        <v>High Performance</v>
      </c>
      <c r="R875" s="2">
        <f>Table1_1[[#This Row],[tasks_completed]]/Table1_1[[#This Row],[monthly_hours_worked]]</f>
        <v>3.875968992248062E-2</v>
      </c>
    </row>
    <row r="876" spans="1:18" x14ac:dyDescent="0.3">
      <c r="A876" t="s">
        <v>117</v>
      </c>
      <c r="B876" t="s">
        <v>23</v>
      </c>
      <c r="C876" t="s">
        <v>24</v>
      </c>
      <c r="D876" t="s">
        <v>39</v>
      </c>
      <c r="E876">
        <v>9</v>
      </c>
      <c r="F876">
        <v>168.6</v>
      </c>
      <c r="G876">
        <v>98.7</v>
      </c>
      <c r="H876">
        <v>5.6</v>
      </c>
      <c r="I876">
        <v>2</v>
      </c>
      <c r="J876">
        <v>9.48</v>
      </c>
      <c r="K876">
        <v>7.51</v>
      </c>
      <c r="L876">
        <v>2</v>
      </c>
      <c r="M876" t="s">
        <v>34</v>
      </c>
      <c r="N876" t="s">
        <v>35</v>
      </c>
      <c r="O876">
        <v>9.2100000000000009</v>
      </c>
      <c r="P876" s="1">
        <v>45566</v>
      </c>
      <c r="Q876" t="str">
        <f t="shared" si="13"/>
        <v>Low Performance</v>
      </c>
      <c r="R876" s="2">
        <f>Table1_1[[#This Row],[tasks_completed]]/Table1_1[[#This Row],[monthly_hours_worked]]</f>
        <v>1.1862396204033215E-2</v>
      </c>
    </row>
    <row r="877" spans="1:18" x14ac:dyDescent="0.3">
      <c r="A877" t="s">
        <v>117</v>
      </c>
      <c r="B877" t="s">
        <v>33</v>
      </c>
      <c r="C877" t="s">
        <v>37</v>
      </c>
      <c r="D877" t="s">
        <v>19</v>
      </c>
      <c r="E877">
        <v>7</v>
      </c>
      <c r="F877">
        <v>153.1</v>
      </c>
      <c r="G877">
        <v>94.4</v>
      </c>
      <c r="H877">
        <v>5.3</v>
      </c>
      <c r="I877">
        <v>1</v>
      </c>
      <c r="J877">
        <v>9.6999999999999993</v>
      </c>
      <c r="K877">
        <v>9.4499999999999993</v>
      </c>
      <c r="L877">
        <v>0</v>
      </c>
      <c r="M877" t="s">
        <v>20</v>
      </c>
      <c r="N877" t="s">
        <v>26</v>
      </c>
      <c r="O877">
        <v>15.65</v>
      </c>
      <c r="P877" s="1">
        <v>45597</v>
      </c>
      <c r="Q877" t="str">
        <f t="shared" si="13"/>
        <v>High Performance</v>
      </c>
      <c r="R877" s="2">
        <f>Table1_1[[#This Row],[tasks_completed]]/Table1_1[[#This Row],[monthly_hours_worked]]</f>
        <v>6.5316786414108428E-3</v>
      </c>
    </row>
    <row r="878" spans="1:18" x14ac:dyDescent="0.3">
      <c r="A878" t="s">
        <v>118</v>
      </c>
      <c r="B878" t="s">
        <v>17</v>
      </c>
      <c r="C878" t="s">
        <v>24</v>
      </c>
      <c r="D878" t="s">
        <v>39</v>
      </c>
      <c r="E878">
        <v>9</v>
      </c>
      <c r="F878">
        <v>146.6</v>
      </c>
      <c r="G878">
        <v>97.7</v>
      </c>
      <c r="H878">
        <v>8.1</v>
      </c>
      <c r="I878">
        <v>8</v>
      </c>
      <c r="J878">
        <v>9.5500000000000007</v>
      </c>
      <c r="K878">
        <v>8.52</v>
      </c>
      <c r="L878">
        <v>0</v>
      </c>
      <c r="M878" t="s">
        <v>25</v>
      </c>
      <c r="N878" t="s">
        <v>35</v>
      </c>
      <c r="O878">
        <v>20.27</v>
      </c>
      <c r="P878" s="1">
        <v>45292</v>
      </c>
      <c r="Q878" t="str">
        <f t="shared" si="13"/>
        <v>High Performance</v>
      </c>
      <c r="R878" s="2">
        <f>Table1_1[[#This Row],[tasks_completed]]/Table1_1[[#This Row],[monthly_hours_worked]]</f>
        <v>5.4570259208731244E-2</v>
      </c>
    </row>
    <row r="879" spans="1:18" x14ac:dyDescent="0.3">
      <c r="A879" t="s">
        <v>118</v>
      </c>
      <c r="B879" t="s">
        <v>43</v>
      </c>
      <c r="C879" t="s">
        <v>41</v>
      </c>
      <c r="D879" t="s">
        <v>39</v>
      </c>
      <c r="E879">
        <v>8</v>
      </c>
      <c r="F879">
        <v>173.3</v>
      </c>
      <c r="G879">
        <v>90.6</v>
      </c>
      <c r="H879">
        <v>8.9</v>
      </c>
      <c r="I879">
        <v>5</v>
      </c>
      <c r="J879">
        <v>6.4</v>
      </c>
      <c r="K879">
        <v>8.76</v>
      </c>
      <c r="L879">
        <v>0</v>
      </c>
      <c r="M879" t="s">
        <v>25</v>
      </c>
      <c r="N879" t="s">
        <v>26</v>
      </c>
      <c r="O879">
        <v>12.51</v>
      </c>
      <c r="P879" s="1">
        <v>45292</v>
      </c>
      <c r="Q879" t="str">
        <f t="shared" si="13"/>
        <v>Medium Performance</v>
      </c>
      <c r="R879" s="2">
        <f>Table1_1[[#This Row],[tasks_completed]]/Table1_1[[#This Row],[monthly_hours_worked]]</f>
        <v>2.8851702250432775E-2</v>
      </c>
    </row>
    <row r="880" spans="1:18" x14ac:dyDescent="0.3">
      <c r="A880" t="s">
        <v>118</v>
      </c>
      <c r="B880" t="s">
        <v>23</v>
      </c>
      <c r="C880" t="s">
        <v>18</v>
      </c>
      <c r="D880" t="s">
        <v>39</v>
      </c>
      <c r="E880">
        <v>7</v>
      </c>
      <c r="F880">
        <v>157.6</v>
      </c>
      <c r="G880">
        <v>93.9</v>
      </c>
      <c r="H880">
        <v>9.5</v>
      </c>
      <c r="I880">
        <v>6</v>
      </c>
      <c r="J880">
        <v>7.58</v>
      </c>
      <c r="K880">
        <v>7.73</v>
      </c>
      <c r="L880">
        <v>1</v>
      </c>
      <c r="M880" t="s">
        <v>34</v>
      </c>
      <c r="N880" t="s">
        <v>26</v>
      </c>
      <c r="O880">
        <v>19.27</v>
      </c>
      <c r="P880" s="1">
        <v>45352</v>
      </c>
      <c r="Q880" t="str">
        <f t="shared" si="13"/>
        <v>High Performance</v>
      </c>
      <c r="R880" s="2">
        <f>Table1_1[[#This Row],[tasks_completed]]/Table1_1[[#This Row],[monthly_hours_worked]]</f>
        <v>3.8071065989847719E-2</v>
      </c>
    </row>
    <row r="881" spans="1:18" x14ac:dyDescent="0.3">
      <c r="A881" t="s">
        <v>118</v>
      </c>
      <c r="B881" t="s">
        <v>43</v>
      </c>
      <c r="C881" t="s">
        <v>24</v>
      </c>
      <c r="D881" t="s">
        <v>19</v>
      </c>
      <c r="E881">
        <v>6</v>
      </c>
      <c r="F881">
        <v>167.3</v>
      </c>
      <c r="G881">
        <v>100</v>
      </c>
      <c r="H881">
        <v>5.0999999999999996</v>
      </c>
      <c r="I881">
        <v>5</v>
      </c>
      <c r="J881">
        <v>6.56</v>
      </c>
      <c r="K881">
        <v>7.32</v>
      </c>
      <c r="L881">
        <v>0</v>
      </c>
      <c r="M881" t="s">
        <v>34</v>
      </c>
      <c r="N881" t="s">
        <v>21</v>
      </c>
      <c r="O881">
        <v>18.920000000000002</v>
      </c>
      <c r="P881" s="1">
        <v>45352</v>
      </c>
      <c r="Q881" t="str">
        <f t="shared" si="13"/>
        <v>High Performance</v>
      </c>
      <c r="R881" s="2">
        <f>Table1_1[[#This Row],[tasks_completed]]/Table1_1[[#This Row],[monthly_hours_worked]]</f>
        <v>2.9886431560071727E-2</v>
      </c>
    </row>
    <row r="882" spans="1:18" x14ac:dyDescent="0.3">
      <c r="A882" t="s">
        <v>118</v>
      </c>
      <c r="B882" t="s">
        <v>23</v>
      </c>
      <c r="C882" t="s">
        <v>24</v>
      </c>
      <c r="D882" t="s">
        <v>29</v>
      </c>
      <c r="E882">
        <v>4</v>
      </c>
      <c r="F882">
        <v>162.5</v>
      </c>
      <c r="G882">
        <v>97.4</v>
      </c>
      <c r="H882">
        <v>4.5</v>
      </c>
      <c r="I882">
        <v>4</v>
      </c>
      <c r="J882">
        <v>6.91</v>
      </c>
      <c r="K882">
        <v>9.3000000000000007</v>
      </c>
      <c r="L882">
        <v>1</v>
      </c>
      <c r="M882" t="s">
        <v>25</v>
      </c>
      <c r="N882" t="s">
        <v>21</v>
      </c>
      <c r="O882">
        <v>7.72</v>
      </c>
      <c r="P882" s="1">
        <v>45383</v>
      </c>
      <c r="Q882" t="str">
        <f t="shared" si="13"/>
        <v>Low Performance</v>
      </c>
      <c r="R882" s="2">
        <f>Table1_1[[#This Row],[tasks_completed]]/Table1_1[[#This Row],[monthly_hours_worked]]</f>
        <v>2.4615384615384615E-2</v>
      </c>
    </row>
    <row r="883" spans="1:18" x14ac:dyDescent="0.3">
      <c r="A883" t="s">
        <v>118</v>
      </c>
      <c r="B883" t="s">
        <v>17</v>
      </c>
      <c r="C883" t="s">
        <v>31</v>
      </c>
      <c r="D883" t="s">
        <v>29</v>
      </c>
      <c r="E883">
        <v>4</v>
      </c>
      <c r="F883">
        <v>153.6</v>
      </c>
      <c r="G883">
        <v>84.9</v>
      </c>
      <c r="H883">
        <v>5.8</v>
      </c>
      <c r="I883">
        <v>2</v>
      </c>
      <c r="J883">
        <v>7.87</v>
      </c>
      <c r="K883">
        <v>9.02</v>
      </c>
      <c r="L883">
        <v>0</v>
      </c>
      <c r="M883" t="s">
        <v>20</v>
      </c>
      <c r="N883" t="s">
        <v>26</v>
      </c>
      <c r="O883">
        <v>11.79</v>
      </c>
      <c r="P883" s="1">
        <v>45413</v>
      </c>
      <c r="Q883" t="str">
        <f t="shared" si="13"/>
        <v>Medium Performance</v>
      </c>
      <c r="R883" s="2">
        <f>Table1_1[[#This Row],[tasks_completed]]/Table1_1[[#This Row],[monthly_hours_worked]]</f>
        <v>1.3020833333333334E-2</v>
      </c>
    </row>
    <row r="884" spans="1:18" x14ac:dyDescent="0.3">
      <c r="A884" t="s">
        <v>118</v>
      </c>
      <c r="B884" t="s">
        <v>23</v>
      </c>
      <c r="C884" t="s">
        <v>37</v>
      </c>
      <c r="D884" t="s">
        <v>39</v>
      </c>
      <c r="E884">
        <v>3</v>
      </c>
      <c r="F884">
        <v>156.5</v>
      </c>
      <c r="G884">
        <v>96.9</v>
      </c>
      <c r="H884">
        <v>4.7</v>
      </c>
      <c r="I884">
        <v>5</v>
      </c>
      <c r="J884">
        <v>6.6</v>
      </c>
      <c r="K884">
        <v>5.14</v>
      </c>
      <c r="L884">
        <v>0</v>
      </c>
      <c r="M884" t="s">
        <v>20</v>
      </c>
      <c r="N884" t="s">
        <v>26</v>
      </c>
      <c r="O884">
        <v>18.600000000000001</v>
      </c>
      <c r="P884" s="1">
        <v>45444</v>
      </c>
      <c r="Q884" t="str">
        <f t="shared" si="13"/>
        <v>High Performance</v>
      </c>
      <c r="R884" s="2">
        <f>Table1_1[[#This Row],[tasks_completed]]/Table1_1[[#This Row],[monthly_hours_worked]]</f>
        <v>3.1948881789137379E-2</v>
      </c>
    </row>
    <row r="885" spans="1:18" x14ac:dyDescent="0.3">
      <c r="A885" t="s">
        <v>118</v>
      </c>
      <c r="B885" t="s">
        <v>43</v>
      </c>
      <c r="C885" t="s">
        <v>18</v>
      </c>
      <c r="D885" t="s">
        <v>19</v>
      </c>
      <c r="E885">
        <v>9</v>
      </c>
      <c r="F885">
        <v>138.19999999999999</v>
      </c>
      <c r="G885">
        <v>94.7</v>
      </c>
      <c r="H885">
        <v>1.6</v>
      </c>
      <c r="I885">
        <v>7</v>
      </c>
      <c r="J885">
        <v>5.69</v>
      </c>
      <c r="K885">
        <v>4.2300000000000004</v>
      </c>
      <c r="L885">
        <v>1</v>
      </c>
      <c r="M885" t="s">
        <v>25</v>
      </c>
      <c r="N885" t="s">
        <v>21</v>
      </c>
      <c r="O885">
        <v>15.94</v>
      </c>
      <c r="P885" s="1">
        <v>45474</v>
      </c>
      <c r="Q885" t="str">
        <f t="shared" si="13"/>
        <v>High Performance</v>
      </c>
      <c r="R885" s="2">
        <f>Table1_1[[#This Row],[tasks_completed]]/Table1_1[[#This Row],[monthly_hours_worked]]</f>
        <v>5.0651230101302465E-2</v>
      </c>
    </row>
    <row r="886" spans="1:18" x14ac:dyDescent="0.3">
      <c r="A886" t="s">
        <v>118</v>
      </c>
      <c r="B886" t="s">
        <v>33</v>
      </c>
      <c r="C886" t="s">
        <v>31</v>
      </c>
      <c r="D886" t="s">
        <v>19</v>
      </c>
      <c r="E886">
        <v>9</v>
      </c>
      <c r="F886">
        <v>162.30000000000001</v>
      </c>
      <c r="G886">
        <v>98.1</v>
      </c>
      <c r="H886">
        <v>4.5999999999999996</v>
      </c>
      <c r="I886">
        <v>11</v>
      </c>
      <c r="J886">
        <v>4.83</v>
      </c>
      <c r="K886">
        <v>10</v>
      </c>
      <c r="L886">
        <v>0</v>
      </c>
      <c r="M886" t="s">
        <v>20</v>
      </c>
      <c r="N886" t="s">
        <v>21</v>
      </c>
      <c r="O886">
        <v>4.9800000000000004</v>
      </c>
      <c r="P886" s="1">
        <v>45505</v>
      </c>
      <c r="Q886" t="str">
        <f t="shared" si="13"/>
        <v>Low Performance</v>
      </c>
      <c r="R886" s="2">
        <f>Table1_1[[#This Row],[tasks_completed]]/Table1_1[[#This Row],[monthly_hours_worked]]</f>
        <v>6.7775723967960569E-2</v>
      </c>
    </row>
    <row r="887" spans="1:18" x14ac:dyDescent="0.3">
      <c r="A887" t="s">
        <v>118</v>
      </c>
      <c r="B887" t="s">
        <v>43</v>
      </c>
      <c r="C887" t="s">
        <v>41</v>
      </c>
      <c r="D887" t="s">
        <v>19</v>
      </c>
      <c r="E887">
        <v>8</v>
      </c>
      <c r="F887">
        <v>159.5</v>
      </c>
      <c r="G887">
        <v>91.4</v>
      </c>
      <c r="H887">
        <v>4.5999999999999996</v>
      </c>
      <c r="I887">
        <v>9</v>
      </c>
      <c r="J887">
        <v>9.4</v>
      </c>
      <c r="K887">
        <v>4.71</v>
      </c>
      <c r="L887">
        <v>0</v>
      </c>
      <c r="M887" t="s">
        <v>20</v>
      </c>
      <c r="N887" t="s">
        <v>35</v>
      </c>
      <c r="O887">
        <v>14.27</v>
      </c>
      <c r="P887" s="1">
        <v>45536</v>
      </c>
      <c r="Q887" t="str">
        <f t="shared" si="13"/>
        <v>Medium Performance</v>
      </c>
      <c r="R887" s="2">
        <f>Table1_1[[#This Row],[tasks_completed]]/Table1_1[[#This Row],[monthly_hours_worked]]</f>
        <v>5.6426332288401257E-2</v>
      </c>
    </row>
    <row r="888" spans="1:18" x14ac:dyDescent="0.3">
      <c r="A888" t="s">
        <v>118</v>
      </c>
      <c r="B888" t="s">
        <v>23</v>
      </c>
      <c r="C888" t="s">
        <v>37</v>
      </c>
      <c r="D888" t="s">
        <v>19</v>
      </c>
      <c r="E888">
        <v>6</v>
      </c>
      <c r="F888">
        <v>159.5</v>
      </c>
      <c r="G888">
        <v>92.1</v>
      </c>
      <c r="H888">
        <v>7.8</v>
      </c>
      <c r="I888">
        <v>5</v>
      </c>
      <c r="J888">
        <v>6.88</v>
      </c>
      <c r="K888">
        <v>5.45</v>
      </c>
      <c r="L888">
        <v>1</v>
      </c>
      <c r="M888" t="s">
        <v>34</v>
      </c>
      <c r="N888" t="s">
        <v>21</v>
      </c>
      <c r="O888">
        <v>27.31</v>
      </c>
      <c r="P888" s="1">
        <v>45566</v>
      </c>
      <c r="Q888" t="str">
        <f t="shared" si="13"/>
        <v>High Performance</v>
      </c>
      <c r="R888" s="2">
        <f>Table1_1[[#This Row],[tasks_completed]]/Table1_1[[#This Row],[monthly_hours_worked]]</f>
        <v>3.1347962382445138E-2</v>
      </c>
    </row>
    <row r="889" spans="1:18" x14ac:dyDescent="0.3">
      <c r="A889" t="s">
        <v>118</v>
      </c>
      <c r="B889" t="s">
        <v>33</v>
      </c>
      <c r="C889" t="s">
        <v>18</v>
      </c>
      <c r="D889" t="s">
        <v>39</v>
      </c>
      <c r="E889">
        <v>2</v>
      </c>
      <c r="F889">
        <v>157.9</v>
      </c>
      <c r="G889">
        <v>90.2</v>
      </c>
      <c r="H889">
        <v>6.6</v>
      </c>
      <c r="I889">
        <v>2</v>
      </c>
      <c r="J889">
        <v>6.86</v>
      </c>
      <c r="K889">
        <v>4.32</v>
      </c>
      <c r="L889">
        <v>2</v>
      </c>
      <c r="M889" t="s">
        <v>25</v>
      </c>
      <c r="N889" t="s">
        <v>21</v>
      </c>
      <c r="O889">
        <v>12.07</v>
      </c>
      <c r="P889" s="1">
        <v>45597</v>
      </c>
      <c r="Q889" t="str">
        <f t="shared" si="13"/>
        <v>Medium Performance</v>
      </c>
      <c r="R889" s="2">
        <f>Table1_1[[#This Row],[tasks_completed]]/Table1_1[[#This Row],[monthly_hours_worked]]</f>
        <v>1.2666244458518048E-2</v>
      </c>
    </row>
    <row r="890" spans="1:18" x14ac:dyDescent="0.3">
      <c r="A890" t="s">
        <v>119</v>
      </c>
      <c r="B890" t="s">
        <v>27</v>
      </c>
      <c r="C890" t="s">
        <v>24</v>
      </c>
      <c r="D890" t="s">
        <v>29</v>
      </c>
      <c r="E890">
        <v>7</v>
      </c>
      <c r="F890">
        <v>152</v>
      </c>
      <c r="G890">
        <v>100</v>
      </c>
      <c r="H890">
        <v>5.9</v>
      </c>
      <c r="I890">
        <v>9</v>
      </c>
      <c r="J890">
        <v>8.86</v>
      </c>
      <c r="K890">
        <v>6.82</v>
      </c>
      <c r="L890">
        <v>0</v>
      </c>
      <c r="M890" t="s">
        <v>34</v>
      </c>
      <c r="N890" t="s">
        <v>21</v>
      </c>
      <c r="O890">
        <v>20.05</v>
      </c>
      <c r="P890" s="1">
        <v>45292</v>
      </c>
      <c r="Q890" t="str">
        <f t="shared" si="13"/>
        <v>High Performance</v>
      </c>
      <c r="R890" s="2">
        <f>Table1_1[[#This Row],[tasks_completed]]/Table1_1[[#This Row],[monthly_hours_worked]]</f>
        <v>5.921052631578947E-2</v>
      </c>
    </row>
    <row r="891" spans="1:18" x14ac:dyDescent="0.3">
      <c r="A891" t="s">
        <v>119</v>
      </c>
      <c r="B891" t="s">
        <v>23</v>
      </c>
      <c r="C891" t="s">
        <v>37</v>
      </c>
      <c r="D891" t="s">
        <v>19</v>
      </c>
      <c r="E891">
        <v>9</v>
      </c>
      <c r="F891">
        <v>168.9</v>
      </c>
      <c r="G891">
        <v>88.6</v>
      </c>
      <c r="H891">
        <v>3.7</v>
      </c>
      <c r="I891">
        <v>7</v>
      </c>
      <c r="J891">
        <v>8.36</v>
      </c>
      <c r="K891">
        <v>8.51</v>
      </c>
      <c r="L891">
        <v>0</v>
      </c>
      <c r="M891" t="s">
        <v>20</v>
      </c>
      <c r="N891" t="s">
        <v>26</v>
      </c>
      <c r="O891">
        <v>17.53</v>
      </c>
      <c r="P891" s="1">
        <v>45292</v>
      </c>
      <c r="Q891" t="str">
        <f t="shared" si="13"/>
        <v>High Performance</v>
      </c>
      <c r="R891" s="2">
        <f>Table1_1[[#This Row],[tasks_completed]]/Table1_1[[#This Row],[monthly_hours_worked]]</f>
        <v>4.1444641799881582E-2</v>
      </c>
    </row>
    <row r="892" spans="1:18" x14ac:dyDescent="0.3">
      <c r="A892" t="s">
        <v>119</v>
      </c>
      <c r="B892" t="s">
        <v>17</v>
      </c>
      <c r="C892" t="s">
        <v>18</v>
      </c>
      <c r="D892" t="s">
        <v>39</v>
      </c>
      <c r="E892">
        <v>10</v>
      </c>
      <c r="F892">
        <v>160.19999999999999</v>
      </c>
      <c r="G892">
        <v>95.2</v>
      </c>
      <c r="H892">
        <v>9.5</v>
      </c>
      <c r="I892">
        <v>7</v>
      </c>
      <c r="J892">
        <v>7.32</v>
      </c>
      <c r="K892">
        <v>7.03</v>
      </c>
      <c r="L892">
        <v>0</v>
      </c>
      <c r="M892" t="s">
        <v>25</v>
      </c>
      <c r="N892" t="s">
        <v>26</v>
      </c>
      <c r="O892">
        <v>12.36</v>
      </c>
      <c r="P892" s="1">
        <v>45352</v>
      </c>
      <c r="Q892" t="str">
        <f t="shared" si="13"/>
        <v>Medium Performance</v>
      </c>
      <c r="R892" s="2">
        <f>Table1_1[[#This Row],[tasks_completed]]/Table1_1[[#This Row],[monthly_hours_worked]]</f>
        <v>4.3695380774032462E-2</v>
      </c>
    </row>
    <row r="893" spans="1:18" x14ac:dyDescent="0.3">
      <c r="A893" t="s">
        <v>119</v>
      </c>
      <c r="B893" t="s">
        <v>23</v>
      </c>
      <c r="C893" t="s">
        <v>41</v>
      </c>
      <c r="D893" t="s">
        <v>29</v>
      </c>
      <c r="E893">
        <v>10</v>
      </c>
      <c r="F893">
        <v>159.19999999999999</v>
      </c>
      <c r="G893">
        <v>86.2</v>
      </c>
      <c r="H893">
        <v>2.6</v>
      </c>
      <c r="I893">
        <v>7</v>
      </c>
      <c r="J893">
        <v>6.99</v>
      </c>
      <c r="K893">
        <v>9.94</v>
      </c>
      <c r="L893">
        <v>0</v>
      </c>
      <c r="M893" t="s">
        <v>25</v>
      </c>
      <c r="N893" t="s">
        <v>35</v>
      </c>
      <c r="O893">
        <v>14.76</v>
      </c>
      <c r="P893" s="1">
        <v>45352</v>
      </c>
      <c r="Q893" t="str">
        <f t="shared" si="13"/>
        <v>Medium Performance</v>
      </c>
      <c r="R893" s="2">
        <f>Table1_1[[#This Row],[tasks_completed]]/Table1_1[[#This Row],[monthly_hours_worked]]</f>
        <v>4.3969849246231159E-2</v>
      </c>
    </row>
    <row r="894" spans="1:18" x14ac:dyDescent="0.3">
      <c r="A894" t="s">
        <v>119</v>
      </c>
      <c r="B894" t="s">
        <v>27</v>
      </c>
      <c r="C894" t="s">
        <v>37</v>
      </c>
      <c r="D894" t="s">
        <v>19</v>
      </c>
      <c r="E894">
        <v>7</v>
      </c>
      <c r="F894">
        <v>155.80000000000001</v>
      </c>
      <c r="G894">
        <v>95.1</v>
      </c>
      <c r="H894">
        <v>3.8</v>
      </c>
      <c r="I894">
        <v>7</v>
      </c>
      <c r="J894">
        <v>7.99</v>
      </c>
      <c r="K894">
        <v>8.11</v>
      </c>
      <c r="L894">
        <v>0</v>
      </c>
      <c r="M894" t="s">
        <v>34</v>
      </c>
      <c r="N894" t="s">
        <v>26</v>
      </c>
      <c r="O894">
        <v>19.47</v>
      </c>
      <c r="P894" s="1">
        <v>45383</v>
      </c>
      <c r="Q894" t="str">
        <f t="shared" si="13"/>
        <v>High Performance</v>
      </c>
      <c r="R894" s="2">
        <f>Table1_1[[#This Row],[tasks_completed]]/Table1_1[[#This Row],[monthly_hours_worked]]</f>
        <v>4.4929396662387676E-2</v>
      </c>
    </row>
    <row r="895" spans="1:18" x14ac:dyDescent="0.3">
      <c r="A895" t="s">
        <v>119</v>
      </c>
      <c r="B895" t="s">
        <v>33</v>
      </c>
      <c r="C895" t="s">
        <v>31</v>
      </c>
      <c r="D895" t="s">
        <v>39</v>
      </c>
      <c r="E895">
        <v>8</v>
      </c>
      <c r="F895">
        <v>150.69999999999999</v>
      </c>
      <c r="G895">
        <v>90.1</v>
      </c>
      <c r="H895">
        <v>5.6</v>
      </c>
      <c r="I895">
        <v>6</v>
      </c>
      <c r="J895">
        <v>5.65</v>
      </c>
      <c r="K895">
        <v>9.4600000000000009</v>
      </c>
      <c r="L895">
        <v>0</v>
      </c>
      <c r="M895" t="s">
        <v>20</v>
      </c>
      <c r="N895" t="s">
        <v>35</v>
      </c>
      <c r="O895">
        <v>16.399999999999999</v>
      </c>
      <c r="P895" s="1">
        <v>45413</v>
      </c>
      <c r="Q895" t="str">
        <f t="shared" si="13"/>
        <v>High Performance</v>
      </c>
      <c r="R895" s="2">
        <f>Table1_1[[#This Row],[tasks_completed]]/Table1_1[[#This Row],[monthly_hours_worked]]</f>
        <v>3.9814200398142006E-2</v>
      </c>
    </row>
    <row r="896" spans="1:18" x14ac:dyDescent="0.3">
      <c r="A896" t="s">
        <v>119</v>
      </c>
      <c r="B896" t="s">
        <v>33</v>
      </c>
      <c r="C896" t="s">
        <v>24</v>
      </c>
      <c r="D896" t="s">
        <v>39</v>
      </c>
      <c r="E896">
        <v>10</v>
      </c>
      <c r="F896">
        <v>148.9</v>
      </c>
      <c r="G896">
        <v>95.5</v>
      </c>
      <c r="H896">
        <v>3.9</v>
      </c>
      <c r="I896">
        <v>6</v>
      </c>
      <c r="J896">
        <v>5.88</v>
      </c>
      <c r="K896">
        <v>8.5399999999999991</v>
      </c>
      <c r="L896">
        <v>1</v>
      </c>
      <c r="M896" t="s">
        <v>20</v>
      </c>
      <c r="N896" t="s">
        <v>26</v>
      </c>
      <c r="O896">
        <v>13.99</v>
      </c>
      <c r="P896" s="1">
        <v>45444</v>
      </c>
      <c r="Q896" t="str">
        <f t="shared" si="13"/>
        <v>Medium Performance</v>
      </c>
      <c r="R896" s="2">
        <f>Table1_1[[#This Row],[tasks_completed]]/Table1_1[[#This Row],[monthly_hours_worked]]</f>
        <v>4.0295500335795834E-2</v>
      </c>
    </row>
    <row r="897" spans="1:18" x14ac:dyDescent="0.3">
      <c r="A897" t="s">
        <v>119</v>
      </c>
      <c r="B897" t="s">
        <v>27</v>
      </c>
      <c r="C897" t="s">
        <v>41</v>
      </c>
      <c r="D897" t="s">
        <v>39</v>
      </c>
      <c r="E897">
        <v>5</v>
      </c>
      <c r="F897">
        <v>148.6</v>
      </c>
      <c r="G897">
        <v>96.2</v>
      </c>
      <c r="H897">
        <v>7</v>
      </c>
      <c r="I897">
        <v>4</v>
      </c>
      <c r="J897">
        <v>6.56</v>
      </c>
      <c r="K897">
        <v>8.18</v>
      </c>
      <c r="L897">
        <v>0</v>
      </c>
      <c r="M897" t="s">
        <v>34</v>
      </c>
      <c r="N897" t="s">
        <v>21</v>
      </c>
      <c r="O897">
        <v>14.66</v>
      </c>
      <c r="P897" s="1">
        <v>45474</v>
      </c>
      <c r="Q897" t="str">
        <f t="shared" si="13"/>
        <v>Medium Performance</v>
      </c>
      <c r="R897" s="2">
        <f>Table1_1[[#This Row],[tasks_completed]]/Table1_1[[#This Row],[monthly_hours_worked]]</f>
        <v>2.6917900403768506E-2</v>
      </c>
    </row>
    <row r="898" spans="1:18" x14ac:dyDescent="0.3">
      <c r="A898" t="s">
        <v>119</v>
      </c>
      <c r="B898" t="s">
        <v>17</v>
      </c>
      <c r="C898" t="s">
        <v>41</v>
      </c>
      <c r="D898" t="s">
        <v>19</v>
      </c>
      <c r="E898">
        <v>8</v>
      </c>
      <c r="F898">
        <v>143.9</v>
      </c>
      <c r="G898">
        <v>100</v>
      </c>
      <c r="H898">
        <v>7.2</v>
      </c>
      <c r="I898">
        <v>5</v>
      </c>
      <c r="J898">
        <v>7.46</v>
      </c>
      <c r="K898">
        <v>8.85</v>
      </c>
      <c r="L898">
        <v>0</v>
      </c>
      <c r="M898" t="s">
        <v>20</v>
      </c>
      <c r="N898" t="s">
        <v>26</v>
      </c>
      <c r="O898">
        <v>8.7100000000000009</v>
      </c>
      <c r="P898" s="1">
        <v>45505</v>
      </c>
      <c r="Q898" t="str">
        <f t="shared" ref="Q898:Q961" si="14">IF(O898&gt;=15, "High Performance", IF(O898&gt;=10, "Medium Performance", "Low Performance"))</f>
        <v>Low Performance</v>
      </c>
      <c r="R898" s="2">
        <f>Table1_1[[#This Row],[tasks_completed]]/Table1_1[[#This Row],[monthly_hours_worked]]</f>
        <v>3.4746351633078529E-2</v>
      </c>
    </row>
    <row r="899" spans="1:18" x14ac:dyDescent="0.3">
      <c r="A899" t="s">
        <v>119</v>
      </c>
      <c r="B899" t="s">
        <v>27</v>
      </c>
      <c r="C899" t="s">
        <v>41</v>
      </c>
      <c r="D899" t="s">
        <v>39</v>
      </c>
      <c r="E899">
        <v>4</v>
      </c>
      <c r="F899">
        <v>163</v>
      </c>
      <c r="G899">
        <v>94.7</v>
      </c>
      <c r="H899">
        <v>10.9</v>
      </c>
      <c r="I899">
        <v>14</v>
      </c>
      <c r="J899">
        <v>8.14</v>
      </c>
      <c r="K899">
        <v>5.04</v>
      </c>
      <c r="L899">
        <v>0</v>
      </c>
      <c r="M899" t="s">
        <v>20</v>
      </c>
      <c r="N899" t="s">
        <v>26</v>
      </c>
      <c r="O899">
        <v>14</v>
      </c>
      <c r="P899" s="1">
        <v>45536</v>
      </c>
      <c r="Q899" t="str">
        <f t="shared" si="14"/>
        <v>Medium Performance</v>
      </c>
      <c r="R899" s="2">
        <f>Table1_1[[#This Row],[tasks_completed]]/Table1_1[[#This Row],[monthly_hours_worked]]</f>
        <v>8.5889570552147243E-2</v>
      </c>
    </row>
    <row r="900" spans="1:18" x14ac:dyDescent="0.3">
      <c r="A900" t="s">
        <v>119</v>
      </c>
      <c r="B900" t="s">
        <v>17</v>
      </c>
      <c r="C900" t="s">
        <v>31</v>
      </c>
      <c r="D900" t="s">
        <v>29</v>
      </c>
      <c r="E900">
        <v>6</v>
      </c>
      <c r="F900">
        <v>160.6</v>
      </c>
      <c r="G900">
        <v>100</v>
      </c>
      <c r="H900">
        <v>1.2</v>
      </c>
      <c r="I900">
        <v>7</v>
      </c>
      <c r="J900">
        <v>8.0500000000000007</v>
      </c>
      <c r="K900">
        <v>6.74</v>
      </c>
      <c r="L900">
        <v>0</v>
      </c>
      <c r="M900" t="s">
        <v>20</v>
      </c>
      <c r="N900" t="s">
        <v>35</v>
      </c>
      <c r="O900">
        <v>15.01</v>
      </c>
      <c r="P900" s="1">
        <v>45566</v>
      </c>
      <c r="Q900" t="str">
        <f t="shared" si="14"/>
        <v>High Performance</v>
      </c>
      <c r="R900" s="2">
        <f>Table1_1[[#This Row],[tasks_completed]]/Table1_1[[#This Row],[monthly_hours_worked]]</f>
        <v>4.3586550435865505E-2</v>
      </c>
    </row>
    <row r="901" spans="1:18" x14ac:dyDescent="0.3">
      <c r="A901" t="s">
        <v>119</v>
      </c>
      <c r="B901" t="s">
        <v>33</v>
      </c>
      <c r="C901" t="s">
        <v>37</v>
      </c>
      <c r="D901" t="s">
        <v>39</v>
      </c>
      <c r="E901">
        <v>3</v>
      </c>
      <c r="F901">
        <v>161</v>
      </c>
      <c r="G901">
        <v>91.2</v>
      </c>
      <c r="H901">
        <v>6.7</v>
      </c>
      <c r="I901">
        <v>8</v>
      </c>
      <c r="J901">
        <v>6.69</v>
      </c>
      <c r="K901">
        <v>2.84</v>
      </c>
      <c r="L901">
        <v>0</v>
      </c>
      <c r="M901" t="s">
        <v>34</v>
      </c>
      <c r="N901" t="s">
        <v>26</v>
      </c>
      <c r="O901">
        <v>14.37</v>
      </c>
      <c r="P901" s="1">
        <v>45597</v>
      </c>
      <c r="Q901" t="str">
        <f t="shared" si="14"/>
        <v>Medium Performance</v>
      </c>
      <c r="R901" s="2">
        <f>Table1_1[[#This Row],[tasks_completed]]/Table1_1[[#This Row],[monthly_hours_worked]]</f>
        <v>4.9689440993788817E-2</v>
      </c>
    </row>
    <row r="902" spans="1:18" x14ac:dyDescent="0.3">
      <c r="A902" t="s">
        <v>120</v>
      </c>
      <c r="B902" t="s">
        <v>33</v>
      </c>
      <c r="C902" t="s">
        <v>24</v>
      </c>
      <c r="D902" t="s">
        <v>29</v>
      </c>
      <c r="E902">
        <v>5</v>
      </c>
      <c r="F902">
        <v>152.69999999999999</v>
      </c>
      <c r="G902">
        <v>87.4</v>
      </c>
      <c r="H902">
        <v>5</v>
      </c>
      <c r="I902">
        <v>11</v>
      </c>
      <c r="J902">
        <v>5.84</v>
      </c>
      <c r="K902">
        <v>4.6900000000000004</v>
      </c>
      <c r="L902">
        <v>0</v>
      </c>
      <c r="M902" t="s">
        <v>34</v>
      </c>
      <c r="N902" t="s">
        <v>21</v>
      </c>
      <c r="O902">
        <v>9.9</v>
      </c>
      <c r="P902" s="1">
        <v>45292</v>
      </c>
      <c r="Q902" t="str">
        <f t="shared" si="14"/>
        <v>Low Performance</v>
      </c>
      <c r="R902" s="2">
        <f>Table1_1[[#This Row],[tasks_completed]]/Table1_1[[#This Row],[monthly_hours_worked]]</f>
        <v>7.2036673215455149E-2</v>
      </c>
    </row>
    <row r="903" spans="1:18" x14ac:dyDescent="0.3">
      <c r="A903" t="s">
        <v>120</v>
      </c>
      <c r="B903" t="s">
        <v>17</v>
      </c>
      <c r="C903" t="s">
        <v>41</v>
      </c>
      <c r="D903" t="s">
        <v>39</v>
      </c>
      <c r="E903">
        <v>4</v>
      </c>
      <c r="F903">
        <v>154.1</v>
      </c>
      <c r="G903">
        <v>87.8</v>
      </c>
      <c r="H903">
        <v>6.4</v>
      </c>
      <c r="I903">
        <v>4</v>
      </c>
      <c r="J903">
        <v>7.98</v>
      </c>
      <c r="K903">
        <v>5.0599999999999996</v>
      </c>
      <c r="L903">
        <v>1</v>
      </c>
      <c r="M903" t="s">
        <v>34</v>
      </c>
      <c r="N903" t="s">
        <v>35</v>
      </c>
      <c r="O903">
        <v>19.16</v>
      </c>
      <c r="P903" s="1">
        <v>45292</v>
      </c>
      <c r="Q903" t="str">
        <f t="shared" si="14"/>
        <v>High Performance</v>
      </c>
      <c r="R903" s="2">
        <f>Table1_1[[#This Row],[tasks_completed]]/Table1_1[[#This Row],[monthly_hours_worked]]</f>
        <v>2.5957170668397145E-2</v>
      </c>
    </row>
    <row r="904" spans="1:18" x14ac:dyDescent="0.3">
      <c r="A904" t="s">
        <v>120</v>
      </c>
      <c r="B904" t="s">
        <v>23</v>
      </c>
      <c r="C904" t="s">
        <v>18</v>
      </c>
      <c r="D904" t="s">
        <v>19</v>
      </c>
      <c r="E904">
        <v>3</v>
      </c>
      <c r="F904">
        <v>160.1</v>
      </c>
      <c r="G904">
        <v>100</v>
      </c>
      <c r="H904">
        <v>6.6</v>
      </c>
      <c r="I904">
        <v>6</v>
      </c>
      <c r="J904">
        <v>10</v>
      </c>
      <c r="K904">
        <v>5.31</v>
      </c>
      <c r="L904">
        <v>0</v>
      </c>
      <c r="M904" t="s">
        <v>20</v>
      </c>
      <c r="N904" t="s">
        <v>35</v>
      </c>
      <c r="O904">
        <v>23.03</v>
      </c>
      <c r="P904" s="1">
        <v>45352</v>
      </c>
      <c r="Q904" t="str">
        <f t="shared" si="14"/>
        <v>High Performance</v>
      </c>
      <c r="R904" s="2">
        <f>Table1_1[[#This Row],[tasks_completed]]/Table1_1[[#This Row],[monthly_hours_worked]]</f>
        <v>3.7476577139287946E-2</v>
      </c>
    </row>
    <row r="905" spans="1:18" x14ac:dyDescent="0.3">
      <c r="A905" t="s">
        <v>120</v>
      </c>
      <c r="B905" t="s">
        <v>33</v>
      </c>
      <c r="C905" t="s">
        <v>31</v>
      </c>
      <c r="D905" t="s">
        <v>39</v>
      </c>
      <c r="E905">
        <v>7</v>
      </c>
      <c r="F905">
        <v>156.4</v>
      </c>
      <c r="G905">
        <v>88.5</v>
      </c>
      <c r="H905">
        <v>7.9</v>
      </c>
      <c r="I905">
        <v>5</v>
      </c>
      <c r="J905">
        <v>6.46</v>
      </c>
      <c r="K905">
        <v>6</v>
      </c>
      <c r="L905">
        <v>0</v>
      </c>
      <c r="M905" t="s">
        <v>20</v>
      </c>
      <c r="N905" t="s">
        <v>26</v>
      </c>
      <c r="O905">
        <v>15.52</v>
      </c>
      <c r="P905" s="1">
        <v>45352</v>
      </c>
      <c r="Q905" t="str">
        <f t="shared" si="14"/>
        <v>High Performance</v>
      </c>
      <c r="R905" s="2">
        <f>Table1_1[[#This Row],[tasks_completed]]/Table1_1[[#This Row],[monthly_hours_worked]]</f>
        <v>3.1969309462915603E-2</v>
      </c>
    </row>
    <row r="906" spans="1:18" x14ac:dyDescent="0.3">
      <c r="A906" t="s">
        <v>120</v>
      </c>
      <c r="B906" t="s">
        <v>17</v>
      </c>
      <c r="C906" t="s">
        <v>41</v>
      </c>
      <c r="D906" t="s">
        <v>19</v>
      </c>
      <c r="E906">
        <v>9</v>
      </c>
      <c r="F906">
        <v>159.9</v>
      </c>
      <c r="G906">
        <v>98.5</v>
      </c>
      <c r="H906">
        <v>3.2</v>
      </c>
      <c r="I906">
        <v>5</v>
      </c>
      <c r="J906">
        <v>6.51</v>
      </c>
      <c r="K906">
        <v>4.9800000000000004</v>
      </c>
      <c r="L906">
        <v>0</v>
      </c>
      <c r="M906" t="s">
        <v>34</v>
      </c>
      <c r="N906" t="s">
        <v>21</v>
      </c>
      <c r="O906">
        <v>5.16</v>
      </c>
      <c r="P906" s="1">
        <v>45383</v>
      </c>
      <c r="Q906" t="str">
        <f t="shared" si="14"/>
        <v>Low Performance</v>
      </c>
      <c r="R906" s="2">
        <f>Table1_1[[#This Row],[tasks_completed]]/Table1_1[[#This Row],[monthly_hours_worked]]</f>
        <v>3.1269543464665414E-2</v>
      </c>
    </row>
    <row r="907" spans="1:18" x14ac:dyDescent="0.3">
      <c r="A907" t="s">
        <v>120</v>
      </c>
      <c r="B907" t="s">
        <v>33</v>
      </c>
      <c r="C907" t="s">
        <v>24</v>
      </c>
      <c r="D907" t="s">
        <v>19</v>
      </c>
      <c r="E907">
        <v>8</v>
      </c>
      <c r="F907">
        <v>149.30000000000001</v>
      </c>
      <c r="G907">
        <v>93.9</v>
      </c>
      <c r="H907">
        <v>6.3</v>
      </c>
      <c r="I907">
        <v>4</v>
      </c>
      <c r="J907">
        <v>6.14</v>
      </c>
      <c r="K907">
        <v>7.6</v>
      </c>
      <c r="L907">
        <v>1</v>
      </c>
      <c r="M907" t="s">
        <v>34</v>
      </c>
      <c r="N907" t="s">
        <v>26</v>
      </c>
      <c r="O907">
        <v>5</v>
      </c>
      <c r="P907" s="1">
        <v>45413</v>
      </c>
      <c r="Q907" t="str">
        <f t="shared" si="14"/>
        <v>Low Performance</v>
      </c>
      <c r="R907" s="2">
        <f>Table1_1[[#This Row],[tasks_completed]]/Table1_1[[#This Row],[monthly_hours_worked]]</f>
        <v>2.6791694574681845E-2</v>
      </c>
    </row>
    <row r="908" spans="1:18" x14ac:dyDescent="0.3">
      <c r="A908" t="s">
        <v>120</v>
      </c>
      <c r="B908" t="s">
        <v>43</v>
      </c>
      <c r="C908" t="s">
        <v>37</v>
      </c>
      <c r="D908" t="s">
        <v>19</v>
      </c>
      <c r="E908">
        <v>7</v>
      </c>
      <c r="F908">
        <v>150.69999999999999</v>
      </c>
      <c r="G908">
        <v>93.7</v>
      </c>
      <c r="H908">
        <v>3.8</v>
      </c>
      <c r="I908">
        <v>10</v>
      </c>
      <c r="J908">
        <v>9.35</v>
      </c>
      <c r="K908">
        <v>4.93</v>
      </c>
      <c r="L908">
        <v>0</v>
      </c>
      <c r="M908" t="s">
        <v>20</v>
      </c>
      <c r="N908" t="s">
        <v>21</v>
      </c>
      <c r="O908">
        <v>13.31</v>
      </c>
      <c r="P908" s="1">
        <v>45444</v>
      </c>
      <c r="Q908" t="str">
        <f t="shared" si="14"/>
        <v>Medium Performance</v>
      </c>
      <c r="R908" s="2">
        <f>Table1_1[[#This Row],[tasks_completed]]/Table1_1[[#This Row],[monthly_hours_worked]]</f>
        <v>6.6357000663570018E-2</v>
      </c>
    </row>
    <row r="909" spans="1:18" x14ac:dyDescent="0.3">
      <c r="A909" t="s">
        <v>120</v>
      </c>
      <c r="B909" t="s">
        <v>27</v>
      </c>
      <c r="C909" t="s">
        <v>24</v>
      </c>
      <c r="D909" t="s">
        <v>39</v>
      </c>
      <c r="E909">
        <v>2</v>
      </c>
      <c r="F909">
        <v>162.1</v>
      </c>
      <c r="G909">
        <v>98</v>
      </c>
      <c r="H909">
        <v>2.9</v>
      </c>
      <c r="I909">
        <v>10</v>
      </c>
      <c r="J909">
        <v>9.56</v>
      </c>
      <c r="K909">
        <v>6.85</v>
      </c>
      <c r="L909">
        <v>1</v>
      </c>
      <c r="M909" t="s">
        <v>25</v>
      </c>
      <c r="N909" t="s">
        <v>35</v>
      </c>
      <c r="O909">
        <v>12.03</v>
      </c>
      <c r="P909" s="1">
        <v>45474</v>
      </c>
      <c r="Q909" t="str">
        <f t="shared" si="14"/>
        <v>Medium Performance</v>
      </c>
      <c r="R909" s="2">
        <f>Table1_1[[#This Row],[tasks_completed]]/Table1_1[[#This Row],[monthly_hours_worked]]</f>
        <v>6.1690314620604564E-2</v>
      </c>
    </row>
    <row r="910" spans="1:18" x14ac:dyDescent="0.3">
      <c r="A910" t="s">
        <v>120</v>
      </c>
      <c r="B910" t="s">
        <v>23</v>
      </c>
      <c r="C910" t="s">
        <v>37</v>
      </c>
      <c r="D910" t="s">
        <v>19</v>
      </c>
      <c r="E910">
        <v>5</v>
      </c>
      <c r="F910">
        <v>156.30000000000001</v>
      </c>
      <c r="G910">
        <v>99.1</v>
      </c>
      <c r="H910">
        <v>5.5</v>
      </c>
      <c r="I910">
        <v>7</v>
      </c>
      <c r="J910">
        <v>7.06</v>
      </c>
      <c r="K910">
        <v>7.8</v>
      </c>
      <c r="L910">
        <v>1</v>
      </c>
      <c r="M910" t="s">
        <v>34</v>
      </c>
      <c r="N910" t="s">
        <v>21</v>
      </c>
      <c r="O910">
        <v>18.579999999999998</v>
      </c>
      <c r="P910" s="1">
        <v>45505</v>
      </c>
      <c r="Q910" t="str">
        <f t="shared" si="14"/>
        <v>High Performance</v>
      </c>
      <c r="R910" s="2">
        <f>Table1_1[[#This Row],[tasks_completed]]/Table1_1[[#This Row],[monthly_hours_worked]]</f>
        <v>4.4785668586052457E-2</v>
      </c>
    </row>
    <row r="911" spans="1:18" x14ac:dyDescent="0.3">
      <c r="A911" t="s">
        <v>120</v>
      </c>
      <c r="B911" t="s">
        <v>33</v>
      </c>
      <c r="C911" t="s">
        <v>18</v>
      </c>
      <c r="D911" t="s">
        <v>29</v>
      </c>
      <c r="E911">
        <v>4</v>
      </c>
      <c r="F911">
        <v>160</v>
      </c>
      <c r="G911">
        <v>95.2</v>
      </c>
      <c r="H911">
        <v>4</v>
      </c>
      <c r="I911">
        <v>4</v>
      </c>
      <c r="J911">
        <v>6.83</v>
      </c>
      <c r="K911">
        <v>5.25</v>
      </c>
      <c r="L911">
        <v>0</v>
      </c>
      <c r="M911" t="s">
        <v>20</v>
      </c>
      <c r="N911" t="s">
        <v>21</v>
      </c>
      <c r="O911">
        <v>17.11</v>
      </c>
      <c r="P911" s="1">
        <v>45536</v>
      </c>
      <c r="Q911" t="str">
        <f t="shared" si="14"/>
        <v>High Performance</v>
      </c>
      <c r="R911" s="2">
        <f>Table1_1[[#This Row],[tasks_completed]]/Table1_1[[#This Row],[monthly_hours_worked]]</f>
        <v>2.5000000000000001E-2</v>
      </c>
    </row>
    <row r="912" spans="1:18" x14ac:dyDescent="0.3">
      <c r="A912" t="s">
        <v>120</v>
      </c>
      <c r="B912" t="s">
        <v>33</v>
      </c>
      <c r="C912" t="s">
        <v>31</v>
      </c>
      <c r="D912" t="s">
        <v>39</v>
      </c>
      <c r="E912">
        <v>4</v>
      </c>
      <c r="F912">
        <v>157.19999999999999</v>
      </c>
      <c r="G912">
        <v>100</v>
      </c>
      <c r="H912">
        <v>6.3</v>
      </c>
      <c r="I912">
        <v>9</v>
      </c>
      <c r="J912">
        <v>8.56</v>
      </c>
      <c r="K912">
        <v>4.76</v>
      </c>
      <c r="L912">
        <v>0</v>
      </c>
      <c r="M912" t="s">
        <v>20</v>
      </c>
      <c r="N912" t="s">
        <v>35</v>
      </c>
      <c r="O912">
        <v>18.739999999999998</v>
      </c>
      <c r="P912" s="1">
        <v>45566</v>
      </c>
      <c r="Q912" t="str">
        <f t="shared" si="14"/>
        <v>High Performance</v>
      </c>
      <c r="R912" s="2">
        <f>Table1_1[[#This Row],[tasks_completed]]/Table1_1[[#This Row],[monthly_hours_worked]]</f>
        <v>5.725190839694657E-2</v>
      </c>
    </row>
    <row r="913" spans="1:18" x14ac:dyDescent="0.3">
      <c r="A913" t="s">
        <v>120</v>
      </c>
      <c r="B913" t="s">
        <v>27</v>
      </c>
      <c r="C913" t="s">
        <v>37</v>
      </c>
      <c r="D913" t="s">
        <v>39</v>
      </c>
      <c r="E913">
        <v>4</v>
      </c>
      <c r="F913">
        <v>152.9</v>
      </c>
      <c r="G913">
        <v>90.9</v>
      </c>
      <c r="H913">
        <v>5.3</v>
      </c>
      <c r="I913">
        <v>2</v>
      </c>
      <c r="J913">
        <v>10</v>
      </c>
      <c r="K913">
        <v>6.96</v>
      </c>
      <c r="L913">
        <v>1</v>
      </c>
      <c r="M913" t="s">
        <v>25</v>
      </c>
      <c r="N913" t="s">
        <v>35</v>
      </c>
      <c r="O913">
        <v>14.48</v>
      </c>
      <c r="P913" s="1">
        <v>45597</v>
      </c>
      <c r="Q913" t="str">
        <f t="shared" si="14"/>
        <v>Medium Performance</v>
      </c>
      <c r="R913" s="2">
        <f>Table1_1[[#This Row],[tasks_completed]]/Table1_1[[#This Row],[monthly_hours_worked]]</f>
        <v>1.3080444735120994E-2</v>
      </c>
    </row>
    <row r="914" spans="1:18" x14ac:dyDescent="0.3">
      <c r="A914" t="s">
        <v>121</v>
      </c>
      <c r="B914" t="s">
        <v>17</v>
      </c>
      <c r="C914" t="s">
        <v>41</v>
      </c>
      <c r="D914" t="s">
        <v>19</v>
      </c>
      <c r="E914">
        <v>1</v>
      </c>
      <c r="F914">
        <v>168.3</v>
      </c>
      <c r="G914">
        <v>97.7</v>
      </c>
      <c r="H914">
        <v>6.5</v>
      </c>
      <c r="I914">
        <v>5</v>
      </c>
      <c r="J914">
        <v>7.88</v>
      </c>
      <c r="K914">
        <v>4.74</v>
      </c>
      <c r="L914">
        <v>1</v>
      </c>
      <c r="M914" t="s">
        <v>34</v>
      </c>
      <c r="N914" t="s">
        <v>21</v>
      </c>
      <c r="O914">
        <v>8.77</v>
      </c>
      <c r="P914" s="1">
        <v>45292</v>
      </c>
      <c r="Q914" t="str">
        <f t="shared" si="14"/>
        <v>Low Performance</v>
      </c>
      <c r="R914" s="2">
        <f>Table1_1[[#This Row],[tasks_completed]]/Table1_1[[#This Row],[monthly_hours_worked]]</f>
        <v>2.9708853238265002E-2</v>
      </c>
    </row>
    <row r="915" spans="1:18" x14ac:dyDescent="0.3">
      <c r="A915" t="s">
        <v>121</v>
      </c>
      <c r="B915" t="s">
        <v>43</v>
      </c>
      <c r="C915" t="s">
        <v>24</v>
      </c>
      <c r="D915" t="s">
        <v>19</v>
      </c>
      <c r="E915">
        <v>10</v>
      </c>
      <c r="F915">
        <v>174.2</v>
      </c>
      <c r="G915">
        <v>88.5</v>
      </c>
      <c r="H915">
        <v>5.4</v>
      </c>
      <c r="I915">
        <v>6</v>
      </c>
      <c r="J915">
        <v>8.6</v>
      </c>
      <c r="K915">
        <v>7.84</v>
      </c>
      <c r="L915">
        <v>1</v>
      </c>
      <c r="M915" t="s">
        <v>25</v>
      </c>
      <c r="N915" t="s">
        <v>26</v>
      </c>
      <c r="O915">
        <v>8.48</v>
      </c>
      <c r="P915" s="1">
        <v>45292</v>
      </c>
      <c r="Q915" t="str">
        <f t="shared" si="14"/>
        <v>Low Performance</v>
      </c>
      <c r="R915" s="2">
        <f>Table1_1[[#This Row],[tasks_completed]]/Table1_1[[#This Row],[monthly_hours_worked]]</f>
        <v>3.4443168771526984E-2</v>
      </c>
    </row>
    <row r="916" spans="1:18" x14ac:dyDescent="0.3">
      <c r="A916" t="s">
        <v>121</v>
      </c>
      <c r="B916" t="s">
        <v>43</v>
      </c>
      <c r="C916" t="s">
        <v>41</v>
      </c>
      <c r="D916" t="s">
        <v>39</v>
      </c>
      <c r="E916">
        <v>5</v>
      </c>
      <c r="F916">
        <v>159.5</v>
      </c>
      <c r="G916">
        <v>91.3</v>
      </c>
      <c r="H916">
        <v>7.3</v>
      </c>
      <c r="I916">
        <v>5</v>
      </c>
      <c r="J916">
        <v>8.58</v>
      </c>
      <c r="K916">
        <v>6.9</v>
      </c>
      <c r="L916">
        <v>1</v>
      </c>
      <c r="M916" t="s">
        <v>20</v>
      </c>
      <c r="N916" t="s">
        <v>21</v>
      </c>
      <c r="O916">
        <v>10.99</v>
      </c>
      <c r="P916" s="1">
        <v>45352</v>
      </c>
      <c r="Q916" t="str">
        <f t="shared" si="14"/>
        <v>Medium Performance</v>
      </c>
      <c r="R916" s="2">
        <f>Table1_1[[#This Row],[tasks_completed]]/Table1_1[[#This Row],[monthly_hours_worked]]</f>
        <v>3.1347962382445138E-2</v>
      </c>
    </row>
    <row r="917" spans="1:18" x14ac:dyDescent="0.3">
      <c r="A917" t="s">
        <v>121</v>
      </c>
      <c r="B917" t="s">
        <v>23</v>
      </c>
      <c r="C917" t="s">
        <v>24</v>
      </c>
      <c r="D917" t="s">
        <v>29</v>
      </c>
      <c r="E917">
        <v>2</v>
      </c>
      <c r="F917">
        <v>156.80000000000001</v>
      </c>
      <c r="G917">
        <v>94.8</v>
      </c>
      <c r="H917">
        <v>4.3</v>
      </c>
      <c r="I917">
        <v>3</v>
      </c>
      <c r="J917">
        <v>7.15</v>
      </c>
      <c r="K917">
        <v>8.11</v>
      </c>
      <c r="L917">
        <v>0</v>
      </c>
      <c r="M917" t="s">
        <v>20</v>
      </c>
      <c r="N917" t="s">
        <v>35</v>
      </c>
      <c r="O917">
        <v>6.24</v>
      </c>
      <c r="P917" s="1">
        <v>45352</v>
      </c>
      <c r="Q917" t="str">
        <f t="shared" si="14"/>
        <v>Low Performance</v>
      </c>
      <c r="R917" s="2">
        <f>Table1_1[[#This Row],[tasks_completed]]/Table1_1[[#This Row],[monthly_hours_worked]]</f>
        <v>1.9132653061224487E-2</v>
      </c>
    </row>
    <row r="918" spans="1:18" x14ac:dyDescent="0.3">
      <c r="A918" t="s">
        <v>121</v>
      </c>
      <c r="B918" t="s">
        <v>27</v>
      </c>
      <c r="C918" t="s">
        <v>31</v>
      </c>
      <c r="D918" t="s">
        <v>29</v>
      </c>
      <c r="E918">
        <v>7</v>
      </c>
      <c r="F918">
        <v>152.6</v>
      </c>
      <c r="G918">
        <v>90.4</v>
      </c>
      <c r="H918">
        <v>7.1</v>
      </c>
      <c r="I918">
        <v>6</v>
      </c>
      <c r="K918">
        <v>3.74</v>
      </c>
      <c r="L918">
        <v>0</v>
      </c>
      <c r="M918" t="s">
        <v>20</v>
      </c>
      <c r="N918" t="s">
        <v>26</v>
      </c>
      <c r="O918">
        <v>19.440000000000001</v>
      </c>
      <c r="P918" s="1">
        <v>45383</v>
      </c>
      <c r="Q918" t="str">
        <f t="shared" si="14"/>
        <v>High Performance</v>
      </c>
      <c r="R918" s="2">
        <f>Table1_1[[#This Row],[tasks_completed]]/Table1_1[[#This Row],[monthly_hours_worked]]</f>
        <v>3.9318479685452164E-2</v>
      </c>
    </row>
    <row r="919" spans="1:18" x14ac:dyDescent="0.3">
      <c r="A919" t="s">
        <v>121</v>
      </c>
      <c r="B919" t="s">
        <v>23</v>
      </c>
      <c r="C919" t="s">
        <v>18</v>
      </c>
      <c r="D919" t="s">
        <v>39</v>
      </c>
      <c r="E919">
        <v>10</v>
      </c>
      <c r="F919">
        <v>175.5</v>
      </c>
      <c r="G919">
        <v>86.7</v>
      </c>
      <c r="H919">
        <v>1.1000000000000001</v>
      </c>
      <c r="I919">
        <v>4</v>
      </c>
      <c r="J919">
        <v>7.37</v>
      </c>
      <c r="K919">
        <v>7.51</v>
      </c>
      <c r="L919">
        <v>1</v>
      </c>
      <c r="M919" t="s">
        <v>20</v>
      </c>
      <c r="N919" t="s">
        <v>26</v>
      </c>
      <c r="O919">
        <v>5.74</v>
      </c>
      <c r="P919" s="1">
        <v>45413</v>
      </c>
      <c r="Q919" t="str">
        <f t="shared" si="14"/>
        <v>Low Performance</v>
      </c>
      <c r="R919" s="2">
        <f>Table1_1[[#This Row],[tasks_completed]]/Table1_1[[#This Row],[monthly_hours_worked]]</f>
        <v>2.2792022792022793E-2</v>
      </c>
    </row>
    <row r="920" spans="1:18" x14ac:dyDescent="0.3">
      <c r="A920" t="s">
        <v>121</v>
      </c>
      <c r="B920" t="s">
        <v>23</v>
      </c>
      <c r="C920" t="s">
        <v>37</v>
      </c>
      <c r="D920" t="s">
        <v>19</v>
      </c>
      <c r="E920">
        <v>3</v>
      </c>
      <c r="F920">
        <v>149.19999999999999</v>
      </c>
      <c r="G920">
        <v>95.4</v>
      </c>
      <c r="H920">
        <v>10.3</v>
      </c>
      <c r="I920">
        <v>4</v>
      </c>
      <c r="J920">
        <v>5.78</v>
      </c>
      <c r="K920">
        <v>6.7</v>
      </c>
      <c r="L920">
        <v>1</v>
      </c>
      <c r="M920" t="s">
        <v>25</v>
      </c>
      <c r="N920" t="s">
        <v>21</v>
      </c>
      <c r="O920">
        <v>17.21</v>
      </c>
      <c r="P920" s="1">
        <v>45444</v>
      </c>
      <c r="Q920" t="str">
        <f t="shared" si="14"/>
        <v>High Performance</v>
      </c>
      <c r="R920" s="2">
        <f>Table1_1[[#This Row],[tasks_completed]]/Table1_1[[#This Row],[monthly_hours_worked]]</f>
        <v>2.6809651474530832E-2</v>
      </c>
    </row>
    <row r="921" spans="1:18" x14ac:dyDescent="0.3">
      <c r="A921" t="s">
        <v>121</v>
      </c>
      <c r="B921" t="s">
        <v>43</v>
      </c>
      <c r="C921" t="s">
        <v>37</v>
      </c>
      <c r="D921" t="s">
        <v>29</v>
      </c>
      <c r="E921">
        <v>10</v>
      </c>
      <c r="F921">
        <v>161.30000000000001</v>
      </c>
      <c r="G921">
        <v>91.9</v>
      </c>
      <c r="H921">
        <v>4</v>
      </c>
      <c r="I921">
        <v>7</v>
      </c>
      <c r="J921">
        <v>7.61</v>
      </c>
      <c r="K921">
        <v>6.25</v>
      </c>
      <c r="L921">
        <v>0</v>
      </c>
      <c r="M921" t="s">
        <v>25</v>
      </c>
      <c r="N921" t="s">
        <v>26</v>
      </c>
      <c r="O921">
        <v>14.88</v>
      </c>
      <c r="P921" s="1">
        <v>45474</v>
      </c>
      <c r="Q921" t="str">
        <f t="shared" si="14"/>
        <v>Medium Performance</v>
      </c>
      <c r="R921" s="2">
        <f>Table1_1[[#This Row],[tasks_completed]]/Table1_1[[#This Row],[monthly_hours_worked]]</f>
        <v>4.3397396156230623E-2</v>
      </c>
    </row>
    <row r="922" spans="1:18" x14ac:dyDescent="0.3">
      <c r="A922" t="s">
        <v>121</v>
      </c>
      <c r="B922" t="s">
        <v>23</v>
      </c>
      <c r="C922" t="s">
        <v>31</v>
      </c>
      <c r="D922" t="s">
        <v>29</v>
      </c>
      <c r="E922">
        <v>10</v>
      </c>
      <c r="F922">
        <v>149.5</v>
      </c>
      <c r="G922">
        <v>98.6</v>
      </c>
      <c r="H922">
        <v>3.6</v>
      </c>
      <c r="I922">
        <v>10</v>
      </c>
      <c r="J922">
        <v>7.19</v>
      </c>
      <c r="K922">
        <v>5.26</v>
      </c>
      <c r="L922">
        <v>0</v>
      </c>
      <c r="M922" t="s">
        <v>25</v>
      </c>
      <c r="N922" t="s">
        <v>26</v>
      </c>
      <c r="O922">
        <v>20.59</v>
      </c>
      <c r="P922" s="1">
        <v>45505</v>
      </c>
      <c r="Q922" t="str">
        <f t="shared" si="14"/>
        <v>High Performance</v>
      </c>
      <c r="R922" s="2">
        <f>Table1_1[[#This Row],[tasks_completed]]/Table1_1[[#This Row],[monthly_hours_worked]]</f>
        <v>6.6889632107023408E-2</v>
      </c>
    </row>
    <row r="923" spans="1:18" x14ac:dyDescent="0.3">
      <c r="A923" t="s">
        <v>121</v>
      </c>
      <c r="B923" t="s">
        <v>43</v>
      </c>
      <c r="C923" t="s">
        <v>31</v>
      </c>
      <c r="D923" t="s">
        <v>39</v>
      </c>
      <c r="E923">
        <v>3</v>
      </c>
      <c r="F923">
        <v>163.5</v>
      </c>
      <c r="G923">
        <v>88.4</v>
      </c>
      <c r="I923">
        <v>6</v>
      </c>
      <c r="J923">
        <v>8.2200000000000006</v>
      </c>
      <c r="K923">
        <v>5.35</v>
      </c>
      <c r="L923">
        <v>0</v>
      </c>
      <c r="M923" t="s">
        <v>20</v>
      </c>
      <c r="N923" t="s">
        <v>35</v>
      </c>
      <c r="O923">
        <v>12.85</v>
      </c>
      <c r="P923" s="1">
        <v>45536</v>
      </c>
      <c r="Q923" t="str">
        <f t="shared" si="14"/>
        <v>Medium Performance</v>
      </c>
      <c r="R923" s="2">
        <f>Table1_1[[#This Row],[tasks_completed]]/Table1_1[[#This Row],[monthly_hours_worked]]</f>
        <v>3.669724770642202E-2</v>
      </c>
    </row>
    <row r="924" spans="1:18" x14ac:dyDescent="0.3">
      <c r="A924" t="s">
        <v>121</v>
      </c>
      <c r="B924" t="s">
        <v>43</v>
      </c>
      <c r="C924" t="s">
        <v>18</v>
      </c>
      <c r="D924" t="s">
        <v>29</v>
      </c>
      <c r="E924">
        <v>3</v>
      </c>
      <c r="F924">
        <v>142.19999999999999</v>
      </c>
      <c r="G924">
        <v>95.9</v>
      </c>
      <c r="H924">
        <v>5.9</v>
      </c>
      <c r="I924">
        <v>4</v>
      </c>
      <c r="J924">
        <v>6.63</v>
      </c>
      <c r="K924">
        <v>8.02</v>
      </c>
      <c r="L924">
        <v>1</v>
      </c>
      <c r="M924" t="s">
        <v>34</v>
      </c>
      <c r="N924" t="s">
        <v>21</v>
      </c>
      <c r="O924">
        <v>16.22</v>
      </c>
      <c r="P924" s="1">
        <v>45566</v>
      </c>
      <c r="Q924" t="str">
        <f t="shared" si="14"/>
        <v>High Performance</v>
      </c>
      <c r="R924" s="2">
        <f>Table1_1[[#This Row],[tasks_completed]]/Table1_1[[#This Row],[monthly_hours_worked]]</f>
        <v>2.8129395218002815E-2</v>
      </c>
    </row>
    <row r="925" spans="1:18" x14ac:dyDescent="0.3">
      <c r="A925" t="s">
        <v>121</v>
      </c>
      <c r="B925" t="s">
        <v>33</v>
      </c>
      <c r="C925" t="s">
        <v>18</v>
      </c>
      <c r="D925" t="s">
        <v>39</v>
      </c>
      <c r="E925">
        <v>8</v>
      </c>
      <c r="F925">
        <v>181.3</v>
      </c>
      <c r="G925">
        <v>98.3</v>
      </c>
      <c r="H925">
        <v>0</v>
      </c>
      <c r="I925">
        <v>6</v>
      </c>
      <c r="J925">
        <v>8.82</v>
      </c>
      <c r="K925">
        <v>7.15</v>
      </c>
      <c r="L925">
        <v>1</v>
      </c>
      <c r="M925" t="s">
        <v>34</v>
      </c>
      <c r="N925" t="s">
        <v>21</v>
      </c>
      <c r="O925">
        <v>18.28</v>
      </c>
      <c r="P925" s="1">
        <v>45597</v>
      </c>
      <c r="Q925" t="str">
        <f t="shared" si="14"/>
        <v>High Performance</v>
      </c>
      <c r="R925" s="2">
        <f>Table1_1[[#This Row],[tasks_completed]]/Table1_1[[#This Row],[monthly_hours_worked]]</f>
        <v>3.3094318808604521E-2</v>
      </c>
    </row>
    <row r="926" spans="1:18" x14ac:dyDescent="0.3">
      <c r="A926" t="s">
        <v>122</v>
      </c>
      <c r="B926" t="s">
        <v>17</v>
      </c>
      <c r="C926" t="s">
        <v>18</v>
      </c>
      <c r="D926" t="s">
        <v>19</v>
      </c>
      <c r="E926">
        <v>10</v>
      </c>
      <c r="F926">
        <v>185.5</v>
      </c>
      <c r="G926">
        <v>100</v>
      </c>
      <c r="H926">
        <v>4</v>
      </c>
      <c r="I926">
        <v>5</v>
      </c>
      <c r="J926">
        <v>5.32</v>
      </c>
      <c r="K926">
        <v>6.19</v>
      </c>
      <c r="L926">
        <v>1</v>
      </c>
      <c r="M926" t="s">
        <v>34</v>
      </c>
      <c r="N926" t="s">
        <v>21</v>
      </c>
      <c r="O926">
        <v>8.89</v>
      </c>
      <c r="P926" s="1">
        <v>45292</v>
      </c>
      <c r="Q926" t="str">
        <f t="shared" si="14"/>
        <v>Low Performance</v>
      </c>
      <c r="R926" s="2">
        <f>Table1_1[[#This Row],[tasks_completed]]/Table1_1[[#This Row],[monthly_hours_worked]]</f>
        <v>2.6954177897574125E-2</v>
      </c>
    </row>
    <row r="927" spans="1:18" x14ac:dyDescent="0.3">
      <c r="A927" t="s">
        <v>122</v>
      </c>
      <c r="B927" t="s">
        <v>23</v>
      </c>
      <c r="C927" t="s">
        <v>37</v>
      </c>
      <c r="D927" t="s">
        <v>39</v>
      </c>
      <c r="E927">
        <v>3</v>
      </c>
      <c r="F927">
        <v>168.4</v>
      </c>
      <c r="G927">
        <v>82.2</v>
      </c>
      <c r="H927">
        <v>0.7</v>
      </c>
      <c r="I927">
        <v>15</v>
      </c>
      <c r="J927">
        <v>9.0399999999999991</v>
      </c>
      <c r="K927">
        <v>6.11</v>
      </c>
      <c r="L927">
        <v>0</v>
      </c>
      <c r="M927" t="s">
        <v>25</v>
      </c>
      <c r="N927" t="s">
        <v>21</v>
      </c>
      <c r="O927">
        <v>9.23</v>
      </c>
      <c r="P927" s="1">
        <v>45292</v>
      </c>
      <c r="Q927" t="str">
        <f t="shared" si="14"/>
        <v>Low Performance</v>
      </c>
      <c r="R927" s="2">
        <f>Table1_1[[#This Row],[tasks_completed]]/Table1_1[[#This Row],[monthly_hours_worked]]</f>
        <v>8.9073634204275526E-2</v>
      </c>
    </row>
    <row r="928" spans="1:18" x14ac:dyDescent="0.3">
      <c r="A928" t="s">
        <v>122</v>
      </c>
      <c r="B928" t="s">
        <v>43</v>
      </c>
      <c r="C928" t="s">
        <v>41</v>
      </c>
      <c r="D928" t="s">
        <v>19</v>
      </c>
      <c r="E928">
        <v>1</v>
      </c>
      <c r="F928">
        <v>164</v>
      </c>
      <c r="G928">
        <v>95.5</v>
      </c>
      <c r="H928">
        <v>2.7</v>
      </c>
      <c r="I928">
        <v>8</v>
      </c>
      <c r="J928">
        <v>9.6199999999999992</v>
      </c>
      <c r="K928">
        <v>7.3</v>
      </c>
      <c r="L928">
        <v>1</v>
      </c>
      <c r="M928" t="s">
        <v>20</v>
      </c>
      <c r="N928" t="s">
        <v>21</v>
      </c>
      <c r="O928">
        <v>12.66</v>
      </c>
      <c r="P928" s="1">
        <v>45352</v>
      </c>
      <c r="Q928" t="str">
        <f t="shared" si="14"/>
        <v>Medium Performance</v>
      </c>
      <c r="R928" s="2">
        <f>Table1_1[[#This Row],[tasks_completed]]/Table1_1[[#This Row],[monthly_hours_worked]]</f>
        <v>4.878048780487805E-2</v>
      </c>
    </row>
    <row r="929" spans="1:18" x14ac:dyDescent="0.3">
      <c r="A929" t="s">
        <v>122</v>
      </c>
      <c r="B929" t="s">
        <v>17</v>
      </c>
      <c r="C929" t="s">
        <v>18</v>
      </c>
      <c r="D929" t="s">
        <v>39</v>
      </c>
      <c r="E929">
        <v>6</v>
      </c>
      <c r="F929">
        <v>173.1</v>
      </c>
      <c r="G929">
        <v>91.4</v>
      </c>
      <c r="H929">
        <v>4.5</v>
      </c>
      <c r="I929">
        <v>14</v>
      </c>
      <c r="J929">
        <v>4</v>
      </c>
      <c r="K929">
        <v>8.0299999999999994</v>
      </c>
      <c r="L929">
        <v>1</v>
      </c>
      <c r="M929" t="s">
        <v>20</v>
      </c>
      <c r="N929" t="s">
        <v>35</v>
      </c>
      <c r="O929">
        <v>18.84</v>
      </c>
      <c r="P929" s="1">
        <v>45352</v>
      </c>
      <c r="Q929" t="str">
        <f t="shared" si="14"/>
        <v>High Performance</v>
      </c>
      <c r="R929" s="2">
        <f>Table1_1[[#This Row],[tasks_completed]]/Table1_1[[#This Row],[monthly_hours_worked]]</f>
        <v>8.0878105141536691E-2</v>
      </c>
    </row>
    <row r="930" spans="1:18" x14ac:dyDescent="0.3">
      <c r="A930" t="s">
        <v>122</v>
      </c>
      <c r="B930" t="s">
        <v>27</v>
      </c>
      <c r="C930" t="s">
        <v>41</v>
      </c>
      <c r="D930" t="s">
        <v>19</v>
      </c>
      <c r="E930">
        <v>4</v>
      </c>
      <c r="F930">
        <v>155.9</v>
      </c>
      <c r="G930">
        <v>95.9</v>
      </c>
      <c r="I930">
        <v>8</v>
      </c>
      <c r="J930">
        <v>7.96</v>
      </c>
      <c r="K930">
        <v>4.53</v>
      </c>
      <c r="L930">
        <v>0</v>
      </c>
      <c r="M930" t="s">
        <v>20</v>
      </c>
      <c r="N930" t="s">
        <v>35</v>
      </c>
      <c r="O930">
        <v>7.54</v>
      </c>
      <c r="P930" s="1">
        <v>45383</v>
      </c>
      <c r="Q930" t="str">
        <f t="shared" si="14"/>
        <v>Low Performance</v>
      </c>
      <c r="R930" s="2">
        <f>Table1_1[[#This Row],[tasks_completed]]/Table1_1[[#This Row],[monthly_hours_worked]]</f>
        <v>5.1314945477870424E-2</v>
      </c>
    </row>
    <row r="931" spans="1:18" x14ac:dyDescent="0.3">
      <c r="A931" t="s">
        <v>122</v>
      </c>
      <c r="B931" t="s">
        <v>23</v>
      </c>
      <c r="C931" t="s">
        <v>37</v>
      </c>
      <c r="D931" t="s">
        <v>39</v>
      </c>
      <c r="E931">
        <v>3</v>
      </c>
      <c r="F931">
        <v>163.5</v>
      </c>
      <c r="G931">
        <v>93.3</v>
      </c>
      <c r="H931">
        <v>6</v>
      </c>
      <c r="I931">
        <v>6</v>
      </c>
      <c r="J931">
        <v>9.7200000000000006</v>
      </c>
      <c r="K931">
        <v>5.6</v>
      </c>
      <c r="L931">
        <v>1</v>
      </c>
      <c r="M931" t="s">
        <v>20</v>
      </c>
      <c r="N931" t="s">
        <v>21</v>
      </c>
      <c r="O931">
        <v>13.49</v>
      </c>
      <c r="P931" s="1">
        <v>45413</v>
      </c>
      <c r="Q931" t="str">
        <f t="shared" si="14"/>
        <v>Medium Performance</v>
      </c>
      <c r="R931" s="2">
        <f>Table1_1[[#This Row],[tasks_completed]]/Table1_1[[#This Row],[monthly_hours_worked]]</f>
        <v>3.669724770642202E-2</v>
      </c>
    </row>
    <row r="932" spans="1:18" x14ac:dyDescent="0.3">
      <c r="A932" t="s">
        <v>122</v>
      </c>
      <c r="B932" t="s">
        <v>23</v>
      </c>
      <c r="C932" t="s">
        <v>31</v>
      </c>
      <c r="D932" t="s">
        <v>29</v>
      </c>
      <c r="E932">
        <v>1</v>
      </c>
      <c r="F932">
        <v>159.30000000000001</v>
      </c>
      <c r="G932">
        <v>99.3</v>
      </c>
      <c r="H932">
        <v>7.3</v>
      </c>
      <c r="I932">
        <v>3</v>
      </c>
      <c r="J932">
        <v>6.39</v>
      </c>
      <c r="K932">
        <v>6.67</v>
      </c>
      <c r="L932">
        <v>0</v>
      </c>
      <c r="M932" t="s">
        <v>25</v>
      </c>
      <c r="N932" t="s">
        <v>21</v>
      </c>
      <c r="O932">
        <v>12.98</v>
      </c>
      <c r="P932" s="1">
        <v>45444</v>
      </c>
      <c r="Q932" t="str">
        <f t="shared" si="14"/>
        <v>Medium Performance</v>
      </c>
      <c r="R932" s="2">
        <f>Table1_1[[#This Row],[tasks_completed]]/Table1_1[[#This Row],[monthly_hours_worked]]</f>
        <v>1.8832391713747645E-2</v>
      </c>
    </row>
    <row r="933" spans="1:18" x14ac:dyDescent="0.3">
      <c r="A933" t="s">
        <v>122</v>
      </c>
      <c r="B933" t="s">
        <v>23</v>
      </c>
      <c r="C933" t="s">
        <v>24</v>
      </c>
      <c r="D933" t="s">
        <v>19</v>
      </c>
      <c r="E933">
        <v>10</v>
      </c>
      <c r="F933">
        <v>167.9</v>
      </c>
      <c r="G933">
        <v>97.6</v>
      </c>
      <c r="H933">
        <v>7.5</v>
      </c>
      <c r="I933">
        <v>2</v>
      </c>
      <c r="J933">
        <v>4.47</v>
      </c>
      <c r="K933">
        <v>10</v>
      </c>
      <c r="L933">
        <v>1</v>
      </c>
      <c r="M933" t="s">
        <v>25</v>
      </c>
      <c r="N933" t="s">
        <v>26</v>
      </c>
      <c r="O933">
        <v>12.7</v>
      </c>
      <c r="P933" s="1">
        <v>45474</v>
      </c>
      <c r="Q933" t="str">
        <f t="shared" si="14"/>
        <v>Medium Performance</v>
      </c>
      <c r="R933" s="2">
        <f>Table1_1[[#This Row],[tasks_completed]]/Table1_1[[#This Row],[monthly_hours_worked]]</f>
        <v>1.1911852293031567E-2</v>
      </c>
    </row>
    <row r="934" spans="1:18" x14ac:dyDescent="0.3">
      <c r="A934" t="s">
        <v>122</v>
      </c>
      <c r="B934" t="s">
        <v>27</v>
      </c>
      <c r="C934" t="s">
        <v>24</v>
      </c>
      <c r="D934" t="s">
        <v>29</v>
      </c>
      <c r="E934">
        <v>6</v>
      </c>
      <c r="F934">
        <v>145.19999999999999</v>
      </c>
      <c r="G934">
        <v>95.8</v>
      </c>
      <c r="H934">
        <v>5.5</v>
      </c>
      <c r="I934">
        <v>10</v>
      </c>
      <c r="J934">
        <v>10</v>
      </c>
      <c r="K934">
        <v>9.92</v>
      </c>
      <c r="L934">
        <v>0</v>
      </c>
      <c r="M934" t="s">
        <v>20</v>
      </c>
      <c r="N934" t="s">
        <v>26</v>
      </c>
      <c r="O934">
        <v>14.75</v>
      </c>
      <c r="P934" s="1">
        <v>45505</v>
      </c>
      <c r="Q934" t="str">
        <f t="shared" si="14"/>
        <v>Medium Performance</v>
      </c>
      <c r="R934" s="2">
        <f>Table1_1[[#This Row],[tasks_completed]]/Table1_1[[#This Row],[monthly_hours_worked]]</f>
        <v>6.8870523415977963E-2</v>
      </c>
    </row>
    <row r="935" spans="1:18" x14ac:dyDescent="0.3">
      <c r="A935" t="s">
        <v>122</v>
      </c>
      <c r="B935" t="s">
        <v>17</v>
      </c>
      <c r="C935" t="s">
        <v>31</v>
      </c>
      <c r="D935" t="s">
        <v>19</v>
      </c>
      <c r="E935">
        <v>5</v>
      </c>
      <c r="F935">
        <v>161.1</v>
      </c>
      <c r="G935">
        <v>93.4</v>
      </c>
      <c r="H935">
        <v>6</v>
      </c>
      <c r="I935">
        <v>4</v>
      </c>
      <c r="J935">
        <v>8.65</v>
      </c>
      <c r="K935">
        <v>4.6100000000000003</v>
      </c>
      <c r="L935">
        <v>0</v>
      </c>
      <c r="M935" t="s">
        <v>20</v>
      </c>
      <c r="N935" t="s">
        <v>26</v>
      </c>
      <c r="O935">
        <v>16.43</v>
      </c>
      <c r="P935" s="1">
        <v>45536</v>
      </c>
      <c r="Q935" t="str">
        <f t="shared" si="14"/>
        <v>High Performance</v>
      </c>
      <c r="R935" s="2">
        <f>Table1_1[[#This Row],[tasks_completed]]/Table1_1[[#This Row],[monthly_hours_worked]]</f>
        <v>2.4829298572315334E-2</v>
      </c>
    </row>
    <row r="936" spans="1:18" x14ac:dyDescent="0.3">
      <c r="A936" t="s">
        <v>122</v>
      </c>
      <c r="B936" t="s">
        <v>27</v>
      </c>
      <c r="C936" t="s">
        <v>18</v>
      </c>
      <c r="D936" t="s">
        <v>19</v>
      </c>
      <c r="E936">
        <v>8</v>
      </c>
      <c r="F936">
        <v>174.5</v>
      </c>
      <c r="G936">
        <v>88.1</v>
      </c>
      <c r="H936">
        <v>1</v>
      </c>
      <c r="I936">
        <v>4</v>
      </c>
      <c r="J936">
        <v>7.87</v>
      </c>
      <c r="K936">
        <v>6.87</v>
      </c>
      <c r="L936">
        <v>0</v>
      </c>
      <c r="M936" t="s">
        <v>25</v>
      </c>
      <c r="N936" t="s">
        <v>26</v>
      </c>
      <c r="O936">
        <v>19.79</v>
      </c>
      <c r="P936" s="1">
        <v>45566</v>
      </c>
      <c r="Q936" t="str">
        <f t="shared" si="14"/>
        <v>High Performance</v>
      </c>
      <c r="R936" s="2">
        <f>Table1_1[[#This Row],[tasks_completed]]/Table1_1[[#This Row],[monthly_hours_worked]]</f>
        <v>2.2922636103151862E-2</v>
      </c>
    </row>
    <row r="937" spans="1:18" x14ac:dyDescent="0.3">
      <c r="A937" t="s">
        <v>122</v>
      </c>
      <c r="B937" t="s">
        <v>17</v>
      </c>
      <c r="C937" t="s">
        <v>18</v>
      </c>
      <c r="D937" t="s">
        <v>29</v>
      </c>
      <c r="E937">
        <v>3</v>
      </c>
      <c r="F937">
        <v>162.1</v>
      </c>
      <c r="G937">
        <v>94</v>
      </c>
      <c r="H937">
        <v>6.7</v>
      </c>
      <c r="I937">
        <v>7</v>
      </c>
      <c r="J937">
        <v>6.15</v>
      </c>
      <c r="K937">
        <v>5.75</v>
      </c>
      <c r="L937">
        <v>0</v>
      </c>
      <c r="M937" t="s">
        <v>34</v>
      </c>
      <c r="N937" t="s">
        <v>21</v>
      </c>
      <c r="O937">
        <v>15.67</v>
      </c>
      <c r="P937" s="1">
        <v>45597</v>
      </c>
      <c r="Q937" t="str">
        <f t="shared" si="14"/>
        <v>High Performance</v>
      </c>
      <c r="R937" s="2">
        <f>Table1_1[[#This Row],[tasks_completed]]/Table1_1[[#This Row],[monthly_hours_worked]]</f>
        <v>4.3183220234423197E-2</v>
      </c>
    </row>
    <row r="938" spans="1:18" x14ac:dyDescent="0.3">
      <c r="A938" t="s">
        <v>123</v>
      </c>
      <c r="B938" t="s">
        <v>43</v>
      </c>
      <c r="C938" t="s">
        <v>31</v>
      </c>
      <c r="D938" t="s">
        <v>39</v>
      </c>
      <c r="E938">
        <v>9</v>
      </c>
      <c r="F938">
        <v>156.4</v>
      </c>
      <c r="G938">
        <v>90.6</v>
      </c>
      <c r="H938">
        <v>6.1</v>
      </c>
      <c r="I938">
        <v>4</v>
      </c>
      <c r="J938">
        <v>9.36</v>
      </c>
      <c r="K938">
        <v>8.2899999999999991</v>
      </c>
      <c r="L938">
        <v>0</v>
      </c>
      <c r="M938" t="s">
        <v>25</v>
      </c>
      <c r="N938" t="s">
        <v>26</v>
      </c>
      <c r="O938">
        <v>14.84</v>
      </c>
      <c r="P938" s="1">
        <v>45292</v>
      </c>
      <c r="Q938" t="str">
        <f t="shared" si="14"/>
        <v>Medium Performance</v>
      </c>
      <c r="R938" s="2">
        <f>Table1_1[[#This Row],[tasks_completed]]/Table1_1[[#This Row],[monthly_hours_worked]]</f>
        <v>2.557544757033248E-2</v>
      </c>
    </row>
    <row r="939" spans="1:18" x14ac:dyDescent="0.3">
      <c r="A939" t="s">
        <v>123</v>
      </c>
      <c r="B939" t="s">
        <v>33</v>
      </c>
      <c r="C939" t="s">
        <v>31</v>
      </c>
      <c r="D939" t="s">
        <v>19</v>
      </c>
      <c r="E939">
        <v>1</v>
      </c>
      <c r="F939">
        <v>160.6</v>
      </c>
      <c r="G939">
        <v>96.5</v>
      </c>
      <c r="H939">
        <v>4.2</v>
      </c>
      <c r="I939">
        <v>2</v>
      </c>
      <c r="J939">
        <v>10</v>
      </c>
      <c r="K939">
        <v>6.85</v>
      </c>
      <c r="L939">
        <v>0</v>
      </c>
      <c r="M939" t="s">
        <v>25</v>
      </c>
      <c r="N939" t="s">
        <v>21</v>
      </c>
      <c r="O939">
        <v>13.45</v>
      </c>
      <c r="P939" s="1">
        <v>45292</v>
      </c>
      <c r="Q939" t="str">
        <f t="shared" si="14"/>
        <v>Medium Performance</v>
      </c>
      <c r="R939" s="2">
        <f>Table1_1[[#This Row],[tasks_completed]]/Table1_1[[#This Row],[monthly_hours_worked]]</f>
        <v>1.2453300124533002E-2</v>
      </c>
    </row>
    <row r="940" spans="1:18" x14ac:dyDescent="0.3">
      <c r="A940" t="s">
        <v>123</v>
      </c>
      <c r="B940" t="s">
        <v>17</v>
      </c>
      <c r="C940" t="s">
        <v>37</v>
      </c>
      <c r="D940" t="s">
        <v>39</v>
      </c>
      <c r="E940">
        <v>4</v>
      </c>
      <c r="F940">
        <v>162.5</v>
      </c>
      <c r="G940">
        <v>94.5</v>
      </c>
      <c r="H940">
        <v>10.5</v>
      </c>
      <c r="I940">
        <v>4</v>
      </c>
      <c r="J940">
        <v>7.09</v>
      </c>
      <c r="K940">
        <v>7.46</v>
      </c>
      <c r="L940">
        <v>1</v>
      </c>
      <c r="M940" t="s">
        <v>34</v>
      </c>
      <c r="N940" t="s">
        <v>21</v>
      </c>
      <c r="O940">
        <v>16.07</v>
      </c>
      <c r="P940" s="1">
        <v>45352</v>
      </c>
      <c r="Q940" t="str">
        <f t="shared" si="14"/>
        <v>High Performance</v>
      </c>
      <c r="R940" s="2">
        <f>Table1_1[[#This Row],[tasks_completed]]/Table1_1[[#This Row],[monthly_hours_worked]]</f>
        <v>2.4615384615384615E-2</v>
      </c>
    </row>
    <row r="941" spans="1:18" x14ac:dyDescent="0.3">
      <c r="A941" t="s">
        <v>123</v>
      </c>
      <c r="B941" t="s">
        <v>27</v>
      </c>
      <c r="C941" t="s">
        <v>37</v>
      </c>
      <c r="D941" t="s">
        <v>19</v>
      </c>
      <c r="E941">
        <v>8</v>
      </c>
      <c r="F941">
        <v>145.69999999999999</v>
      </c>
      <c r="G941">
        <v>90.5</v>
      </c>
      <c r="H941">
        <v>5.9</v>
      </c>
      <c r="I941">
        <v>7</v>
      </c>
      <c r="J941">
        <v>9.11</v>
      </c>
      <c r="K941">
        <v>5.3</v>
      </c>
      <c r="L941">
        <v>1</v>
      </c>
      <c r="M941" t="s">
        <v>34</v>
      </c>
      <c r="N941" t="s">
        <v>26</v>
      </c>
      <c r="O941">
        <v>13.69</v>
      </c>
      <c r="P941" s="1">
        <v>45352</v>
      </c>
      <c r="Q941" t="str">
        <f t="shared" si="14"/>
        <v>Medium Performance</v>
      </c>
      <c r="R941" s="2">
        <f>Table1_1[[#This Row],[tasks_completed]]/Table1_1[[#This Row],[monthly_hours_worked]]</f>
        <v>4.8043925875085797E-2</v>
      </c>
    </row>
    <row r="942" spans="1:18" x14ac:dyDescent="0.3">
      <c r="A942" t="s">
        <v>123</v>
      </c>
      <c r="B942" t="s">
        <v>23</v>
      </c>
      <c r="C942" t="s">
        <v>31</v>
      </c>
      <c r="D942" t="s">
        <v>29</v>
      </c>
      <c r="E942">
        <v>9</v>
      </c>
      <c r="F942">
        <v>151.1</v>
      </c>
      <c r="G942">
        <v>94.9</v>
      </c>
      <c r="H942">
        <v>3.4</v>
      </c>
      <c r="I942">
        <v>1</v>
      </c>
      <c r="J942">
        <v>7.17</v>
      </c>
      <c r="K942">
        <v>5.93</v>
      </c>
      <c r="L942">
        <v>0</v>
      </c>
      <c r="M942" t="s">
        <v>34</v>
      </c>
      <c r="N942" t="s">
        <v>26</v>
      </c>
      <c r="O942">
        <v>7.4</v>
      </c>
      <c r="P942" s="1">
        <v>45383</v>
      </c>
      <c r="Q942" t="str">
        <f t="shared" si="14"/>
        <v>Low Performance</v>
      </c>
      <c r="R942" s="2">
        <f>Table1_1[[#This Row],[tasks_completed]]/Table1_1[[#This Row],[monthly_hours_worked]]</f>
        <v>6.6181336863004635E-3</v>
      </c>
    </row>
    <row r="943" spans="1:18" x14ac:dyDescent="0.3">
      <c r="A943" t="s">
        <v>123</v>
      </c>
      <c r="B943" t="s">
        <v>27</v>
      </c>
      <c r="C943" t="s">
        <v>18</v>
      </c>
      <c r="D943" t="s">
        <v>39</v>
      </c>
      <c r="E943">
        <v>8</v>
      </c>
      <c r="F943">
        <v>159.9</v>
      </c>
      <c r="G943">
        <v>100</v>
      </c>
      <c r="H943">
        <v>5.5</v>
      </c>
      <c r="I943">
        <v>4</v>
      </c>
      <c r="J943">
        <v>5.48</v>
      </c>
      <c r="K943">
        <v>7.1</v>
      </c>
      <c r="L943">
        <v>0</v>
      </c>
      <c r="M943" t="s">
        <v>25</v>
      </c>
      <c r="N943" t="s">
        <v>21</v>
      </c>
      <c r="O943">
        <v>14.27</v>
      </c>
      <c r="P943" s="1">
        <v>45413</v>
      </c>
      <c r="Q943" t="str">
        <f t="shared" si="14"/>
        <v>Medium Performance</v>
      </c>
      <c r="R943" s="2">
        <f>Table1_1[[#This Row],[tasks_completed]]/Table1_1[[#This Row],[monthly_hours_worked]]</f>
        <v>2.5015634771732333E-2</v>
      </c>
    </row>
    <row r="944" spans="1:18" x14ac:dyDescent="0.3">
      <c r="A944" t="s">
        <v>123</v>
      </c>
      <c r="B944" t="s">
        <v>43</v>
      </c>
      <c r="C944" t="s">
        <v>24</v>
      </c>
      <c r="D944" t="s">
        <v>19</v>
      </c>
      <c r="E944">
        <v>10</v>
      </c>
      <c r="F944">
        <v>174.1</v>
      </c>
      <c r="G944">
        <v>88.5</v>
      </c>
      <c r="H944">
        <v>5.7</v>
      </c>
      <c r="I944">
        <v>5</v>
      </c>
      <c r="J944">
        <v>5.23</v>
      </c>
      <c r="K944">
        <v>7.57</v>
      </c>
      <c r="L944">
        <v>0</v>
      </c>
      <c r="M944" t="s">
        <v>25</v>
      </c>
      <c r="N944" t="s">
        <v>35</v>
      </c>
      <c r="O944">
        <v>22.5</v>
      </c>
      <c r="P944" s="1">
        <v>45444</v>
      </c>
      <c r="Q944" t="str">
        <f t="shared" si="14"/>
        <v>High Performance</v>
      </c>
      <c r="R944" s="2">
        <f>Table1_1[[#This Row],[tasks_completed]]/Table1_1[[#This Row],[monthly_hours_worked]]</f>
        <v>2.8719126938541069E-2</v>
      </c>
    </row>
    <row r="945" spans="1:18" x14ac:dyDescent="0.3">
      <c r="A945" t="s">
        <v>123</v>
      </c>
      <c r="B945" t="s">
        <v>27</v>
      </c>
      <c r="C945" t="s">
        <v>24</v>
      </c>
      <c r="D945" t="s">
        <v>39</v>
      </c>
      <c r="E945">
        <v>4</v>
      </c>
      <c r="F945">
        <v>165.8</v>
      </c>
      <c r="G945">
        <v>99.4</v>
      </c>
      <c r="H945">
        <v>3.7</v>
      </c>
      <c r="I945">
        <v>8</v>
      </c>
      <c r="J945">
        <v>8.5500000000000007</v>
      </c>
      <c r="K945">
        <v>7.32</v>
      </c>
      <c r="L945">
        <v>1</v>
      </c>
      <c r="M945" t="s">
        <v>34</v>
      </c>
      <c r="N945" t="s">
        <v>35</v>
      </c>
      <c r="O945">
        <v>8.6</v>
      </c>
      <c r="P945" s="1">
        <v>45474</v>
      </c>
      <c r="Q945" t="str">
        <f t="shared" si="14"/>
        <v>Low Performance</v>
      </c>
      <c r="R945" s="2">
        <f>Table1_1[[#This Row],[tasks_completed]]/Table1_1[[#This Row],[monthly_hours_worked]]</f>
        <v>4.8250904704463207E-2</v>
      </c>
    </row>
    <row r="946" spans="1:18" x14ac:dyDescent="0.3">
      <c r="A946" t="s">
        <v>123</v>
      </c>
      <c r="B946" t="s">
        <v>33</v>
      </c>
      <c r="C946" t="s">
        <v>24</v>
      </c>
      <c r="D946" t="s">
        <v>29</v>
      </c>
      <c r="E946">
        <v>8</v>
      </c>
      <c r="F946">
        <v>144.6</v>
      </c>
      <c r="G946">
        <v>100</v>
      </c>
      <c r="H946">
        <v>4.5999999999999996</v>
      </c>
      <c r="I946">
        <v>5</v>
      </c>
      <c r="J946">
        <v>7.36</v>
      </c>
      <c r="K946">
        <v>6.92</v>
      </c>
      <c r="L946">
        <v>0</v>
      </c>
      <c r="M946" t="s">
        <v>34</v>
      </c>
      <c r="N946" t="s">
        <v>35</v>
      </c>
      <c r="O946">
        <v>20.94</v>
      </c>
      <c r="P946" s="1">
        <v>45505</v>
      </c>
      <c r="Q946" t="str">
        <f t="shared" si="14"/>
        <v>High Performance</v>
      </c>
      <c r="R946" s="2">
        <f>Table1_1[[#This Row],[tasks_completed]]/Table1_1[[#This Row],[monthly_hours_worked]]</f>
        <v>3.4578146611341634E-2</v>
      </c>
    </row>
    <row r="947" spans="1:18" x14ac:dyDescent="0.3">
      <c r="A947" t="s">
        <v>123</v>
      </c>
      <c r="B947" t="s">
        <v>23</v>
      </c>
      <c r="C947" t="s">
        <v>31</v>
      </c>
      <c r="D947" t="s">
        <v>39</v>
      </c>
      <c r="E947">
        <v>3</v>
      </c>
      <c r="F947">
        <v>158.9</v>
      </c>
      <c r="G947">
        <v>98.4</v>
      </c>
      <c r="H947">
        <v>4.7</v>
      </c>
      <c r="I947">
        <v>6</v>
      </c>
      <c r="J947">
        <v>9.8000000000000007</v>
      </c>
      <c r="K947">
        <v>7.3</v>
      </c>
      <c r="L947">
        <v>0</v>
      </c>
      <c r="M947" t="s">
        <v>25</v>
      </c>
      <c r="N947" t="s">
        <v>21</v>
      </c>
      <c r="O947">
        <v>17.760000000000002</v>
      </c>
      <c r="P947" s="1">
        <v>45536</v>
      </c>
      <c r="Q947" t="str">
        <f t="shared" si="14"/>
        <v>High Performance</v>
      </c>
      <c r="R947" s="2">
        <f>Table1_1[[#This Row],[tasks_completed]]/Table1_1[[#This Row],[monthly_hours_worked]]</f>
        <v>3.7759597230962866E-2</v>
      </c>
    </row>
    <row r="948" spans="1:18" x14ac:dyDescent="0.3">
      <c r="A948" t="s">
        <v>123</v>
      </c>
      <c r="B948" t="s">
        <v>17</v>
      </c>
      <c r="C948" t="s">
        <v>18</v>
      </c>
      <c r="D948" t="s">
        <v>29</v>
      </c>
      <c r="E948">
        <v>3</v>
      </c>
      <c r="F948">
        <v>151.1</v>
      </c>
      <c r="G948">
        <v>92.7</v>
      </c>
      <c r="H948">
        <v>7.1</v>
      </c>
      <c r="I948">
        <v>7</v>
      </c>
      <c r="J948">
        <v>7.3</v>
      </c>
      <c r="K948">
        <v>4.3899999999999997</v>
      </c>
      <c r="L948">
        <v>0</v>
      </c>
      <c r="M948" t="s">
        <v>34</v>
      </c>
      <c r="N948" t="s">
        <v>26</v>
      </c>
      <c r="O948">
        <v>11.03</v>
      </c>
      <c r="P948" s="1">
        <v>45566</v>
      </c>
      <c r="Q948" t="str">
        <f t="shared" si="14"/>
        <v>Medium Performance</v>
      </c>
      <c r="R948" s="2">
        <f>Table1_1[[#This Row],[tasks_completed]]/Table1_1[[#This Row],[monthly_hours_worked]]</f>
        <v>4.6326935804103242E-2</v>
      </c>
    </row>
    <row r="949" spans="1:18" x14ac:dyDescent="0.3">
      <c r="A949" t="s">
        <v>123</v>
      </c>
      <c r="B949" t="s">
        <v>43</v>
      </c>
      <c r="C949" t="s">
        <v>24</v>
      </c>
      <c r="D949" t="s">
        <v>29</v>
      </c>
      <c r="E949">
        <v>6</v>
      </c>
      <c r="F949">
        <v>160</v>
      </c>
      <c r="G949">
        <v>96.8</v>
      </c>
      <c r="H949">
        <v>3.4</v>
      </c>
      <c r="I949">
        <v>2</v>
      </c>
      <c r="J949">
        <v>7.38</v>
      </c>
      <c r="K949">
        <v>4.53</v>
      </c>
      <c r="L949">
        <v>0</v>
      </c>
      <c r="M949" t="s">
        <v>34</v>
      </c>
      <c r="N949" t="s">
        <v>21</v>
      </c>
      <c r="O949">
        <v>22.05</v>
      </c>
      <c r="P949" s="1">
        <v>45597</v>
      </c>
      <c r="Q949" t="str">
        <f t="shared" si="14"/>
        <v>High Performance</v>
      </c>
      <c r="R949" s="2">
        <f>Table1_1[[#This Row],[tasks_completed]]/Table1_1[[#This Row],[monthly_hours_worked]]</f>
        <v>1.2500000000000001E-2</v>
      </c>
    </row>
    <row r="950" spans="1:18" x14ac:dyDescent="0.3">
      <c r="A950" t="s">
        <v>124</v>
      </c>
      <c r="B950" t="s">
        <v>17</v>
      </c>
      <c r="C950" t="s">
        <v>37</v>
      </c>
      <c r="D950" t="s">
        <v>19</v>
      </c>
      <c r="E950">
        <v>9</v>
      </c>
      <c r="F950">
        <v>164.8</v>
      </c>
      <c r="G950">
        <v>98.3</v>
      </c>
      <c r="H950">
        <v>3.8</v>
      </c>
      <c r="I950">
        <v>10</v>
      </c>
      <c r="J950">
        <v>5.84</v>
      </c>
      <c r="K950">
        <v>5.32</v>
      </c>
      <c r="L950">
        <v>1</v>
      </c>
      <c r="M950" t="s">
        <v>25</v>
      </c>
      <c r="N950" t="s">
        <v>35</v>
      </c>
      <c r="O950">
        <v>7.79</v>
      </c>
      <c r="P950" s="1">
        <v>45292</v>
      </c>
      <c r="Q950" t="str">
        <f t="shared" si="14"/>
        <v>Low Performance</v>
      </c>
      <c r="R950" s="2">
        <f>Table1_1[[#This Row],[tasks_completed]]/Table1_1[[#This Row],[monthly_hours_worked]]</f>
        <v>6.0679611650485431E-2</v>
      </c>
    </row>
    <row r="951" spans="1:18" x14ac:dyDescent="0.3">
      <c r="A951" t="s">
        <v>124</v>
      </c>
      <c r="B951" t="s">
        <v>33</v>
      </c>
      <c r="C951" t="s">
        <v>37</v>
      </c>
      <c r="D951" t="s">
        <v>39</v>
      </c>
      <c r="E951">
        <v>1</v>
      </c>
      <c r="F951">
        <v>137.69999999999999</v>
      </c>
      <c r="G951">
        <v>100</v>
      </c>
      <c r="H951">
        <v>0.2</v>
      </c>
      <c r="I951">
        <v>9</v>
      </c>
      <c r="J951">
        <v>5.61</v>
      </c>
      <c r="K951">
        <v>8.74</v>
      </c>
      <c r="L951">
        <v>0</v>
      </c>
      <c r="M951" t="s">
        <v>25</v>
      </c>
      <c r="N951" t="s">
        <v>21</v>
      </c>
      <c r="O951">
        <v>12.51</v>
      </c>
      <c r="P951" s="1">
        <v>45292</v>
      </c>
      <c r="Q951" t="str">
        <f t="shared" si="14"/>
        <v>Medium Performance</v>
      </c>
      <c r="R951" s="2">
        <f>Table1_1[[#This Row],[tasks_completed]]/Table1_1[[#This Row],[monthly_hours_worked]]</f>
        <v>6.535947712418301E-2</v>
      </c>
    </row>
    <row r="952" spans="1:18" x14ac:dyDescent="0.3">
      <c r="A952" t="s">
        <v>124</v>
      </c>
      <c r="B952" t="s">
        <v>23</v>
      </c>
      <c r="C952" t="s">
        <v>18</v>
      </c>
      <c r="D952" t="s">
        <v>39</v>
      </c>
      <c r="E952">
        <v>3</v>
      </c>
      <c r="F952">
        <v>151.19999999999999</v>
      </c>
      <c r="G952">
        <v>100</v>
      </c>
      <c r="H952">
        <v>5.0999999999999996</v>
      </c>
      <c r="I952">
        <v>7</v>
      </c>
      <c r="J952">
        <v>6.88</v>
      </c>
      <c r="K952">
        <v>6.04</v>
      </c>
      <c r="L952">
        <v>0</v>
      </c>
      <c r="M952" t="s">
        <v>20</v>
      </c>
      <c r="N952" t="s">
        <v>26</v>
      </c>
      <c r="O952">
        <v>16.53</v>
      </c>
      <c r="P952" s="1">
        <v>45352</v>
      </c>
      <c r="Q952" t="str">
        <f t="shared" si="14"/>
        <v>High Performance</v>
      </c>
      <c r="R952" s="2">
        <f>Table1_1[[#This Row],[tasks_completed]]/Table1_1[[#This Row],[monthly_hours_worked]]</f>
        <v>4.6296296296296301E-2</v>
      </c>
    </row>
    <row r="953" spans="1:18" x14ac:dyDescent="0.3">
      <c r="A953" t="s">
        <v>124</v>
      </c>
      <c r="B953" t="s">
        <v>33</v>
      </c>
      <c r="C953" t="s">
        <v>31</v>
      </c>
      <c r="D953" t="s">
        <v>19</v>
      </c>
      <c r="E953">
        <v>3</v>
      </c>
      <c r="F953">
        <v>155.80000000000001</v>
      </c>
      <c r="G953">
        <v>97.4</v>
      </c>
      <c r="H953">
        <v>4.4000000000000004</v>
      </c>
      <c r="I953">
        <v>7</v>
      </c>
      <c r="J953">
        <v>4.1500000000000004</v>
      </c>
      <c r="K953">
        <v>8.4600000000000009</v>
      </c>
      <c r="L953">
        <v>0</v>
      </c>
      <c r="M953" t="s">
        <v>25</v>
      </c>
      <c r="N953" t="s">
        <v>21</v>
      </c>
      <c r="O953">
        <v>13.3</v>
      </c>
      <c r="P953" s="1">
        <v>45352</v>
      </c>
      <c r="Q953" t="str">
        <f t="shared" si="14"/>
        <v>Medium Performance</v>
      </c>
      <c r="R953" s="2">
        <f>Table1_1[[#This Row],[tasks_completed]]/Table1_1[[#This Row],[monthly_hours_worked]]</f>
        <v>4.4929396662387676E-2</v>
      </c>
    </row>
    <row r="954" spans="1:18" x14ac:dyDescent="0.3">
      <c r="A954" t="s">
        <v>124</v>
      </c>
      <c r="B954" t="s">
        <v>17</v>
      </c>
      <c r="C954" t="s">
        <v>18</v>
      </c>
      <c r="D954" t="s">
        <v>29</v>
      </c>
      <c r="E954">
        <v>9</v>
      </c>
      <c r="F954">
        <v>165.2</v>
      </c>
      <c r="G954">
        <v>92.5</v>
      </c>
      <c r="H954">
        <v>6.5</v>
      </c>
      <c r="I954">
        <v>3</v>
      </c>
      <c r="J954">
        <v>4.97</v>
      </c>
      <c r="K954">
        <v>8.48</v>
      </c>
      <c r="L954">
        <v>1</v>
      </c>
      <c r="M954" t="s">
        <v>34</v>
      </c>
      <c r="N954" t="s">
        <v>26</v>
      </c>
      <c r="O954">
        <v>16.32</v>
      </c>
      <c r="P954" s="1">
        <v>45383</v>
      </c>
      <c r="Q954" t="str">
        <f t="shared" si="14"/>
        <v>High Performance</v>
      </c>
      <c r="R954" s="2">
        <f>Table1_1[[#This Row],[tasks_completed]]/Table1_1[[#This Row],[monthly_hours_worked]]</f>
        <v>1.8159806295399518E-2</v>
      </c>
    </row>
    <row r="955" spans="1:18" x14ac:dyDescent="0.3">
      <c r="A955" t="s">
        <v>124</v>
      </c>
      <c r="B955" t="s">
        <v>23</v>
      </c>
      <c r="C955" t="s">
        <v>37</v>
      </c>
      <c r="D955" t="s">
        <v>39</v>
      </c>
      <c r="E955">
        <v>8</v>
      </c>
      <c r="F955">
        <v>168.2</v>
      </c>
      <c r="G955">
        <v>87.5</v>
      </c>
      <c r="H955">
        <v>7.9</v>
      </c>
      <c r="I955">
        <v>5</v>
      </c>
      <c r="J955">
        <v>7.88</v>
      </c>
      <c r="K955">
        <v>6.45</v>
      </c>
      <c r="L955">
        <v>0</v>
      </c>
      <c r="M955" t="s">
        <v>20</v>
      </c>
      <c r="N955" t="s">
        <v>26</v>
      </c>
      <c r="O955">
        <v>13.23</v>
      </c>
      <c r="P955" s="1">
        <v>45413</v>
      </c>
      <c r="Q955" t="str">
        <f t="shared" si="14"/>
        <v>Medium Performance</v>
      </c>
      <c r="R955" s="2">
        <f>Table1_1[[#This Row],[tasks_completed]]/Table1_1[[#This Row],[monthly_hours_worked]]</f>
        <v>2.9726516052318672E-2</v>
      </c>
    </row>
    <row r="956" spans="1:18" x14ac:dyDescent="0.3">
      <c r="A956" t="s">
        <v>124</v>
      </c>
      <c r="B956" t="s">
        <v>33</v>
      </c>
      <c r="C956" t="s">
        <v>18</v>
      </c>
      <c r="D956" t="s">
        <v>39</v>
      </c>
      <c r="E956">
        <v>3</v>
      </c>
      <c r="F956">
        <v>157.69999999999999</v>
      </c>
      <c r="G956">
        <v>90.2</v>
      </c>
      <c r="H956">
        <v>1.2</v>
      </c>
      <c r="I956">
        <v>3</v>
      </c>
      <c r="J956">
        <v>5.1100000000000003</v>
      </c>
      <c r="K956">
        <v>5.62</v>
      </c>
      <c r="L956">
        <v>1</v>
      </c>
      <c r="M956" t="s">
        <v>20</v>
      </c>
      <c r="N956" t="s">
        <v>21</v>
      </c>
      <c r="O956">
        <v>17.95</v>
      </c>
      <c r="P956" s="1">
        <v>45444</v>
      </c>
      <c r="Q956" t="str">
        <f t="shared" si="14"/>
        <v>High Performance</v>
      </c>
      <c r="R956" s="2">
        <f>Table1_1[[#This Row],[tasks_completed]]/Table1_1[[#This Row],[monthly_hours_worked]]</f>
        <v>1.9023462270133167E-2</v>
      </c>
    </row>
    <row r="957" spans="1:18" x14ac:dyDescent="0.3">
      <c r="A957" t="s">
        <v>124</v>
      </c>
      <c r="B957" t="s">
        <v>17</v>
      </c>
      <c r="C957" t="s">
        <v>31</v>
      </c>
      <c r="D957" t="s">
        <v>39</v>
      </c>
      <c r="E957">
        <v>10</v>
      </c>
      <c r="F957">
        <v>150.1</v>
      </c>
      <c r="G957">
        <v>98.8</v>
      </c>
      <c r="H957">
        <v>5.2</v>
      </c>
      <c r="I957">
        <v>5</v>
      </c>
      <c r="J957">
        <v>9.0399999999999991</v>
      </c>
      <c r="K957">
        <v>6.01</v>
      </c>
      <c r="L957">
        <v>0</v>
      </c>
      <c r="M957" t="s">
        <v>20</v>
      </c>
      <c r="N957" t="s">
        <v>35</v>
      </c>
      <c r="O957">
        <v>8.6199999999999992</v>
      </c>
      <c r="P957" s="1">
        <v>45474</v>
      </c>
      <c r="Q957" t="str">
        <f t="shared" si="14"/>
        <v>Low Performance</v>
      </c>
      <c r="R957" s="2">
        <f>Table1_1[[#This Row],[tasks_completed]]/Table1_1[[#This Row],[monthly_hours_worked]]</f>
        <v>3.3311125916055964E-2</v>
      </c>
    </row>
    <row r="958" spans="1:18" x14ac:dyDescent="0.3">
      <c r="A958" t="s">
        <v>124</v>
      </c>
      <c r="B958" t="s">
        <v>43</v>
      </c>
      <c r="C958" t="s">
        <v>31</v>
      </c>
      <c r="D958" t="s">
        <v>39</v>
      </c>
      <c r="E958">
        <v>10</v>
      </c>
      <c r="F958">
        <v>137.30000000000001</v>
      </c>
      <c r="G958">
        <v>95.5</v>
      </c>
      <c r="H958">
        <v>6.7</v>
      </c>
      <c r="I958">
        <v>9</v>
      </c>
      <c r="J958">
        <v>6.25</v>
      </c>
      <c r="K958">
        <v>9.57</v>
      </c>
      <c r="L958">
        <v>0</v>
      </c>
      <c r="M958" t="s">
        <v>34</v>
      </c>
      <c r="N958" t="s">
        <v>21</v>
      </c>
      <c r="O958">
        <v>14.05</v>
      </c>
      <c r="P958" s="1">
        <v>45505</v>
      </c>
      <c r="Q958" t="str">
        <f t="shared" si="14"/>
        <v>Medium Performance</v>
      </c>
      <c r="R958" s="2">
        <f>Table1_1[[#This Row],[tasks_completed]]/Table1_1[[#This Row],[monthly_hours_worked]]</f>
        <v>6.5549890750182083E-2</v>
      </c>
    </row>
    <row r="959" spans="1:18" x14ac:dyDescent="0.3">
      <c r="A959" t="s">
        <v>124</v>
      </c>
      <c r="B959" t="s">
        <v>17</v>
      </c>
      <c r="C959" t="s">
        <v>24</v>
      </c>
      <c r="D959" t="s">
        <v>19</v>
      </c>
      <c r="E959">
        <v>3</v>
      </c>
      <c r="F959">
        <v>169.9</v>
      </c>
      <c r="G959">
        <v>94.4</v>
      </c>
      <c r="H959">
        <v>2.9</v>
      </c>
      <c r="I959">
        <v>9</v>
      </c>
      <c r="J959">
        <v>9.49</v>
      </c>
      <c r="K959">
        <v>6.49</v>
      </c>
      <c r="L959">
        <v>0</v>
      </c>
      <c r="M959" t="s">
        <v>34</v>
      </c>
      <c r="N959" t="s">
        <v>21</v>
      </c>
      <c r="O959">
        <v>17.48</v>
      </c>
      <c r="P959" s="1">
        <v>45536</v>
      </c>
      <c r="Q959" t="str">
        <f t="shared" si="14"/>
        <v>High Performance</v>
      </c>
      <c r="R959" s="2">
        <f>Table1_1[[#This Row],[tasks_completed]]/Table1_1[[#This Row],[monthly_hours_worked]]</f>
        <v>5.2972336668628606E-2</v>
      </c>
    </row>
    <row r="960" spans="1:18" x14ac:dyDescent="0.3">
      <c r="A960" t="s">
        <v>124</v>
      </c>
      <c r="B960" t="s">
        <v>23</v>
      </c>
      <c r="C960" t="s">
        <v>18</v>
      </c>
      <c r="D960" t="s">
        <v>39</v>
      </c>
      <c r="E960">
        <v>4</v>
      </c>
      <c r="F960">
        <v>157</v>
      </c>
      <c r="G960">
        <v>95.5</v>
      </c>
      <c r="H960">
        <v>2.8</v>
      </c>
      <c r="I960">
        <v>7</v>
      </c>
      <c r="J960">
        <v>8.74</v>
      </c>
      <c r="K960">
        <v>4.2</v>
      </c>
      <c r="L960">
        <v>1</v>
      </c>
      <c r="M960" t="s">
        <v>34</v>
      </c>
      <c r="N960" t="s">
        <v>35</v>
      </c>
      <c r="O960">
        <v>12.39</v>
      </c>
      <c r="P960" s="1">
        <v>45566</v>
      </c>
      <c r="Q960" t="str">
        <f t="shared" si="14"/>
        <v>Medium Performance</v>
      </c>
      <c r="R960" s="2">
        <f>Table1_1[[#This Row],[tasks_completed]]/Table1_1[[#This Row],[monthly_hours_worked]]</f>
        <v>4.4585987261146494E-2</v>
      </c>
    </row>
    <row r="961" spans="1:18" x14ac:dyDescent="0.3">
      <c r="A961" t="s">
        <v>124</v>
      </c>
      <c r="B961" t="s">
        <v>27</v>
      </c>
      <c r="C961" t="s">
        <v>31</v>
      </c>
      <c r="D961" t="s">
        <v>29</v>
      </c>
      <c r="E961">
        <v>3</v>
      </c>
      <c r="F961">
        <v>169.6</v>
      </c>
      <c r="G961">
        <v>96.5</v>
      </c>
      <c r="H961">
        <v>2.9</v>
      </c>
      <c r="I961">
        <v>5</v>
      </c>
      <c r="J961">
        <v>8.7100000000000009</v>
      </c>
      <c r="K961">
        <v>5.93</v>
      </c>
      <c r="L961">
        <v>0</v>
      </c>
      <c r="M961" t="s">
        <v>34</v>
      </c>
      <c r="N961" t="s">
        <v>35</v>
      </c>
      <c r="O961">
        <v>8.67</v>
      </c>
      <c r="P961" s="1">
        <v>45597</v>
      </c>
      <c r="Q961" t="str">
        <f t="shared" si="14"/>
        <v>Low Performance</v>
      </c>
      <c r="R961" s="2">
        <f>Table1_1[[#This Row],[tasks_completed]]/Table1_1[[#This Row],[monthly_hours_worked]]</f>
        <v>2.9481132075471699E-2</v>
      </c>
    </row>
    <row r="962" spans="1:18" x14ac:dyDescent="0.3">
      <c r="A962" t="s">
        <v>125</v>
      </c>
      <c r="B962" t="s">
        <v>33</v>
      </c>
      <c r="C962" t="s">
        <v>41</v>
      </c>
      <c r="D962" t="s">
        <v>29</v>
      </c>
      <c r="E962">
        <v>5</v>
      </c>
      <c r="F962">
        <v>161.4</v>
      </c>
      <c r="G962">
        <v>92.2</v>
      </c>
      <c r="H962">
        <v>3.3</v>
      </c>
      <c r="I962">
        <v>5</v>
      </c>
      <c r="J962">
        <v>9.65</v>
      </c>
      <c r="K962">
        <v>7.62</v>
      </c>
      <c r="L962">
        <v>0</v>
      </c>
      <c r="M962" t="s">
        <v>34</v>
      </c>
      <c r="N962" t="s">
        <v>26</v>
      </c>
      <c r="O962">
        <v>15.33</v>
      </c>
      <c r="P962" s="1">
        <v>45292</v>
      </c>
      <c r="Q962" t="str">
        <f t="shared" ref="Q962:Q1025" si="15">IF(O962&gt;=15, "High Performance", IF(O962&gt;=10, "Medium Performance", "Low Performance"))</f>
        <v>High Performance</v>
      </c>
      <c r="R962" s="2">
        <f>Table1_1[[#This Row],[tasks_completed]]/Table1_1[[#This Row],[monthly_hours_worked]]</f>
        <v>3.097893432465923E-2</v>
      </c>
    </row>
    <row r="963" spans="1:18" x14ac:dyDescent="0.3">
      <c r="A963" t="s">
        <v>125</v>
      </c>
      <c r="B963" t="s">
        <v>23</v>
      </c>
      <c r="C963" t="s">
        <v>31</v>
      </c>
      <c r="D963" t="s">
        <v>39</v>
      </c>
      <c r="E963">
        <v>5</v>
      </c>
      <c r="F963">
        <v>164.9</v>
      </c>
      <c r="G963">
        <v>97.5</v>
      </c>
      <c r="H963">
        <v>7.9</v>
      </c>
      <c r="I963">
        <v>5</v>
      </c>
      <c r="J963">
        <v>8.23</v>
      </c>
      <c r="K963">
        <v>7.56</v>
      </c>
      <c r="L963">
        <v>0</v>
      </c>
      <c r="M963" t="s">
        <v>25</v>
      </c>
      <c r="N963" t="s">
        <v>35</v>
      </c>
      <c r="O963">
        <v>18.28</v>
      </c>
      <c r="P963" s="1">
        <v>45292</v>
      </c>
      <c r="Q963" t="str">
        <f t="shared" si="15"/>
        <v>High Performance</v>
      </c>
      <c r="R963" s="2">
        <f>Table1_1[[#This Row],[tasks_completed]]/Table1_1[[#This Row],[monthly_hours_worked]]</f>
        <v>3.0321406913280776E-2</v>
      </c>
    </row>
    <row r="964" spans="1:18" x14ac:dyDescent="0.3">
      <c r="A964" t="s">
        <v>125</v>
      </c>
      <c r="B964" t="s">
        <v>43</v>
      </c>
      <c r="C964" t="s">
        <v>18</v>
      </c>
      <c r="D964" t="s">
        <v>29</v>
      </c>
      <c r="E964">
        <v>7</v>
      </c>
      <c r="F964">
        <v>167</v>
      </c>
      <c r="G964">
        <v>95.6</v>
      </c>
      <c r="H964">
        <v>2.8</v>
      </c>
      <c r="I964">
        <v>4</v>
      </c>
      <c r="J964">
        <v>5.35</v>
      </c>
      <c r="K964">
        <v>4.4400000000000004</v>
      </c>
      <c r="L964">
        <v>1</v>
      </c>
      <c r="M964" t="s">
        <v>20</v>
      </c>
      <c r="N964" t="s">
        <v>26</v>
      </c>
      <c r="O964">
        <v>11.36</v>
      </c>
      <c r="P964" s="1">
        <v>45352</v>
      </c>
      <c r="Q964" t="str">
        <f t="shared" si="15"/>
        <v>Medium Performance</v>
      </c>
      <c r="R964" s="2">
        <f>Table1_1[[#This Row],[tasks_completed]]/Table1_1[[#This Row],[monthly_hours_worked]]</f>
        <v>2.3952095808383235E-2</v>
      </c>
    </row>
    <row r="965" spans="1:18" x14ac:dyDescent="0.3">
      <c r="A965" t="s">
        <v>125</v>
      </c>
      <c r="B965" t="s">
        <v>33</v>
      </c>
      <c r="C965" t="s">
        <v>18</v>
      </c>
      <c r="D965" t="s">
        <v>19</v>
      </c>
      <c r="E965">
        <v>7</v>
      </c>
      <c r="F965">
        <v>154.1</v>
      </c>
      <c r="G965">
        <v>87.6</v>
      </c>
      <c r="H965">
        <v>5.9</v>
      </c>
      <c r="I965">
        <v>4</v>
      </c>
      <c r="J965">
        <v>7.22</v>
      </c>
      <c r="K965">
        <v>7.01</v>
      </c>
      <c r="L965">
        <v>0</v>
      </c>
      <c r="M965" t="s">
        <v>34</v>
      </c>
      <c r="N965" t="s">
        <v>26</v>
      </c>
      <c r="O965">
        <v>14.96</v>
      </c>
      <c r="P965" s="1">
        <v>45352</v>
      </c>
      <c r="Q965" t="str">
        <f t="shared" si="15"/>
        <v>Medium Performance</v>
      </c>
      <c r="R965" s="2">
        <f>Table1_1[[#This Row],[tasks_completed]]/Table1_1[[#This Row],[monthly_hours_worked]]</f>
        <v>2.5957170668397145E-2</v>
      </c>
    </row>
    <row r="966" spans="1:18" x14ac:dyDescent="0.3">
      <c r="A966" t="s">
        <v>125</v>
      </c>
      <c r="B966" t="s">
        <v>27</v>
      </c>
      <c r="C966" t="s">
        <v>41</v>
      </c>
      <c r="D966" t="s">
        <v>29</v>
      </c>
      <c r="E966">
        <v>6</v>
      </c>
      <c r="F966">
        <v>147.6</v>
      </c>
      <c r="G966">
        <v>94.2</v>
      </c>
      <c r="H966">
        <v>4</v>
      </c>
      <c r="I966">
        <v>8</v>
      </c>
      <c r="J966">
        <v>8.93</v>
      </c>
      <c r="K966">
        <v>6.81</v>
      </c>
      <c r="L966">
        <v>0</v>
      </c>
      <c r="M966" t="s">
        <v>34</v>
      </c>
      <c r="N966" t="s">
        <v>35</v>
      </c>
      <c r="O966">
        <v>3.17</v>
      </c>
      <c r="P966" s="1">
        <v>45383</v>
      </c>
      <c r="Q966" t="str">
        <f t="shared" si="15"/>
        <v>Low Performance</v>
      </c>
      <c r="R966" s="2">
        <f>Table1_1[[#This Row],[tasks_completed]]/Table1_1[[#This Row],[monthly_hours_worked]]</f>
        <v>5.4200542005420058E-2</v>
      </c>
    </row>
    <row r="967" spans="1:18" x14ac:dyDescent="0.3">
      <c r="A967" t="s">
        <v>125</v>
      </c>
      <c r="B967" t="s">
        <v>27</v>
      </c>
      <c r="C967" t="s">
        <v>41</v>
      </c>
      <c r="D967" t="s">
        <v>19</v>
      </c>
      <c r="E967">
        <v>1</v>
      </c>
      <c r="F967">
        <v>171.7</v>
      </c>
      <c r="G967">
        <v>95</v>
      </c>
      <c r="H967">
        <v>1.8</v>
      </c>
      <c r="I967">
        <v>4</v>
      </c>
      <c r="J967">
        <v>8.44</v>
      </c>
      <c r="K967">
        <v>4.76</v>
      </c>
      <c r="L967">
        <v>0</v>
      </c>
      <c r="M967" t="s">
        <v>34</v>
      </c>
      <c r="N967" t="s">
        <v>26</v>
      </c>
      <c r="O967">
        <v>8.84</v>
      </c>
      <c r="P967" s="1">
        <v>45413</v>
      </c>
      <c r="Q967" t="str">
        <f t="shared" si="15"/>
        <v>Low Performance</v>
      </c>
      <c r="R967" s="2">
        <f>Table1_1[[#This Row],[tasks_completed]]/Table1_1[[#This Row],[monthly_hours_worked]]</f>
        <v>2.3296447291788005E-2</v>
      </c>
    </row>
    <row r="968" spans="1:18" x14ac:dyDescent="0.3">
      <c r="A968" t="s">
        <v>125</v>
      </c>
      <c r="B968" t="s">
        <v>17</v>
      </c>
      <c r="C968" t="s">
        <v>31</v>
      </c>
      <c r="D968" t="s">
        <v>19</v>
      </c>
      <c r="E968">
        <v>2</v>
      </c>
      <c r="F968">
        <v>148.4</v>
      </c>
      <c r="G968">
        <v>94.8</v>
      </c>
      <c r="H968">
        <v>5.3</v>
      </c>
      <c r="I968">
        <v>4</v>
      </c>
      <c r="J968">
        <v>6.69</v>
      </c>
      <c r="K968">
        <v>8.8800000000000008</v>
      </c>
      <c r="L968">
        <v>0</v>
      </c>
      <c r="M968" t="s">
        <v>34</v>
      </c>
      <c r="N968" t="s">
        <v>21</v>
      </c>
      <c r="O968">
        <v>4.34</v>
      </c>
      <c r="P968" s="1">
        <v>45444</v>
      </c>
      <c r="Q968" t="str">
        <f t="shared" si="15"/>
        <v>Low Performance</v>
      </c>
      <c r="R968" s="2">
        <f>Table1_1[[#This Row],[tasks_completed]]/Table1_1[[#This Row],[monthly_hours_worked]]</f>
        <v>2.6954177897574122E-2</v>
      </c>
    </row>
    <row r="969" spans="1:18" x14ac:dyDescent="0.3">
      <c r="A969" t="s">
        <v>125</v>
      </c>
      <c r="B969" t="s">
        <v>43</v>
      </c>
      <c r="C969" t="s">
        <v>37</v>
      </c>
      <c r="D969" t="s">
        <v>19</v>
      </c>
      <c r="E969">
        <v>6</v>
      </c>
      <c r="F969">
        <v>165.1</v>
      </c>
      <c r="G969">
        <v>87</v>
      </c>
      <c r="H969">
        <v>6</v>
      </c>
      <c r="I969">
        <v>4</v>
      </c>
      <c r="J969">
        <v>8.41</v>
      </c>
      <c r="K969">
        <v>6.19</v>
      </c>
      <c r="L969">
        <v>0</v>
      </c>
      <c r="M969" t="s">
        <v>34</v>
      </c>
      <c r="N969" t="s">
        <v>26</v>
      </c>
      <c r="O969">
        <v>16.88</v>
      </c>
      <c r="P969" s="1">
        <v>45474</v>
      </c>
      <c r="Q969" t="str">
        <f t="shared" si="15"/>
        <v>High Performance</v>
      </c>
      <c r="R969" s="2">
        <f>Table1_1[[#This Row],[tasks_completed]]/Table1_1[[#This Row],[monthly_hours_worked]]</f>
        <v>2.4227740763173834E-2</v>
      </c>
    </row>
    <row r="970" spans="1:18" x14ac:dyDescent="0.3">
      <c r="A970" t="s">
        <v>125</v>
      </c>
      <c r="B970" t="s">
        <v>43</v>
      </c>
      <c r="C970" t="s">
        <v>24</v>
      </c>
      <c r="D970" t="s">
        <v>19</v>
      </c>
      <c r="E970">
        <v>4</v>
      </c>
      <c r="F970">
        <v>155.80000000000001</v>
      </c>
      <c r="G970">
        <v>94.6</v>
      </c>
      <c r="H970">
        <v>2.8</v>
      </c>
      <c r="I970">
        <v>5</v>
      </c>
      <c r="J970">
        <v>6.85</v>
      </c>
      <c r="K970">
        <v>7.64</v>
      </c>
      <c r="L970">
        <v>0</v>
      </c>
      <c r="M970" t="s">
        <v>34</v>
      </c>
      <c r="N970" t="s">
        <v>21</v>
      </c>
      <c r="O970">
        <v>4.82</v>
      </c>
      <c r="P970" s="1">
        <v>45505</v>
      </c>
      <c r="Q970" t="str">
        <f t="shared" si="15"/>
        <v>Low Performance</v>
      </c>
      <c r="R970" s="2">
        <f>Table1_1[[#This Row],[tasks_completed]]/Table1_1[[#This Row],[monthly_hours_worked]]</f>
        <v>3.2092426187419767E-2</v>
      </c>
    </row>
    <row r="971" spans="1:18" x14ac:dyDescent="0.3">
      <c r="A971" t="s">
        <v>125</v>
      </c>
      <c r="B971" t="s">
        <v>17</v>
      </c>
      <c r="C971" t="s">
        <v>24</v>
      </c>
      <c r="D971" t="s">
        <v>19</v>
      </c>
      <c r="E971">
        <v>6</v>
      </c>
      <c r="F971">
        <v>155.69999999999999</v>
      </c>
      <c r="G971">
        <v>91.5</v>
      </c>
      <c r="H971">
        <v>5.4</v>
      </c>
      <c r="I971">
        <v>5</v>
      </c>
      <c r="J971">
        <v>8.15</v>
      </c>
      <c r="K971">
        <v>8.7200000000000006</v>
      </c>
      <c r="L971">
        <v>0</v>
      </c>
      <c r="M971" t="s">
        <v>20</v>
      </c>
      <c r="N971" t="s">
        <v>35</v>
      </c>
      <c r="O971">
        <v>5.38</v>
      </c>
      <c r="P971" s="1">
        <v>45536</v>
      </c>
      <c r="Q971" t="str">
        <f t="shared" si="15"/>
        <v>Low Performance</v>
      </c>
      <c r="R971" s="2">
        <f>Table1_1[[#This Row],[tasks_completed]]/Table1_1[[#This Row],[monthly_hours_worked]]</f>
        <v>3.2113037893384717E-2</v>
      </c>
    </row>
    <row r="972" spans="1:18" x14ac:dyDescent="0.3">
      <c r="A972" t="s">
        <v>125</v>
      </c>
      <c r="B972" t="s">
        <v>23</v>
      </c>
      <c r="C972" t="s">
        <v>18</v>
      </c>
      <c r="D972" t="s">
        <v>39</v>
      </c>
      <c r="E972">
        <v>4</v>
      </c>
      <c r="F972">
        <v>156</v>
      </c>
      <c r="G972">
        <v>94.5</v>
      </c>
      <c r="H972">
        <v>6.5</v>
      </c>
      <c r="I972">
        <v>5</v>
      </c>
      <c r="J972">
        <v>7.24</v>
      </c>
      <c r="K972">
        <v>7.87</v>
      </c>
      <c r="L972">
        <v>0</v>
      </c>
      <c r="M972" t="s">
        <v>20</v>
      </c>
      <c r="N972" t="s">
        <v>21</v>
      </c>
      <c r="O972">
        <v>21.5</v>
      </c>
      <c r="P972" s="1">
        <v>45566</v>
      </c>
      <c r="Q972" t="str">
        <f t="shared" si="15"/>
        <v>High Performance</v>
      </c>
      <c r="R972" s="2">
        <f>Table1_1[[#This Row],[tasks_completed]]/Table1_1[[#This Row],[monthly_hours_worked]]</f>
        <v>3.2051282051282048E-2</v>
      </c>
    </row>
    <row r="973" spans="1:18" x14ac:dyDescent="0.3">
      <c r="A973" t="s">
        <v>125</v>
      </c>
      <c r="B973" t="s">
        <v>33</v>
      </c>
      <c r="C973" t="s">
        <v>37</v>
      </c>
      <c r="D973" t="s">
        <v>29</v>
      </c>
      <c r="E973">
        <v>7</v>
      </c>
      <c r="F973">
        <v>171.4</v>
      </c>
      <c r="G973">
        <v>90.8</v>
      </c>
      <c r="H973">
        <v>9.6999999999999993</v>
      </c>
      <c r="I973">
        <v>4</v>
      </c>
      <c r="J973">
        <v>8.5299999999999994</v>
      </c>
      <c r="K973">
        <v>10</v>
      </c>
      <c r="L973">
        <v>1</v>
      </c>
      <c r="M973" t="s">
        <v>34</v>
      </c>
      <c r="N973" t="s">
        <v>21</v>
      </c>
      <c r="O973">
        <v>16.78</v>
      </c>
      <c r="P973" s="1">
        <v>45597</v>
      </c>
      <c r="Q973" t="str">
        <f t="shared" si="15"/>
        <v>High Performance</v>
      </c>
      <c r="R973" s="2">
        <f>Table1_1[[#This Row],[tasks_completed]]/Table1_1[[#This Row],[monthly_hours_worked]]</f>
        <v>2.3337222870478413E-2</v>
      </c>
    </row>
    <row r="974" spans="1:18" x14ac:dyDescent="0.3">
      <c r="A974" t="s">
        <v>126</v>
      </c>
      <c r="B974" t="s">
        <v>27</v>
      </c>
      <c r="C974" t="s">
        <v>31</v>
      </c>
      <c r="D974" t="s">
        <v>39</v>
      </c>
      <c r="E974">
        <v>3</v>
      </c>
      <c r="F974">
        <v>167.4</v>
      </c>
      <c r="G974">
        <v>90.5</v>
      </c>
      <c r="H974">
        <v>2</v>
      </c>
      <c r="I974">
        <v>5</v>
      </c>
      <c r="J974">
        <v>7.74</v>
      </c>
      <c r="K974">
        <v>4.5999999999999996</v>
      </c>
      <c r="L974">
        <v>0</v>
      </c>
      <c r="M974" t="s">
        <v>25</v>
      </c>
      <c r="N974" t="s">
        <v>21</v>
      </c>
      <c r="O974">
        <v>17.260000000000002</v>
      </c>
      <c r="P974" s="1">
        <v>45292</v>
      </c>
      <c r="Q974" t="str">
        <f t="shared" si="15"/>
        <v>High Performance</v>
      </c>
      <c r="R974" s="2">
        <f>Table1_1[[#This Row],[tasks_completed]]/Table1_1[[#This Row],[monthly_hours_worked]]</f>
        <v>2.986857825567503E-2</v>
      </c>
    </row>
    <row r="975" spans="1:18" x14ac:dyDescent="0.3">
      <c r="A975" t="s">
        <v>126</v>
      </c>
      <c r="B975" t="s">
        <v>43</v>
      </c>
      <c r="C975" t="s">
        <v>31</v>
      </c>
      <c r="D975" t="s">
        <v>19</v>
      </c>
      <c r="E975">
        <v>1</v>
      </c>
      <c r="F975">
        <v>162.9</v>
      </c>
      <c r="G975">
        <v>95.1</v>
      </c>
      <c r="H975">
        <v>5</v>
      </c>
      <c r="I975">
        <v>7</v>
      </c>
      <c r="J975">
        <v>8.27</v>
      </c>
      <c r="K975">
        <v>6.77</v>
      </c>
      <c r="L975">
        <v>0</v>
      </c>
      <c r="M975" t="s">
        <v>20</v>
      </c>
      <c r="N975" t="s">
        <v>21</v>
      </c>
      <c r="O975">
        <v>18.98</v>
      </c>
      <c r="P975" s="1">
        <v>45292</v>
      </c>
      <c r="Q975" t="str">
        <f t="shared" si="15"/>
        <v>High Performance</v>
      </c>
      <c r="R975" s="2">
        <f>Table1_1[[#This Row],[tasks_completed]]/Table1_1[[#This Row],[monthly_hours_worked]]</f>
        <v>4.2971147943523635E-2</v>
      </c>
    </row>
    <row r="976" spans="1:18" x14ac:dyDescent="0.3">
      <c r="A976" t="s">
        <v>126</v>
      </c>
      <c r="B976" t="s">
        <v>43</v>
      </c>
      <c r="C976" t="s">
        <v>31</v>
      </c>
      <c r="D976" t="s">
        <v>39</v>
      </c>
      <c r="E976">
        <v>7</v>
      </c>
      <c r="F976">
        <v>170.4</v>
      </c>
      <c r="G976">
        <v>94</v>
      </c>
      <c r="H976">
        <v>6.3</v>
      </c>
      <c r="I976">
        <v>4</v>
      </c>
      <c r="J976">
        <v>8.3000000000000007</v>
      </c>
      <c r="K976">
        <v>4.63</v>
      </c>
      <c r="L976">
        <v>1</v>
      </c>
      <c r="M976" t="s">
        <v>25</v>
      </c>
      <c r="N976" t="s">
        <v>35</v>
      </c>
      <c r="O976">
        <v>14.19</v>
      </c>
      <c r="P976" s="1">
        <v>45352</v>
      </c>
      <c r="Q976" t="str">
        <f t="shared" si="15"/>
        <v>Medium Performance</v>
      </c>
      <c r="R976" s="2">
        <f>Table1_1[[#This Row],[tasks_completed]]/Table1_1[[#This Row],[monthly_hours_worked]]</f>
        <v>2.3474178403755867E-2</v>
      </c>
    </row>
    <row r="977" spans="1:18" x14ac:dyDescent="0.3">
      <c r="A977" t="s">
        <v>126</v>
      </c>
      <c r="B977" t="s">
        <v>17</v>
      </c>
      <c r="C977" t="s">
        <v>18</v>
      </c>
      <c r="D977" t="s">
        <v>39</v>
      </c>
      <c r="E977">
        <v>7</v>
      </c>
      <c r="F977">
        <v>166.5</v>
      </c>
      <c r="G977">
        <v>96.1</v>
      </c>
      <c r="H977">
        <v>5.4</v>
      </c>
      <c r="I977">
        <v>10</v>
      </c>
      <c r="K977">
        <v>5.2</v>
      </c>
      <c r="L977">
        <v>0</v>
      </c>
      <c r="M977" t="s">
        <v>20</v>
      </c>
      <c r="N977" t="s">
        <v>21</v>
      </c>
      <c r="O977">
        <v>12.48</v>
      </c>
      <c r="P977" s="1">
        <v>45352</v>
      </c>
      <c r="Q977" t="str">
        <f t="shared" si="15"/>
        <v>Medium Performance</v>
      </c>
      <c r="R977" s="2">
        <f>Table1_1[[#This Row],[tasks_completed]]/Table1_1[[#This Row],[monthly_hours_worked]]</f>
        <v>6.006006006006006E-2</v>
      </c>
    </row>
    <row r="978" spans="1:18" x14ac:dyDescent="0.3">
      <c r="A978" t="s">
        <v>126</v>
      </c>
      <c r="B978" t="s">
        <v>27</v>
      </c>
      <c r="C978" t="s">
        <v>41</v>
      </c>
      <c r="D978" t="s">
        <v>29</v>
      </c>
      <c r="E978">
        <v>10</v>
      </c>
      <c r="F978">
        <v>177.9</v>
      </c>
      <c r="G978">
        <v>85.3</v>
      </c>
      <c r="H978">
        <v>6.2</v>
      </c>
      <c r="I978">
        <v>4</v>
      </c>
      <c r="J978">
        <v>7.77</v>
      </c>
      <c r="K978">
        <v>8.7899999999999991</v>
      </c>
      <c r="L978">
        <v>0</v>
      </c>
      <c r="M978" t="s">
        <v>25</v>
      </c>
      <c r="N978" t="s">
        <v>26</v>
      </c>
      <c r="O978">
        <v>14.35</v>
      </c>
      <c r="P978" s="1">
        <v>45383</v>
      </c>
      <c r="Q978" t="str">
        <f t="shared" si="15"/>
        <v>Medium Performance</v>
      </c>
      <c r="R978" s="2">
        <f>Table1_1[[#This Row],[tasks_completed]]/Table1_1[[#This Row],[monthly_hours_worked]]</f>
        <v>2.2484541877459244E-2</v>
      </c>
    </row>
    <row r="979" spans="1:18" x14ac:dyDescent="0.3">
      <c r="A979" t="s">
        <v>126</v>
      </c>
      <c r="B979" t="s">
        <v>27</v>
      </c>
      <c r="C979" t="s">
        <v>37</v>
      </c>
      <c r="D979" t="s">
        <v>19</v>
      </c>
      <c r="E979">
        <v>8</v>
      </c>
      <c r="F979">
        <v>161</v>
      </c>
      <c r="G979">
        <v>91.3</v>
      </c>
      <c r="H979">
        <v>3.4</v>
      </c>
      <c r="I979">
        <v>14</v>
      </c>
      <c r="J979">
        <v>6.29</v>
      </c>
      <c r="K979">
        <v>9.34</v>
      </c>
      <c r="L979">
        <v>1</v>
      </c>
      <c r="M979" t="s">
        <v>34</v>
      </c>
      <c r="N979" t="s">
        <v>21</v>
      </c>
      <c r="O979">
        <v>14.54</v>
      </c>
      <c r="P979" s="1">
        <v>45413</v>
      </c>
      <c r="Q979" t="str">
        <f t="shared" si="15"/>
        <v>Medium Performance</v>
      </c>
      <c r="R979" s="2">
        <f>Table1_1[[#This Row],[tasks_completed]]/Table1_1[[#This Row],[monthly_hours_worked]]</f>
        <v>8.6956521739130432E-2</v>
      </c>
    </row>
    <row r="980" spans="1:18" x14ac:dyDescent="0.3">
      <c r="A980" t="s">
        <v>126</v>
      </c>
      <c r="B980" t="s">
        <v>43</v>
      </c>
      <c r="C980" t="s">
        <v>37</v>
      </c>
      <c r="D980" t="s">
        <v>39</v>
      </c>
      <c r="E980">
        <v>8</v>
      </c>
      <c r="F980">
        <v>147.80000000000001</v>
      </c>
      <c r="G980">
        <v>96.3</v>
      </c>
      <c r="H980">
        <v>3.4</v>
      </c>
      <c r="I980">
        <v>8</v>
      </c>
      <c r="K980">
        <v>8.3000000000000007</v>
      </c>
      <c r="L980">
        <v>0</v>
      </c>
      <c r="M980" t="s">
        <v>25</v>
      </c>
      <c r="N980" t="s">
        <v>21</v>
      </c>
      <c r="O980">
        <v>13.79</v>
      </c>
      <c r="P980" s="1">
        <v>45444</v>
      </c>
      <c r="Q980" t="str">
        <f t="shared" si="15"/>
        <v>Medium Performance</v>
      </c>
      <c r="R980" s="2">
        <f>Table1_1[[#This Row],[tasks_completed]]/Table1_1[[#This Row],[monthly_hours_worked]]</f>
        <v>5.4127198917456015E-2</v>
      </c>
    </row>
    <row r="981" spans="1:18" x14ac:dyDescent="0.3">
      <c r="A981" t="s">
        <v>126</v>
      </c>
      <c r="B981" t="s">
        <v>43</v>
      </c>
      <c r="C981" t="s">
        <v>37</v>
      </c>
      <c r="D981" t="s">
        <v>19</v>
      </c>
      <c r="E981">
        <v>9</v>
      </c>
      <c r="F981">
        <v>166.3</v>
      </c>
      <c r="G981">
        <v>92.5</v>
      </c>
      <c r="H981">
        <v>2.8</v>
      </c>
      <c r="I981">
        <v>10</v>
      </c>
      <c r="K981">
        <v>6.77</v>
      </c>
      <c r="L981">
        <v>0</v>
      </c>
      <c r="M981" t="s">
        <v>34</v>
      </c>
      <c r="N981" t="s">
        <v>26</v>
      </c>
      <c r="O981">
        <v>7.05</v>
      </c>
      <c r="P981" s="1">
        <v>45474</v>
      </c>
      <c r="Q981" t="str">
        <f t="shared" si="15"/>
        <v>Low Performance</v>
      </c>
      <c r="R981" s="2">
        <f>Table1_1[[#This Row],[tasks_completed]]/Table1_1[[#This Row],[monthly_hours_worked]]</f>
        <v>6.0132291040288631E-2</v>
      </c>
    </row>
    <row r="982" spans="1:18" x14ac:dyDescent="0.3">
      <c r="A982" t="s">
        <v>126</v>
      </c>
      <c r="B982" t="s">
        <v>43</v>
      </c>
      <c r="C982" t="s">
        <v>37</v>
      </c>
      <c r="D982" t="s">
        <v>19</v>
      </c>
      <c r="E982">
        <v>7</v>
      </c>
      <c r="F982">
        <v>157.5</v>
      </c>
      <c r="G982">
        <v>89.4</v>
      </c>
      <c r="H982">
        <v>4.8</v>
      </c>
      <c r="I982">
        <v>2</v>
      </c>
      <c r="J982">
        <v>8.1999999999999993</v>
      </c>
      <c r="K982">
        <v>8.0299999999999994</v>
      </c>
      <c r="L982">
        <v>0</v>
      </c>
      <c r="M982" t="s">
        <v>20</v>
      </c>
      <c r="N982" t="s">
        <v>21</v>
      </c>
      <c r="O982">
        <v>12.8</v>
      </c>
      <c r="P982" s="1">
        <v>45505</v>
      </c>
      <c r="Q982" t="str">
        <f t="shared" si="15"/>
        <v>Medium Performance</v>
      </c>
      <c r="R982" s="2">
        <f>Table1_1[[#This Row],[tasks_completed]]/Table1_1[[#This Row],[monthly_hours_worked]]</f>
        <v>1.2698412698412698E-2</v>
      </c>
    </row>
    <row r="983" spans="1:18" x14ac:dyDescent="0.3">
      <c r="A983" t="s">
        <v>126</v>
      </c>
      <c r="B983" t="s">
        <v>17</v>
      </c>
      <c r="C983" t="s">
        <v>24</v>
      </c>
      <c r="D983" t="s">
        <v>29</v>
      </c>
      <c r="E983">
        <v>6</v>
      </c>
      <c r="F983">
        <v>142.4</v>
      </c>
      <c r="G983">
        <v>97.9</v>
      </c>
      <c r="H983">
        <v>2.1</v>
      </c>
      <c r="I983">
        <v>3</v>
      </c>
      <c r="J983">
        <v>10</v>
      </c>
      <c r="K983">
        <v>10</v>
      </c>
      <c r="L983">
        <v>0</v>
      </c>
      <c r="M983" t="s">
        <v>20</v>
      </c>
      <c r="N983" t="s">
        <v>35</v>
      </c>
      <c r="O983">
        <v>18.600000000000001</v>
      </c>
      <c r="P983" s="1">
        <v>45536</v>
      </c>
      <c r="Q983" t="str">
        <f t="shared" si="15"/>
        <v>High Performance</v>
      </c>
      <c r="R983" s="2">
        <f>Table1_1[[#This Row],[tasks_completed]]/Table1_1[[#This Row],[monthly_hours_worked]]</f>
        <v>2.1067415730337078E-2</v>
      </c>
    </row>
    <row r="984" spans="1:18" x14ac:dyDescent="0.3">
      <c r="A984" t="s">
        <v>126</v>
      </c>
      <c r="B984" t="s">
        <v>33</v>
      </c>
      <c r="C984" t="s">
        <v>41</v>
      </c>
      <c r="D984" t="s">
        <v>19</v>
      </c>
      <c r="E984">
        <v>10</v>
      </c>
      <c r="F984">
        <v>171.9</v>
      </c>
      <c r="G984">
        <v>93.6</v>
      </c>
      <c r="H984">
        <v>5.6</v>
      </c>
      <c r="I984">
        <v>7</v>
      </c>
      <c r="J984">
        <v>7.48</v>
      </c>
      <c r="K984">
        <v>4.13</v>
      </c>
      <c r="L984">
        <v>0</v>
      </c>
      <c r="M984" t="s">
        <v>20</v>
      </c>
      <c r="N984" t="s">
        <v>26</v>
      </c>
      <c r="O984">
        <v>24.52</v>
      </c>
      <c r="P984" s="1">
        <v>45566</v>
      </c>
      <c r="Q984" t="str">
        <f t="shared" si="15"/>
        <v>High Performance</v>
      </c>
      <c r="R984" s="2">
        <f>Table1_1[[#This Row],[tasks_completed]]/Table1_1[[#This Row],[monthly_hours_worked]]</f>
        <v>4.0721349621873182E-2</v>
      </c>
    </row>
    <row r="985" spans="1:18" x14ac:dyDescent="0.3">
      <c r="A985" t="s">
        <v>126</v>
      </c>
      <c r="B985" t="s">
        <v>17</v>
      </c>
      <c r="C985" t="s">
        <v>18</v>
      </c>
      <c r="D985" t="s">
        <v>29</v>
      </c>
      <c r="E985">
        <v>9</v>
      </c>
      <c r="F985">
        <v>158.4</v>
      </c>
      <c r="G985">
        <v>88.4</v>
      </c>
      <c r="I985">
        <v>5</v>
      </c>
      <c r="J985">
        <v>8.58</v>
      </c>
      <c r="K985">
        <v>8.33</v>
      </c>
      <c r="L985">
        <v>1</v>
      </c>
      <c r="M985" t="s">
        <v>20</v>
      </c>
      <c r="N985" t="s">
        <v>21</v>
      </c>
      <c r="O985">
        <v>14.86</v>
      </c>
      <c r="P985" s="1">
        <v>45597</v>
      </c>
      <c r="Q985" t="str">
        <f t="shared" si="15"/>
        <v>Medium Performance</v>
      </c>
      <c r="R985" s="2">
        <f>Table1_1[[#This Row],[tasks_completed]]/Table1_1[[#This Row],[monthly_hours_worked]]</f>
        <v>3.1565656565656568E-2</v>
      </c>
    </row>
    <row r="986" spans="1:18" x14ac:dyDescent="0.3">
      <c r="A986" t="s">
        <v>127</v>
      </c>
      <c r="B986" t="s">
        <v>43</v>
      </c>
      <c r="C986" t="s">
        <v>18</v>
      </c>
      <c r="D986" t="s">
        <v>39</v>
      </c>
      <c r="E986">
        <v>1</v>
      </c>
      <c r="F986">
        <v>161.6</v>
      </c>
      <c r="G986">
        <v>92.3</v>
      </c>
      <c r="I986">
        <v>7</v>
      </c>
      <c r="K986">
        <v>7.38</v>
      </c>
      <c r="L986">
        <v>0</v>
      </c>
      <c r="M986" t="s">
        <v>34</v>
      </c>
      <c r="N986" t="s">
        <v>21</v>
      </c>
      <c r="O986">
        <v>13.4</v>
      </c>
      <c r="P986" s="1">
        <v>45292</v>
      </c>
      <c r="Q986" t="str">
        <f t="shared" si="15"/>
        <v>Medium Performance</v>
      </c>
      <c r="R986" s="2">
        <f>Table1_1[[#This Row],[tasks_completed]]/Table1_1[[#This Row],[monthly_hours_worked]]</f>
        <v>4.3316831683168321E-2</v>
      </c>
    </row>
    <row r="987" spans="1:18" x14ac:dyDescent="0.3">
      <c r="A987" t="s">
        <v>127</v>
      </c>
      <c r="B987" t="s">
        <v>23</v>
      </c>
      <c r="C987" t="s">
        <v>18</v>
      </c>
      <c r="D987" t="s">
        <v>39</v>
      </c>
      <c r="E987">
        <v>8</v>
      </c>
      <c r="F987">
        <v>161</v>
      </c>
      <c r="G987">
        <v>92.7</v>
      </c>
      <c r="H987">
        <v>5</v>
      </c>
      <c r="I987">
        <v>8</v>
      </c>
      <c r="J987">
        <v>5.9</v>
      </c>
      <c r="K987">
        <v>8.44</v>
      </c>
      <c r="L987">
        <v>1</v>
      </c>
      <c r="M987" t="s">
        <v>25</v>
      </c>
      <c r="N987" t="s">
        <v>35</v>
      </c>
      <c r="O987">
        <v>13.69</v>
      </c>
      <c r="P987" s="1">
        <v>45292</v>
      </c>
      <c r="Q987" t="str">
        <f t="shared" si="15"/>
        <v>Medium Performance</v>
      </c>
      <c r="R987" s="2">
        <f>Table1_1[[#This Row],[tasks_completed]]/Table1_1[[#This Row],[monthly_hours_worked]]</f>
        <v>4.9689440993788817E-2</v>
      </c>
    </row>
    <row r="988" spans="1:18" x14ac:dyDescent="0.3">
      <c r="A988" t="s">
        <v>127</v>
      </c>
      <c r="B988" t="s">
        <v>23</v>
      </c>
      <c r="C988" t="s">
        <v>37</v>
      </c>
      <c r="D988" t="s">
        <v>29</v>
      </c>
      <c r="E988">
        <v>6</v>
      </c>
      <c r="F988">
        <v>169.8</v>
      </c>
      <c r="G988">
        <v>90</v>
      </c>
      <c r="H988">
        <v>3.1</v>
      </c>
      <c r="I988">
        <v>8</v>
      </c>
      <c r="J988">
        <v>7.7</v>
      </c>
      <c r="K988">
        <v>10</v>
      </c>
      <c r="L988">
        <v>1</v>
      </c>
      <c r="M988" t="s">
        <v>20</v>
      </c>
      <c r="N988" t="s">
        <v>21</v>
      </c>
      <c r="O988">
        <v>8.7899999999999991</v>
      </c>
      <c r="P988" s="1">
        <v>45352</v>
      </c>
      <c r="Q988" t="str">
        <f t="shared" si="15"/>
        <v>Low Performance</v>
      </c>
      <c r="R988" s="2">
        <f>Table1_1[[#This Row],[tasks_completed]]/Table1_1[[#This Row],[monthly_hours_worked]]</f>
        <v>4.7114252061248522E-2</v>
      </c>
    </row>
    <row r="989" spans="1:18" x14ac:dyDescent="0.3">
      <c r="A989" t="s">
        <v>127</v>
      </c>
      <c r="B989" t="s">
        <v>27</v>
      </c>
      <c r="C989" t="s">
        <v>18</v>
      </c>
      <c r="D989" t="s">
        <v>39</v>
      </c>
      <c r="E989">
        <v>10</v>
      </c>
      <c r="F989">
        <v>150.4</v>
      </c>
      <c r="G989">
        <v>86.2</v>
      </c>
      <c r="H989">
        <v>4.5999999999999996</v>
      </c>
      <c r="I989">
        <v>4</v>
      </c>
      <c r="J989">
        <v>7.02</v>
      </c>
      <c r="K989">
        <v>6.05</v>
      </c>
      <c r="L989">
        <v>1</v>
      </c>
      <c r="M989" t="s">
        <v>20</v>
      </c>
      <c r="N989" t="s">
        <v>26</v>
      </c>
      <c r="O989">
        <v>20.89</v>
      </c>
      <c r="P989" s="1">
        <v>45352</v>
      </c>
      <c r="Q989" t="str">
        <f t="shared" si="15"/>
        <v>High Performance</v>
      </c>
      <c r="R989" s="2">
        <f>Table1_1[[#This Row],[tasks_completed]]/Table1_1[[#This Row],[monthly_hours_worked]]</f>
        <v>2.6595744680851064E-2</v>
      </c>
    </row>
    <row r="990" spans="1:18" x14ac:dyDescent="0.3">
      <c r="A990" t="s">
        <v>127</v>
      </c>
      <c r="B990" t="s">
        <v>27</v>
      </c>
      <c r="C990" t="s">
        <v>41</v>
      </c>
      <c r="D990" t="s">
        <v>29</v>
      </c>
      <c r="E990">
        <v>4</v>
      </c>
      <c r="F990">
        <v>170.8</v>
      </c>
      <c r="G990">
        <v>100</v>
      </c>
      <c r="H990">
        <v>1.4</v>
      </c>
      <c r="I990">
        <v>7</v>
      </c>
      <c r="J990">
        <v>5.66</v>
      </c>
      <c r="K990">
        <v>6.35</v>
      </c>
      <c r="L990">
        <v>0</v>
      </c>
      <c r="M990" t="s">
        <v>20</v>
      </c>
      <c r="N990" t="s">
        <v>21</v>
      </c>
      <c r="O990">
        <v>14.49</v>
      </c>
      <c r="P990" s="1">
        <v>45383</v>
      </c>
      <c r="Q990" t="str">
        <f t="shared" si="15"/>
        <v>Medium Performance</v>
      </c>
      <c r="R990" s="2">
        <f>Table1_1[[#This Row],[tasks_completed]]/Table1_1[[#This Row],[monthly_hours_worked]]</f>
        <v>4.0983606557377046E-2</v>
      </c>
    </row>
    <row r="991" spans="1:18" x14ac:dyDescent="0.3">
      <c r="A991" t="s">
        <v>127</v>
      </c>
      <c r="B991" t="s">
        <v>27</v>
      </c>
      <c r="C991" t="s">
        <v>18</v>
      </c>
      <c r="D991" t="s">
        <v>19</v>
      </c>
      <c r="E991">
        <v>8</v>
      </c>
      <c r="F991">
        <v>181.4</v>
      </c>
      <c r="G991">
        <v>99.8</v>
      </c>
      <c r="H991">
        <v>5.5</v>
      </c>
      <c r="I991">
        <v>11</v>
      </c>
      <c r="J991">
        <v>8.26</v>
      </c>
      <c r="K991">
        <v>8.6</v>
      </c>
      <c r="L991">
        <v>1</v>
      </c>
      <c r="M991" t="s">
        <v>20</v>
      </c>
      <c r="N991" t="s">
        <v>26</v>
      </c>
      <c r="O991">
        <v>9.61</v>
      </c>
      <c r="P991" s="1">
        <v>45413</v>
      </c>
      <c r="Q991" t="str">
        <f t="shared" si="15"/>
        <v>Low Performance</v>
      </c>
      <c r="R991" s="2">
        <f>Table1_1[[#This Row],[tasks_completed]]/Table1_1[[#This Row],[monthly_hours_worked]]</f>
        <v>6.0639470782800436E-2</v>
      </c>
    </row>
    <row r="992" spans="1:18" x14ac:dyDescent="0.3">
      <c r="A992" t="s">
        <v>127</v>
      </c>
      <c r="B992" t="s">
        <v>43</v>
      </c>
      <c r="C992" t="s">
        <v>41</v>
      </c>
      <c r="D992" t="s">
        <v>29</v>
      </c>
      <c r="E992">
        <v>7</v>
      </c>
      <c r="F992">
        <v>178.1</v>
      </c>
      <c r="G992">
        <v>89.1</v>
      </c>
      <c r="H992">
        <v>1.9</v>
      </c>
      <c r="I992">
        <v>6</v>
      </c>
      <c r="J992">
        <v>5.82</v>
      </c>
      <c r="K992">
        <v>5.55</v>
      </c>
      <c r="L992">
        <v>0</v>
      </c>
      <c r="M992" t="s">
        <v>34</v>
      </c>
      <c r="N992" t="s">
        <v>26</v>
      </c>
      <c r="O992">
        <v>9.31</v>
      </c>
      <c r="P992" s="1">
        <v>45444</v>
      </c>
      <c r="Q992" t="str">
        <f t="shared" si="15"/>
        <v>Low Performance</v>
      </c>
      <c r="R992" s="2">
        <f>Table1_1[[#This Row],[tasks_completed]]/Table1_1[[#This Row],[monthly_hours_worked]]</f>
        <v>3.3688938798427853E-2</v>
      </c>
    </row>
    <row r="993" spans="1:18" x14ac:dyDescent="0.3">
      <c r="A993" t="s">
        <v>127</v>
      </c>
      <c r="B993" t="s">
        <v>23</v>
      </c>
      <c r="C993" t="s">
        <v>24</v>
      </c>
      <c r="D993" t="s">
        <v>29</v>
      </c>
      <c r="E993">
        <v>5</v>
      </c>
      <c r="F993">
        <v>159.9</v>
      </c>
      <c r="G993">
        <v>92.1</v>
      </c>
      <c r="H993">
        <v>3.9</v>
      </c>
      <c r="I993">
        <v>7</v>
      </c>
      <c r="J993">
        <v>8.32</v>
      </c>
      <c r="K993">
        <v>8</v>
      </c>
      <c r="L993">
        <v>1</v>
      </c>
      <c r="M993" t="s">
        <v>20</v>
      </c>
      <c r="N993" t="s">
        <v>26</v>
      </c>
      <c r="O993">
        <v>4.82</v>
      </c>
      <c r="P993" s="1">
        <v>45474</v>
      </c>
      <c r="Q993" t="str">
        <f t="shared" si="15"/>
        <v>Low Performance</v>
      </c>
      <c r="R993" s="2">
        <f>Table1_1[[#This Row],[tasks_completed]]/Table1_1[[#This Row],[monthly_hours_worked]]</f>
        <v>4.3777360850531584E-2</v>
      </c>
    </row>
    <row r="994" spans="1:18" x14ac:dyDescent="0.3">
      <c r="A994" t="s">
        <v>127</v>
      </c>
      <c r="B994" t="s">
        <v>27</v>
      </c>
      <c r="C994" t="s">
        <v>41</v>
      </c>
      <c r="D994" t="s">
        <v>39</v>
      </c>
      <c r="E994">
        <v>5</v>
      </c>
      <c r="F994">
        <v>162.30000000000001</v>
      </c>
      <c r="G994">
        <v>95.4</v>
      </c>
      <c r="H994">
        <v>2.5</v>
      </c>
      <c r="I994">
        <v>2</v>
      </c>
      <c r="J994">
        <v>5.52</v>
      </c>
      <c r="K994">
        <v>8.81</v>
      </c>
      <c r="L994">
        <v>1</v>
      </c>
      <c r="M994" t="s">
        <v>34</v>
      </c>
      <c r="N994" t="s">
        <v>35</v>
      </c>
      <c r="O994">
        <v>16.75</v>
      </c>
      <c r="P994" s="1">
        <v>45505</v>
      </c>
      <c r="Q994" t="str">
        <f t="shared" si="15"/>
        <v>High Performance</v>
      </c>
      <c r="R994" s="2">
        <f>Table1_1[[#This Row],[tasks_completed]]/Table1_1[[#This Row],[monthly_hours_worked]]</f>
        <v>1.2322858903265557E-2</v>
      </c>
    </row>
    <row r="995" spans="1:18" x14ac:dyDescent="0.3">
      <c r="A995" t="s">
        <v>127</v>
      </c>
      <c r="B995" t="s">
        <v>43</v>
      </c>
      <c r="C995" t="s">
        <v>41</v>
      </c>
      <c r="D995" t="s">
        <v>19</v>
      </c>
      <c r="E995">
        <v>2</v>
      </c>
      <c r="F995">
        <v>137.80000000000001</v>
      </c>
      <c r="G995">
        <v>96.8</v>
      </c>
      <c r="H995">
        <v>5.0999999999999996</v>
      </c>
      <c r="I995">
        <v>3</v>
      </c>
      <c r="J995">
        <v>7.04</v>
      </c>
      <c r="K995">
        <v>7.04</v>
      </c>
      <c r="L995">
        <v>2</v>
      </c>
      <c r="M995" t="s">
        <v>25</v>
      </c>
      <c r="N995" t="s">
        <v>35</v>
      </c>
      <c r="O995">
        <v>15.91</v>
      </c>
      <c r="P995" s="1">
        <v>45536</v>
      </c>
      <c r="Q995" t="str">
        <f t="shared" si="15"/>
        <v>High Performance</v>
      </c>
      <c r="R995" s="2">
        <f>Table1_1[[#This Row],[tasks_completed]]/Table1_1[[#This Row],[monthly_hours_worked]]</f>
        <v>2.1770682148040638E-2</v>
      </c>
    </row>
    <row r="996" spans="1:18" x14ac:dyDescent="0.3">
      <c r="A996" t="s">
        <v>127</v>
      </c>
      <c r="B996" t="s">
        <v>43</v>
      </c>
      <c r="C996" t="s">
        <v>37</v>
      </c>
      <c r="D996" t="s">
        <v>39</v>
      </c>
      <c r="E996">
        <v>4</v>
      </c>
      <c r="F996">
        <v>144.5</v>
      </c>
      <c r="G996">
        <v>91.9</v>
      </c>
      <c r="H996">
        <v>5.2</v>
      </c>
      <c r="I996">
        <v>6</v>
      </c>
      <c r="J996">
        <v>7.34</v>
      </c>
      <c r="K996">
        <v>4.62</v>
      </c>
      <c r="L996">
        <v>0</v>
      </c>
      <c r="M996" t="s">
        <v>20</v>
      </c>
      <c r="N996" t="s">
        <v>21</v>
      </c>
      <c r="O996">
        <v>10.92</v>
      </c>
      <c r="P996" s="1">
        <v>45566</v>
      </c>
      <c r="Q996" t="str">
        <f t="shared" si="15"/>
        <v>Medium Performance</v>
      </c>
      <c r="R996" s="2">
        <f>Table1_1[[#This Row],[tasks_completed]]/Table1_1[[#This Row],[monthly_hours_worked]]</f>
        <v>4.1522491349480967E-2</v>
      </c>
    </row>
    <row r="997" spans="1:18" x14ac:dyDescent="0.3">
      <c r="A997" t="s">
        <v>127</v>
      </c>
      <c r="B997" t="s">
        <v>23</v>
      </c>
      <c r="C997" t="s">
        <v>31</v>
      </c>
      <c r="D997" t="s">
        <v>19</v>
      </c>
      <c r="E997">
        <v>4</v>
      </c>
      <c r="F997">
        <v>155</v>
      </c>
      <c r="G997">
        <v>100</v>
      </c>
      <c r="H997">
        <v>3.4</v>
      </c>
      <c r="I997">
        <v>5</v>
      </c>
      <c r="J997">
        <v>7.26</v>
      </c>
      <c r="K997">
        <v>8.2899999999999991</v>
      </c>
      <c r="L997">
        <v>0</v>
      </c>
      <c r="M997" t="s">
        <v>34</v>
      </c>
      <c r="N997" t="s">
        <v>26</v>
      </c>
      <c r="O997">
        <v>26</v>
      </c>
      <c r="P997" s="1">
        <v>45597</v>
      </c>
      <c r="Q997" t="str">
        <f t="shared" si="15"/>
        <v>High Performance</v>
      </c>
      <c r="R997" s="2">
        <f>Table1_1[[#This Row],[tasks_completed]]/Table1_1[[#This Row],[monthly_hours_worked]]</f>
        <v>3.2258064516129031E-2</v>
      </c>
    </row>
    <row r="998" spans="1:18" x14ac:dyDescent="0.3">
      <c r="A998" t="s">
        <v>128</v>
      </c>
      <c r="B998" t="s">
        <v>27</v>
      </c>
      <c r="C998" t="s">
        <v>37</v>
      </c>
      <c r="D998" t="s">
        <v>19</v>
      </c>
      <c r="E998">
        <v>10</v>
      </c>
      <c r="F998">
        <v>163.80000000000001</v>
      </c>
      <c r="G998">
        <v>100</v>
      </c>
      <c r="H998">
        <v>3.5</v>
      </c>
      <c r="I998">
        <v>6</v>
      </c>
      <c r="K998">
        <v>6.64</v>
      </c>
      <c r="L998">
        <v>0</v>
      </c>
      <c r="M998" t="s">
        <v>34</v>
      </c>
      <c r="N998" t="s">
        <v>35</v>
      </c>
      <c r="O998">
        <v>18.02</v>
      </c>
      <c r="P998" s="1">
        <v>45292</v>
      </c>
      <c r="Q998" t="str">
        <f t="shared" si="15"/>
        <v>High Performance</v>
      </c>
      <c r="R998" s="2">
        <f>Table1_1[[#This Row],[tasks_completed]]/Table1_1[[#This Row],[monthly_hours_worked]]</f>
        <v>3.6630036630036625E-2</v>
      </c>
    </row>
    <row r="999" spans="1:18" x14ac:dyDescent="0.3">
      <c r="A999" t="s">
        <v>128</v>
      </c>
      <c r="B999" t="s">
        <v>27</v>
      </c>
      <c r="C999" t="s">
        <v>24</v>
      </c>
      <c r="D999" t="s">
        <v>29</v>
      </c>
      <c r="E999">
        <v>4</v>
      </c>
      <c r="F999">
        <v>167.5</v>
      </c>
      <c r="G999">
        <v>93</v>
      </c>
      <c r="H999">
        <v>0.6</v>
      </c>
      <c r="I999">
        <v>4</v>
      </c>
      <c r="J999">
        <v>8.2100000000000009</v>
      </c>
      <c r="K999">
        <v>3.81</v>
      </c>
      <c r="L999">
        <v>0</v>
      </c>
      <c r="M999" t="s">
        <v>25</v>
      </c>
      <c r="N999" t="s">
        <v>26</v>
      </c>
      <c r="O999">
        <v>18.96</v>
      </c>
      <c r="P999" s="1">
        <v>45292</v>
      </c>
      <c r="Q999" t="str">
        <f t="shared" si="15"/>
        <v>High Performance</v>
      </c>
      <c r="R999" s="2">
        <f>Table1_1[[#This Row],[tasks_completed]]/Table1_1[[#This Row],[monthly_hours_worked]]</f>
        <v>2.3880597014925373E-2</v>
      </c>
    </row>
    <row r="1000" spans="1:18" x14ac:dyDescent="0.3">
      <c r="A1000" t="s">
        <v>128</v>
      </c>
      <c r="B1000" t="s">
        <v>33</v>
      </c>
      <c r="C1000" t="s">
        <v>37</v>
      </c>
      <c r="D1000" t="s">
        <v>19</v>
      </c>
      <c r="E1000">
        <v>6</v>
      </c>
      <c r="F1000">
        <v>160.9</v>
      </c>
      <c r="G1000">
        <v>97</v>
      </c>
      <c r="H1000">
        <v>3.3</v>
      </c>
      <c r="I1000">
        <v>7</v>
      </c>
      <c r="J1000">
        <v>9.41</v>
      </c>
      <c r="K1000">
        <v>10</v>
      </c>
      <c r="L1000">
        <v>0</v>
      </c>
      <c r="M1000" t="s">
        <v>25</v>
      </c>
      <c r="N1000" t="s">
        <v>26</v>
      </c>
      <c r="O1000">
        <v>8.51</v>
      </c>
      <c r="P1000" s="1">
        <v>45352</v>
      </c>
      <c r="Q1000" t="str">
        <f t="shared" si="15"/>
        <v>Low Performance</v>
      </c>
      <c r="R1000" s="2">
        <f>Table1_1[[#This Row],[tasks_completed]]/Table1_1[[#This Row],[monthly_hours_worked]]</f>
        <v>4.3505282784338094E-2</v>
      </c>
    </row>
    <row r="1001" spans="1:18" x14ac:dyDescent="0.3">
      <c r="A1001" t="s">
        <v>128</v>
      </c>
      <c r="B1001" t="s">
        <v>23</v>
      </c>
      <c r="C1001" t="s">
        <v>41</v>
      </c>
      <c r="D1001" t="s">
        <v>19</v>
      </c>
      <c r="E1001">
        <v>2</v>
      </c>
      <c r="F1001">
        <v>153.80000000000001</v>
      </c>
      <c r="G1001">
        <v>98.9</v>
      </c>
      <c r="H1001">
        <v>7.1</v>
      </c>
      <c r="I1001">
        <v>6</v>
      </c>
      <c r="J1001">
        <v>5.59</v>
      </c>
      <c r="K1001">
        <v>5.83</v>
      </c>
      <c r="L1001">
        <v>1</v>
      </c>
      <c r="M1001" t="s">
        <v>34</v>
      </c>
      <c r="N1001" t="s">
        <v>26</v>
      </c>
      <c r="O1001">
        <v>15</v>
      </c>
      <c r="P1001" s="1">
        <v>45352</v>
      </c>
      <c r="Q1001" t="str">
        <f t="shared" si="15"/>
        <v>High Performance</v>
      </c>
      <c r="R1001" s="2">
        <f>Table1_1[[#This Row],[tasks_completed]]/Table1_1[[#This Row],[monthly_hours_worked]]</f>
        <v>3.9011703511053313E-2</v>
      </c>
    </row>
    <row r="1002" spans="1:18" x14ac:dyDescent="0.3">
      <c r="A1002" t="s">
        <v>128</v>
      </c>
      <c r="B1002" t="s">
        <v>33</v>
      </c>
      <c r="C1002" t="s">
        <v>18</v>
      </c>
      <c r="D1002" t="s">
        <v>39</v>
      </c>
      <c r="E1002">
        <v>6</v>
      </c>
      <c r="F1002">
        <v>155.4</v>
      </c>
      <c r="G1002">
        <v>90</v>
      </c>
      <c r="H1002">
        <v>4.2</v>
      </c>
      <c r="I1002">
        <v>7</v>
      </c>
      <c r="J1002">
        <v>9.25</v>
      </c>
      <c r="K1002">
        <v>7.81</v>
      </c>
      <c r="L1002">
        <v>0</v>
      </c>
      <c r="M1002" t="s">
        <v>34</v>
      </c>
      <c r="N1002" t="s">
        <v>35</v>
      </c>
      <c r="O1002">
        <v>11.15</v>
      </c>
      <c r="P1002" s="1">
        <v>45383</v>
      </c>
      <c r="Q1002" t="str">
        <f t="shared" si="15"/>
        <v>Medium Performance</v>
      </c>
      <c r="R1002" s="2">
        <f>Table1_1[[#This Row],[tasks_completed]]/Table1_1[[#This Row],[monthly_hours_worked]]</f>
        <v>4.5045045045045043E-2</v>
      </c>
    </row>
    <row r="1003" spans="1:18" x14ac:dyDescent="0.3">
      <c r="A1003" t="s">
        <v>128</v>
      </c>
      <c r="B1003" t="s">
        <v>27</v>
      </c>
      <c r="C1003" t="s">
        <v>41</v>
      </c>
      <c r="D1003" t="s">
        <v>19</v>
      </c>
      <c r="E1003">
        <v>7</v>
      </c>
      <c r="F1003">
        <v>159.69999999999999</v>
      </c>
      <c r="G1003">
        <v>91.2</v>
      </c>
      <c r="H1003">
        <v>6.1</v>
      </c>
      <c r="I1003">
        <v>6</v>
      </c>
      <c r="J1003">
        <v>6.35</v>
      </c>
      <c r="K1003">
        <v>6.52</v>
      </c>
      <c r="L1003">
        <v>0</v>
      </c>
      <c r="M1003" t="s">
        <v>34</v>
      </c>
      <c r="N1003" t="s">
        <v>35</v>
      </c>
      <c r="O1003">
        <v>10.26</v>
      </c>
      <c r="P1003" s="1">
        <v>45413</v>
      </c>
      <c r="Q1003" t="str">
        <f t="shared" si="15"/>
        <v>Medium Performance</v>
      </c>
      <c r="R1003" s="2">
        <f>Table1_1[[#This Row],[tasks_completed]]/Table1_1[[#This Row],[monthly_hours_worked]]</f>
        <v>3.7570444583594244E-2</v>
      </c>
    </row>
    <row r="1004" spans="1:18" x14ac:dyDescent="0.3">
      <c r="A1004" t="s">
        <v>128</v>
      </c>
      <c r="B1004" t="s">
        <v>27</v>
      </c>
      <c r="C1004" t="s">
        <v>37</v>
      </c>
      <c r="D1004" t="s">
        <v>39</v>
      </c>
      <c r="E1004">
        <v>10</v>
      </c>
      <c r="F1004">
        <v>157.9</v>
      </c>
      <c r="G1004">
        <v>98</v>
      </c>
      <c r="H1004">
        <v>3.1</v>
      </c>
      <c r="I1004">
        <v>0</v>
      </c>
      <c r="J1004">
        <v>9.1</v>
      </c>
      <c r="K1004">
        <v>9.83</v>
      </c>
      <c r="L1004">
        <v>0</v>
      </c>
      <c r="M1004" t="s">
        <v>25</v>
      </c>
      <c r="N1004" t="s">
        <v>26</v>
      </c>
      <c r="O1004">
        <v>9.8699999999999992</v>
      </c>
      <c r="P1004" s="1">
        <v>45444</v>
      </c>
      <c r="Q1004" t="str">
        <f t="shared" si="15"/>
        <v>Low Performance</v>
      </c>
      <c r="R1004" s="2">
        <f>Table1_1[[#This Row],[tasks_completed]]/Table1_1[[#This Row],[monthly_hours_worked]]</f>
        <v>0</v>
      </c>
    </row>
    <row r="1005" spans="1:18" x14ac:dyDescent="0.3">
      <c r="A1005" t="s">
        <v>128</v>
      </c>
      <c r="B1005" t="s">
        <v>17</v>
      </c>
      <c r="C1005" t="s">
        <v>18</v>
      </c>
      <c r="D1005" t="s">
        <v>39</v>
      </c>
      <c r="E1005">
        <v>4</v>
      </c>
      <c r="F1005">
        <v>156.4</v>
      </c>
      <c r="G1005">
        <v>89.3</v>
      </c>
      <c r="H1005">
        <v>3.7</v>
      </c>
      <c r="I1005">
        <v>5</v>
      </c>
      <c r="K1005">
        <v>8.58</v>
      </c>
      <c r="L1005">
        <v>0</v>
      </c>
      <c r="M1005" t="s">
        <v>25</v>
      </c>
      <c r="N1005" t="s">
        <v>21</v>
      </c>
      <c r="O1005">
        <v>20.41</v>
      </c>
      <c r="P1005" s="1">
        <v>45474</v>
      </c>
      <c r="Q1005" t="str">
        <f t="shared" si="15"/>
        <v>High Performance</v>
      </c>
      <c r="R1005" s="2">
        <f>Table1_1[[#This Row],[tasks_completed]]/Table1_1[[#This Row],[monthly_hours_worked]]</f>
        <v>3.1969309462915603E-2</v>
      </c>
    </row>
    <row r="1006" spans="1:18" x14ac:dyDescent="0.3">
      <c r="A1006" t="s">
        <v>128</v>
      </c>
      <c r="B1006" t="s">
        <v>17</v>
      </c>
      <c r="C1006" t="s">
        <v>24</v>
      </c>
      <c r="D1006" t="s">
        <v>39</v>
      </c>
      <c r="E1006">
        <v>4</v>
      </c>
      <c r="F1006">
        <v>172.3</v>
      </c>
      <c r="G1006">
        <v>86.3</v>
      </c>
      <c r="H1006">
        <v>2.6</v>
      </c>
      <c r="I1006">
        <v>9</v>
      </c>
      <c r="J1006">
        <v>6.58</v>
      </c>
      <c r="K1006">
        <v>8.07</v>
      </c>
      <c r="L1006">
        <v>0</v>
      </c>
      <c r="M1006" t="s">
        <v>25</v>
      </c>
      <c r="N1006" t="s">
        <v>35</v>
      </c>
      <c r="O1006">
        <v>15.37</v>
      </c>
      <c r="P1006" s="1">
        <v>45505</v>
      </c>
      <c r="Q1006" t="str">
        <f t="shared" si="15"/>
        <v>High Performance</v>
      </c>
      <c r="R1006" s="2">
        <f>Table1_1[[#This Row],[tasks_completed]]/Table1_1[[#This Row],[monthly_hours_worked]]</f>
        <v>5.2234474753337201E-2</v>
      </c>
    </row>
    <row r="1007" spans="1:18" x14ac:dyDescent="0.3">
      <c r="A1007" t="s">
        <v>128</v>
      </c>
      <c r="B1007" t="s">
        <v>33</v>
      </c>
      <c r="C1007" t="s">
        <v>24</v>
      </c>
      <c r="D1007" t="s">
        <v>29</v>
      </c>
      <c r="E1007">
        <v>6</v>
      </c>
      <c r="F1007">
        <v>178.6</v>
      </c>
      <c r="G1007">
        <v>91.9</v>
      </c>
      <c r="H1007">
        <v>6.4</v>
      </c>
      <c r="I1007">
        <v>6</v>
      </c>
      <c r="J1007">
        <v>9.51</v>
      </c>
      <c r="K1007">
        <v>10</v>
      </c>
      <c r="L1007">
        <v>0</v>
      </c>
      <c r="M1007" t="s">
        <v>34</v>
      </c>
      <c r="N1007" t="s">
        <v>35</v>
      </c>
      <c r="O1007">
        <v>12.75</v>
      </c>
      <c r="P1007" s="1">
        <v>45536</v>
      </c>
      <c r="Q1007" t="str">
        <f t="shared" si="15"/>
        <v>Medium Performance</v>
      </c>
      <c r="R1007" s="2">
        <f>Table1_1[[#This Row],[tasks_completed]]/Table1_1[[#This Row],[monthly_hours_worked]]</f>
        <v>3.3594624860022397E-2</v>
      </c>
    </row>
    <row r="1008" spans="1:18" x14ac:dyDescent="0.3">
      <c r="A1008" t="s">
        <v>128</v>
      </c>
      <c r="B1008" t="s">
        <v>23</v>
      </c>
      <c r="C1008" t="s">
        <v>41</v>
      </c>
      <c r="D1008" t="s">
        <v>29</v>
      </c>
      <c r="E1008">
        <v>4</v>
      </c>
      <c r="F1008">
        <v>162.5</v>
      </c>
      <c r="G1008">
        <v>95</v>
      </c>
      <c r="H1008">
        <v>5</v>
      </c>
      <c r="I1008">
        <v>3</v>
      </c>
      <c r="J1008">
        <v>6.48</v>
      </c>
      <c r="K1008">
        <v>9.3800000000000008</v>
      </c>
      <c r="L1008">
        <v>0</v>
      </c>
      <c r="M1008" t="s">
        <v>20</v>
      </c>
      <c r="N1008" t="s">
        <v>35</v>
      </c>
      <c r="O1008">
        <v>6.2</v>
      </c>
      <c r="P1008" s="1">
        <v>45566</v>
      </c>
      <c r="Q1008" t="str">
        <f t="shared" si="15"/>
        <v>Low Performance</v>
      </c>
      <c r="R1008" s="2">
        <f>Table1_1[[#This Row],[tasks_completed]]/Table1_1[[#This Row],[monthly_hours_worked]]</f>
        <v>1.8461538461538463E-2</v>
      </c>
    </row>
    <row r="1009" spans="1:18" x14ac:dyDescent="0.3">
      <c r="A1009" t="s">
        <v>128</v>
      </c>
      <c r="B1009" t="s">
        <v>17</v>
      </c>
      <c r="C1009" t="s">
        <v>41</v>
      </c>
      <c r="D1009" t="s">
        <v>19</v>
      </c>
      <c r="E1009">
        <v>6</v>
      </c>
      <c r="F1009">
        <v>163.19999999999999</v>
      </c>
      <c r="G1009">
        <v>93.7</v>
      </c>
      <c r="H1009">
        <v>2.6</v>
      </c>
      <c r="I1009">
        <v>7</v>
      </c>
      <c r="K1009">
        <v>5.92</v>
      </c>
      <c r="L1009">
        <v>0</v>
      </c>
      <c r="M1009" t="s">
        <v>34</v>
      </c>
      <c r="N1009" t="s">
        <v>26</v>
      </c>
      <c r="O1009">
        <v>11.13</v>
      </c>
      <c r="P1009" s="1">
        <v>45597</v>
      </c>
      <c r="Q1009" t="str">
        <f t="shared" si="15"/>
        <v>Medium Performance</v>
      </c>
      <c r="R1009" s="2">
        <f>Table1_1[[#This Row],[tasks_completed]]/Table1_1[[#This Row],[monthly_hours_worked]]</f>
        <v>4.2892156862745098E-2</v>
      </c>
    </row>
    <row r="1010" spans="1:18" x14ac:dyDescent="0.3">
      <c r="A1010" t="s">
        <v>129</v>
      </c>
      <c r="B1010" t="s">
        <v>23</v>
      </c>
      <c r="C1010" t="s">
        <v>41</v>
      </c>
      <c r="D1010" t="s">
        <v>39</v>
      </c>
      <c r="E1010">
        <v>5</v>
      </c>
      <c r="F1010">
        <v>179.2</v>
      </c>
      <c r="G1010">
        <v>95.2</v>
      </c>
      <c r="H1010">
        <v>9</v>
      </c>
      <c r="I1010">
        <v>5</v>
      </c>
      <c r="J1010">
        <v>8.27</v>
      </c>
      <c r="K1010">
        <v>4.33</v>
      </c>
      <c r="L1010">
        <v>1</v>
      </c>
      <c r="M1010" t="s">
        <v>25</v>
      </c>
      <c r="N1010" t="s">
        <v>26</v>
      </c>
      <c r="O1010">
        <v>6.02</v>
      </c>
      <c r="P1010" s="1">
        <v>45292</v>
      </c>
      <c r="Q1010" t="str">
        <f t="shared" si="15"/>
        <v>Low Performance</v>
      </c>
      <c r="R1010" s="2">
        <f>Table1_1[[#This Row],[tasks_completed]]/Table1_1[[#This Row],[monthly_hours_worked]]</f>
        <v>2.7901785714285716E-2</v>
      </c>
    </row>
    <row r="1011" spans="1:18" x14ac:dyDescent="0.3">
      <c r="A1011" t="s">
        <v>129</v>
      </c>
      <c r="B1011" t="s">
        <v>33</v>
      </c>
      <c r="C1011" t="s">
        <v>18</v>
      </c>
      <c r="D1011" t="s">
        <v>39</v>
      </c>
      <c r="E1011">
        <v>5</v>
      </c>
      <c r="F1011">
        <v>163.1</v>
      </c>
      <c r="G1011">
        <v>100</v>
      </c>
      <c r="H1011">
        <v>1.9</v>
      </c>
      <c r="I1011">
        <v>4</v>
      </c>
      <c r="J1011">
        <v>9.67</v>
      </c>
      <c r="K1011">
        <v>5.72</v>
      </c>
      <c r="L1011">
        <v>0</v>
      </c>
      <c r="M1011" t="s">
        <v>20</v>
      </c>
      <c r="N1011" t="s">
        <v>35</v>
      </c>
      <c r="O1011">
        <v>10</v>
      </c>
      <c r="P1011" s="1">
        <v>45292</v>
      </c>
      <c r="Q1011" t="str">
        <f t="shared" si="15"/>
        <v>Medium Performance</v>
      </c>
      <c r="R1011" s="2">
        <f>Table1_1[[#This Row],[tasks_completed]]/Table1_1[[#This Row],[monthly_hours_worked]]</f>
        <v>2.4524831391784182E-2</v>
      </c>
    </row>
    <row r="1012" spans="1:18" x14ac:dyDescent="0.3">
      <c r="A1012" t="s">
        <v>129</v>
      </c>
      <c r="B1012" t="s">
        <v>33</v>
      </c>
      <c r="C1012" t="s">
        <v>41</v>
      </c>
      <c r="D1012" t="s">
        <v>29</v>
      </c>
      <c r="E1012">
        <v>10</v>
      </c>
      <c r="F1012">
        <v>181.7</v>
      </c>
      <c r="G1012">
        <v>100</v>
      </c>
      <c r="H1012">
        <v>0.7</v>
      </c>
      <c r="I1012">
        <v>4</v>
      </c>
      <c r="J1012">
        <v>7.98</v>
      </c>
      <c r="K1012">
        <v>5.91</v>
      </c>
      <c r="L1012">
        <v>0</v>
      </c>
      <c r="M1012" t="s">
        <v>25</v>
      </c>
      <c r="N1012" t="s">
        <v>26</v>
      </c>
      <c r="O1012">
        <v>8.52</v>
      </c>
      <c r="P1012" s="1">
        <v>45352</v>
      </c>
      <c r="Q1012" t="str">
        <f t="shared" si="15"/>
        <v>Low Performance</v>
      </c>
      <c r="R1012" s="2">
        <f>Table1_1[[#This Row],[tasks_completed]]/Table1_1[[#This Row],[monthly_hours_worked]]</f>
        <v>2.2014309301045681E-2</v>
      </c>
    </row>
    <row r="1013" spans="1:18" x14ac:dyDescent="0.3">
      <c r="A1013" t="s">
        <v>129</v>
      </c>
      <c r="B1013" t="s">
        <v>33</v>
      </c>
      <c r="C1013" t="s">
        <v>24</v>
      </c>
      <c r="D1013" t="s">
        <v>19</v>
      </c>
      <c r="E1013">
        <v>4</v>
      </c>
      <c r="F1013">
        <v>168.2</v>
      </c>
      <c r="G1013">
        <v>91.4</v>
      </c>
      <c r="H1013">
        <v>3.7</v>
      </c>
      <c r="I1013">
        <v>6</v>
      </c>
      <c r="J1013">
        <v>6.82</v>
      </c>
      <c r="K1013">
        <v>5.72</v>
      </c>
      <c r="L1013">
        <v>0</v>
      </c>
      <c r="M1013" t="s">
        <v>20</v>
      </c>
      <c r="N1013" t="s">
        <v>21</v>
      </c>
      <c r="O1013">
        <v>6.53</v>
      </c>
      <c r="P1013" s="1">
        <v>45352</v>
      </c>
      <c r="Q1013" t="str">
        <f t="shared" si="15"/>
        <v>Low Performance</v>
      </c>
      <c r="R1013" s="2">
        <f>Table1_1[[#This Row],[tasks_completed]]/Table1_1[[#This Row],[monthly_hours_worked]]</f>
        <v>3.5671819262782407E-2</v>
      </c>
    </row>
    <row r="1014" spans="1:18" x14ac:dyDescent="0.3">
      <c r="A1014" t="s">
        <v>129</v>
      </c>
      <c r="B1014" t="s">
        <v>33</v>
      </c>
      <c r="C1014" t="s">
        <v>41</v>
      </c>
      <c r="D1014" t="s">
        <v>19</v>
      </c>
      <c r="E1014">
        <v>4</v>
      </c>
      <c r="F1014">
        <v>173</v>
      </c>
      <c r="G1014">
        <v>95.3</v>
      </c>
      <c r="H1014">
        <v>4.5999999999999996</v>
      </c>
      <c r="I1014">
        <v>9</v>
      </c>
      <c r="J1014">
        <v>6.58</v>
      </c>
      <c r="K1014">
        <v>6.88</v>
      </c>
      <c r="L1014">
        <v>1</v>
      </c>
      <c r="M1014" t="s">
        <v>34</v>
      </c>
      <c r="N1014" t="s">
        <v>26</v>
      </c>
      <c r="O1014">
        <v>12.65</v>
      </c>
      <c r="P1014" s="1">
        <v>45383</v>
      </c>
      <c r="Q1014" t="str">
        <f t="shared" si="15"/>
        <v>Medium Performance</v>
      </c>
      <c r="R1014" s="2">
        <f>Table1_1[[#This Row],[tasks_completed]]/Table1_1[[#This Row],[monthly_hours_worked]]</f>
        <v>5.2023121387283239E-2</v>
      </c>
    </row>
    <row r="1015" spans="1:18" x14ac:dyDescent="0.3">
      <c r="A1015" t="s">
        <v>129</v>
      </c>
      <c r="B1015" t="s">
        <v>23</v>
      </c>
      <c r="C1015" t="s">
        <v>24</v>
      </c>
      <c r="D1015" t="s">
        <v>39</v>
      </c>
      <c r="E1015">
        <v>2</v>
      </c>
      <c r="F1015">
        <v>148.69999999999999</v>
      </c>
      <c r="G1015">
        <v>97</v>
      </c>
      <c r="H1015">
        <v>4</v>
      </c>
      <c r="I1015">
        <v>6</v>
      </c>
      <c r="J1015">
        <v>10</v>
      </c>
      <c r="K1015">
        <v>4.1500000000000004</v>
      </c>
      <c r="L1015">
        <v>1</v>
      </c>
      <c r="M1015" t="s">
        <v>20</v>
      </c>
      <c r="N1015" t="s">
        <v>21</v>
      </c>
      <c r="O1015">
        <v>21.53</v>
      </c>
      <c r="P1015" s="1">
        <v>45413</v>
      </c>
      <c r="Q1015" t="str">
        <f t="shared" si="15"/>
        <v>High Performance</v>
      </c>
      <c r="R1015" s="2">
        <f>Table1_1[[#This Row],[tasks_completed]]/Table1_1[[#This Row],[monthly_hours_worked]]</f>
        <v>4.0349697377269671E-2</v>
      </c>
    </row>
    <row r="1016" spans="1:18" x14ac:dyDescent="0.3">
      <c r="A1016" t="s">
        <v>129</v>
      </c>
      <c r="B1016" t="s">
        <v>17</v>
      </c>
      <c r="C1016" t="s">
        <v>24</v>
      </c>
      <c r="D1016" t="s">
        <v>29</v>
      </c>
      <c r="E1016">
        <v>6</v>
      </c>
      <c r="F1016">
        <v>170.2</v>
      </c>
      <c r="G1016">
        <v>100</v>
      </c>
      <c r="H1016">
        <v>7</v>
      </c>
      <c r="I1016">
        <v>10</v>
      </c>
      <c r="J1016">
        <v>8.5399999999999991</v>
      </c>
      <c r="K1016">
        <v>7.81</v>
      </c>
      <c r="L1016">
        <v>1</v>
      </c>
      <c r="M1016" t="s">
        <v>34</v>
      </c>
      <c r="N1016" t="s">
        <v>26</v>
      </c>
      <c r="O1016">
        <v>3.17</v>
      </c>
      <c r="P1016" s="1">
        <v>45444</v>
      </c>
      <c r="Q1016" t="str">
        <f t="shared" si="15"/>
        <v>Low Performance</v>
      </c>
      <c r="R1016" s="2">
        <f>Table1_1[[#This Row],[tasks_completed]]/Table1_1[[#This Row],[monthly_hours_worked]]</f>
        <v>5.8754406580493544E-2</v>
      </c>
    </row>
    <row r="1017" spans="1:18" x14ac:dyDescent="0.3">
      <c r="A1017" t="s">
        <v>129</v>
      </c>
      <c r="B1017" t="s">
        <v>17</v>
      </c>
      <c r="C1017" t="s">
        <v>31</v>
      </c>
      <c r="D1017" t="s">
        <v>29</v>
      </c>
      <c r="E1017">
        <v>1</v>
      </c>
      <c r="F1017">
        <v>150.30000000000001</v>
      </c>
      <c r="G1017">
        <v>100</v>
      </c>
      <c r="H1017">
        <v>3.8</v>
      </c>
      <c r="I1017">
        <v>7</v>
      </c>
      <c r="J1017">
        <v>8.26</v>
      </c>
      <c r="K1017">
        <v>7.49</v>
      </c>
      <c r="L1017">
        <v>1</v>
      </c>
      <c r="M1017" t="s">
        <v>20</v>
      </c>
      <c r="N1017" t="s">
        <v>35</v>
      </c>
      <c r="O1017">
        <v>8.59</v>
      </c>
      <c r="P1017" s="1">
        <v>45474</v>
      </c>
      <c r="Q1017" t="str">
        <f t="shared" si="15"/>
        <v>Low Performance</v>
      </c>
      <c r="R1017" s="2">
        <f>Table1_1[[#This Row],[tasks_completed]]/Table1_1[[#This Row],[monthly_hours_worked]]</f>
        <v>4.6573519627411838E-2</v>
      </c>
    </row>
    <row r="1018" spans="1:18" x14ac:dyDescent="0.3">
      <c r="A1018" t="s">
        <v>129</v>
      </c>
      <c r="B1018" t="s">
        <v>27</v>
      </c>
      <c r="C1018" t="s">
        <v>37</v>
      </c>
      <c r="D1018" t="s">
        <v>29</v>
      </c>
      <c r="E1018">
        <v>1</v>
      </c>
      <c r="F1018">
        <v>151.9</v>
      </c>
      <c r="G1018">
        <v>100</v>
      </c>
      <c r="H1018">
        <v>5.0999999999999996</v>
      </c>
      <c r="I1018">
        <v>8</v>
      </c>
      <c r="J1018">
        <v>10</v>
      </c>
      <c r="K1018">
        <v>8.69</v>
      </c>
      <c r="L1018">
        <v>0</v>
      </c>
      <c r="M1018" t="s">
        <v>25</v>
      </c>
      <c r="N1018" t="s">
        <v>26</v>
      </c>
      <c r="O1018">
        <v>17.32</v>
      </c>
      <c r="P1018" s="1">
        <v>45505</v>
      </c>
      <c r="Q1018" t="str">
        <f t="shared" si="15"/>
        <v>High Performance</v>
      </c>
      <c r="R1018" s="2">
        <f>Table1_1[[#This Row],[tasks_completed]]/Table1_1[[#This Row],[monthly_hours_worked]]</f>
        <v>5.2666227781435156E-2</v>
      </c>
    </row>
    <row r="1019" spans="1:18" x14ac:dyDescent="0.3">
      <c r="A1019" t="s">
        <v>129</v>
      </c>
      <c r="B1019" t="s">
        <v>33</v>
      </c>
      <c r="C1019" t="s">
        <v>18</v>
      </c>
      <c r="D1019" t="s">
        <v>39</v>
      </c>
      <c r="E1019">
        <v>7</v>
      </c>
      <c r="F1019">
        <v>173.5</v>
      </c>
      <c r="G1019">
        <v>98.1</v>
      </c>
      <c r="H1019">
        <v>6.6</v>
      </c>
      <c r="I1019">
        <v>1</v>
      </c>
      <c r="J1019">
        <v>8.3800000000000008</v>
      </c>
      <c r="K1019">
        <v>7.33</v>
      </c>
      <c r="L1019">
        <v>0</v>
      </c>
      <c r="M1019" t="s">
        <v>20</v>
      </c>
      <c r="N1019" t="s">
        <v>26</v>
      </c>
      <c r="O1019">
        <v>20.68</v>
      </c>
      <c r="P1019" s="1">
        <v>45536</v>
      </c>
      <c r="Q1019" t="str">
        <f t="shared" si="15"/>
        <v>High Performance</v>
      </c>
      <c r="R1019" s="2">
        <f>Table1_1[[#This Row],[tasks_completed]]/Table1_1[[#This Row],[monthly_hours_worked]]</f>
        <v>5.763688760806916E-3</v>
      </c>
    </row>
    <row r="1020" spans="1:18" x14ac:dyDescent="0.3">
      <c r="A1020" t="s">
        <v>129</v>
      </c>
      <c r="B1020" t="s">
        <v>23</v>
      </c>
      <c r="C1020" t="s">
        <v>18</v>
      </c>
      <c r="D1020" t="s">
        <v>29</v>
      </c>
      <c r="E1020">
        <v>6</v>
      </c>
      <c r="F1020">
        <v>191</v>
      </c>
      <c r="G1020">
        <v>95.1</v>
      </c>
      <c r="H1020">
        <v>5.3</v>
      </c>
      <c r="I1020">
        <v>9</v>
      </c>
      <c r="J1020">
        <v>9.39</v>
      </c>
      <c r="K1020">
        <v>7.89</v>
      </c>
      <c r="L1020">
        <v>0</v>
      </c>
      <c r="M1020" t="s">
        <v>20</v>
      </c>
      <c r="N1020" t="s">
        <v>26</v>
      </c>
      <c r="O1020">
        <v>20.84</v>
      </c>
      <c r="P1020" s="1">
        <v>45566</v>
      </c>
      <c r="Q1020" t="str">
        <f t="shared" si="15"/>
        <v>High Performance</v>
      </c>
      <c r="R1020" s="2">
        <f>Table1_1[[#This Row],[tasks_completed]]/Table1_1[[#This Row],[monthly_hours_worked]]</f>
        <v>4.712041884816754E-2</v>
      </c>
    </row>
    <row r="1021" spans="1:18" x14ac:dyDescent="0.3">
      <c r="A1021" t="s">
        <v>129</v>
      </c>
      <c r="B1021" t="s">
        <v>17</v>
      </c>
      <c r="C1021" t="s">
        <v>41</v>
      </c>
      <c r="D1021" t="s">
        <v>19</v>
      </c>
      <c r="E1021">
        <v>10</v>
      </c>
      <c r="F1021">
        <v>147.9</v>
      </c>
      <c r="G1021">
        <v>94.8</v>
      </c>
      <c r="H1021">
        <v>5.9</v>
      </c>
      <c r="I1021">
        <v>10</v>
      </c>
      <c r="K1021">
        <v>8.32</v>
      </c>
      <c r="L1021">
        <v>0</v>
      </c>
      <c r="M1021" t="s">
        <v>20</v>
      </c>
      <c r="N1021" t="s">
        <v>35</v>
      </c>
      <c r="O1021">
        <v>10.16</v>
      </c>
      <c r="P1021" s="1">
        <v>45597</v>
      </c>
      <c r="Q1021" t="str">
        <f t="shared" si="15"/>
        <v>Medium Performance</v>
      </c>
      <c r="R1021" s="2">
        <f>Table1_1[[#This Row],[tasks_completed]]/Table1_1[[#This Row],[monthly_hours_worked]]</f>
        <v>6.7613252197430695E-2</v>
      </c>
    </row>
    <row r="1022" spans="1:18" x14ac:dyDescent="0.3">
      <c r="A1022" t="s">
        <v>130</v>
      </c>
      <c r="B1022" t="s">
        <v>27</v>
      </c>
      <c r="C1022" t="s">
        <v>41</v>
      </c>
      <c r="D1022" t="s">
        <v>39</v>
      </c>
      <c r="E1022">
        <v>2</v>
      </c>
      <c r="F1022">
        <v>158</v>
      </c>
      <c r="G1022">
        <v>90.5</v>
      </c>
      <c r="H1022">
        <v>4.8</v>
      </c>
      <c r="I1022">
        <v>6</v>
      </c>
      <c r="J1022">
        <v>8.17</v>
      </c>
      <c r="K1022">
        <v>9.26</v>
      </c>
      <c r="L1022">
        <v>0</v>
      </c>
      <c r="M1022" t="s">
        <v>25</v>
      </c>
      <c r="N1022" t="s">
        <v>26</v>
      </c>
      <c r="O1022">
        <v>14.22</v>
      </c>
      <c r="P1022" s="1">
        <v>45292</v>
      </c>
      <c r="Q1022" t="str">
        <f t="shared" si="15"/>
        <v>Medium Performance</v>
      </c>
      <c r="R1022" s="2">
        <f>Table1_1[[#This Row],[tasks_completed]]/Table1_1[[#This Row],[monthly_hours_worked]]</f>
        <v>3.7974683544303799E-2</v>
      </c>
    </row>
    <row r="1023" spans="1:18" x14ac:dyDescent="0.3">
      <c r="A1023" t="s">
        <v>130</v>
      </c>
      <c r="B1023" t="s">
        <v>33</v>
      </c>
      <c r="C1023" t="s">
        <v>41</v>
      </c>
      <c r="D1023" t="s">
        <v>29</v>
      </c>
      <c r="E1023">
        <v>4</v>
      </c>
      <c r="F1023">
        <v>150</v>
      </c>
      <c r="G1023">
        <v>100</v>
      </c>
      <c r="H1023">
        <v>5.2</v>
      </c>
      <c r="I1023">
        <v>12</v>
      </c>
      <c r="K1023">
        <v>6.61</v>
      </c>
      <c r="L1023">
        <v>0</v>
      </c>
      <c r="M1023" t="s">
        <v>25</v>
      </c>
      <c r="N1023" t="s">
        <v>26</v>
      </c>
      <c r="O1023">
        <v>15.61</v>
      </c>
      <c r="P1023" s="1">
        <v>45292</v>
      </c>
      <c r="Q1023" t="str">
        <f t="shared" si="15"/>
        <v>High Performance</v>
      </c>
      <c r="R1023" s="2">
        <f>Table1_1[[#This Row],[tasks_completed]]/Table1_1[[#This Row],[monthly_hours_worked]]</f>
        <v>0.08</v>
      </c>
    </row>
    <row r="1024" spans="1:18" x14ac:dyDescent="0.3">
      <c r="A1024" t="s">
        <v>130</v>
      </c>
      <c r="B1024" t="s">
        <v>17</v>
      </c>
      <c r="C1024" t="s">
        <v>41</v>
      </c>
      <c r="D1024" t="s">
        <v>29</v>
      </c>
      <c r="E1024">
        <v>3</v>
      </c>
      <c r="F1024">
        <v>154.80000000000001</v>
      </c>
      <c r="G1024">
        <v>97.8</v>
      </c>
      <c r="H1024">
        <v>2.1</v>
      </c>
      <c r="I1024">
        <v>4</v>
      </c>
      <c r="J1024">
        <v>7.7</v>
      </c>
      <c r="K1024">
        <v>7.24</v>
      </c>
      <c r="L1024">
        <v>0</v>
      </c>
      <c r="M1024" t="s">
        <v>20</v>
      </c>
      <c r="N1024" t="s">
        <v>26</v>
      </c>
      <c r="O1024">
        <v>8.41</v>
      </c>
      <c r="P1024" s="1">
        <v>45352</v>
      </c>
      <c r="Q1024" t="str">
        <f t="shared" si="15"/>
        <v>Low Performance</v>
      </c>
      <c r="R1024" s="2">
        <f>Table1_1[[#This Row],[tasks_completed]]/Table1_1[[#This Row],[monthly_hours_worked]]</f>
        <v>2.5839793281653745E-2</v>
      </c>
    </row>
    <row r="1025" spans="1:18" x14ac:dyDescent="0.3">
      <c r="A1025" t="s">
        <v>130</v>
      </c>
      <c r="B1025" t="s">
        <v>27</v>
      </c>
      <c r="C1025" t="s">
        <v>31</v>
      </c>
      <c r="D1025" t="s">
        <v>29</v>
      </c>
      <c r="E1025">
        <v>4</v>
      </c>
      <c r="F1025">
        <v>162.1</v>
      </c>
      <c r="G1025">
        <v>96.5</v>
      </c>
      <c r="H1025">
        <v>4.4000000000000004</v>
      </c>
      <c r="I1025">
        <v>5</v>
      </c>
      <c r="J1025">
        <v>8.11</v>
      </c>
      <c r="K1025">
        <v>5.59</v>
      </c>
      <c r="L1025">
        <v>1</v>
      </c>
      <c r="M1025" t="s">
        <v>20</v>
      </c>
      <c r="N1025" t="s">
        <v>21</v>
      </c>
      <c r="O1025">
        <v>12.3</v>
      </c>
      <c r="P1025" s="1">
        <v>45352</v>
      </c>
      <c r="Q1025" t="str">
        <f t="shared" si="15"/>
        <v>Medium Performance</v>
      </c>
      <c r="R1025" s="2">
        <f>Table1_1[[#This Row],[tasks_completed]]/Table1_1[[#This Row],[monthly_hours_worked]]</f>
        <v>3.0845157310302282E-2</v>
      </c>
    </row>
    <row r="1026" spans="1:18" x14ac:dyDescent="0.3">
      <c r="A1026" t="s">
        <v>130</v>
      </c>
      <c r="B1026" t="s">
        <v>23</v>
      </c>
      <c r="C1026" t="s">
        <v>37</v>
      </c>
      <c r="D1026" t="s">
        <v>39</v>
      </c>
      <c r="E1026">
        <v>8</v>
      </c>
      <c r="F1026">
        <v>160.80000000000001</v>
      </c>
      <c r="G1026">
        <v>100</v>
      </c>
      <c r="H1026">
        <v>4.8</v>
      </c>
      <c r="I1026">
        <v>8</v>
      </c>
      <c r="J1026">
        <v>7.77</v>
      </c>
      <c r="K1026">
        <v>8.84</v>
      </c>
      <c r="L1026">
        <v>2</v>
      </c>
      <c r="M1026" t="s">
        <v>20</v>
      </c>
      <c r="N1026" t="s">
        <v>35</v>
      </c>
      <c r="O1026">
        <v>13.6</v>
      </c>
      <c r="P1026" s="1">
        <v>45383</v>
      </c>
      <c r="Q1026" t="str">
        <f t="shared" ref="Q1026:Q1089" si="16">IF(O1026&gt;=15, "High Performance", IF(O1026&gt;=10, "Medium Performance", "Low Performance"))</f>
        <v>Medium Performance</v>
      </c>
      <c r="R1026" s="2">
        <f>Table1_1[[#This Row],[tasks_completed]]/Table1_1[[#This Row],[monthly_hours_worked]]</f>
        <v>4.9751243781094523E-2</v>
      </c>
    </row>
    <row r="1027" spans="1:18" x14ac:dyDescent="0.3">
      <c r="A1027" t="s">
        <v>130</v>
      </c>
      <c r="B1027" t="s">
        <v>23</v>
      </c>
      <c r="C1027" t="s">
        <v>41</v>
      </c>
      <c r="D1027" t="s">
        <v>19</v>
      </c>
      <c r="E1027">
        <v>2</v>
      </c>
      <c r="F1027">
        <v>174.9</v>
      </c>
      <c r="G1027">
        <v>88.2</v>
      </c>
      <c r="H1027">
        <v>3.8</v>
      </c>
      <c r="I1027">
        <v>4</v>
      </c>
      <c r="J1027">
        <v>8.86</v>
      </c>
      <c r="K1027">
        <v>7.14</v>
      </c>
      <c r="L1027">
        <v>0</v>
      </c>
      <c r="M1027" t="s">
        <v>20</v>
      </c>
      <c r="N1027" t="s">
        <v>26</v>
      </c>
      <c r="O1027">
        <v>18.38</v>
      </c>
      <c r="P1027" s="1">
        <v>45413</v>
      </c>
      <c r="Q1027" t="str">
        <f t="shared" si="16"/>
        <v>High Performance</v>
      </c>
      <c r="R1027" s="2">
        <f>Table1_1[[#This Row],[tasks_completed]]/Table1_1[[#This Row],[monthly_hours_worked]]</f>
        <v>2.2870211549456832E-2</v>
      </c>
    </row>
    <row r="1028" spans="1:18" x14ac:dyDescent="0.3">
      <c r="A1028" t="s">
        <v>130</v>
      </c>
      <c r="B1028" t="s">
        <v>17</v>
      </c>
      <c r="C1028" t="s">
        <v>18</v>
      </c>
      <c r="D1028" t="s">
        <v>19</v>
      </c>
      <c r="E1028">
        <v>9</v>
      </c>
      <c r="F1028">
        <v>145.30000000000001</v>
      </c>
      <c r="G1028">
        <v>93.2</v>
      </c>
      <c r="H1028">
        <v>5.0999999999999996</v>
      </c>
      <c r="I1028">
        <v>9</v>
      </c>
      <c r="J1028">
        <v>4.97</v>
      </c>
      <c r="K1028">
        <v>6.52</v>
      </c>
      <c r="L1028">
        <v>1</v>
      </c>
      <c r="M1028" t="s">
        <v>20</v>
      </c>
      <c r="N1028" t="s">
        <v>35</v>
      </c>
      <c r="O1028">
        <v>13.85</v>
      </c>
      <c r="P1028" s="1">
        <v>45444</v>
      </c>
      <c r="Q1028" t="str">
        <f t="shared" si="16"/>
        <v>Medium Performance</v>
      </c>
      <c r="R1028" s="2">
        <f>Table1_1[[#This Row],[tasks_completed]]/Table1_1[[#This Row],[monthly_hours_worked]]</f>
        <v>6.194081211286992E-2</v>
      </c>
    </row>
    <row r="1029" spans="1:18" x14ac:dyDescent="0.3">
      <c r="A1029" t="s">
        <v>130</v>
      </c>
      <c r="B1029" t="s">
        <v>23</v>
      </c>
      <c r="C1029" t="s">
        <v>41</v>
      </c>
      <c r="D1029" t="s">
        <v>19</v>
      </c>
      <c r="E1029">
        <v>4</v>
      </c>
      <c r="F1029">
        <v>172.8</v>
      </c>
      <c r="G1029">
        <v>100</v>
      </c>
      <c r="H1029">
        <v>8.1999999999999993</v>
      </c>
      <c r="I1029">
        <v>6</v>
      </c>
      <c r="J1029">
        <v>9.6300000000000008</v>
      </c>
      <c r="K1029">
        <v>9.1</v>
      </c>
      <c r="L1029">
        <v>0</v>
      </c>
      <c r="M1029" t="s">
        <v>25</v>
      </c>
      <c r="N1029" t="s">
        <v>21</v>
      </c>
      <c r="O1029">
        <v>14.61</v>
      </c>
      <c r="P1029" s="1">
        <v>45474</v>
      </c>
      <c r="Q1029" t="str">
        <f t="shared" si="16"/>
        <v>Medium Performance</v>
      </c>
      <c r="R1029" s="2">
        <f>Table1_1[[#This Row],[tasks_completed]]/Table1_1[[#This Row],[monthly_hours_worked]]</f>
        <v>3.4722222222222217E-2</v>
      </c>
    </row>
    <row r="1030" spans="1:18" x14ac:dyDescent="0.3">
      <c r="A1030" t="s">
        <v>130</v>
      </c>
      <c r="B1030" t="s">
        <v>33</v>
      </c>
      <c r="C1030" t="s">
        <v>31</v>
      </c>
      <c r="D1030" t="s">
        <v>29</v>
      </c>
      <c r="E1030">
        <v>8</v>
      </c>
      <c r="F1030">
        <v>164.6</v>
      </c>
      <c r="G1030">
        <v>95.8</v>
      </c>
      <c r="H1030">
        <v>0</v>
      </c>
      <c r="I1030">
        <v>9</v>
      </c>
      <c r="J1030">
        <v>6.45</v>
      </c>
      <c r="K1030">
        <v>6.64</v>
      </c>
      <c r="L1030">
        <v>1</v>
      </c>
      <c r="M1030" t="s">
        <v>20</v>
      </c>
      <c r="N1030" t="s">
        <v>35</v>
      </c>
      <c r="O1030">
        <v>13.27</v>
      </c>
      <c r="P1030" s="1">
        <v>45505</v>
      </c>
      <c r="Q1030" t="str">
        <f t="shared" si="16"/>
        <v>Medium Performance</v>
      </c>
      <c r="R1030" s="2">
        <f>Table1_1[[#This Row],[tasks_completed]]/Table1_1[[#This Row],[monthly_hours_worked]]</f>
        <v>5.4678007290400975E-2</v>
      </c>
    </row>
    <row r="1031" spans="1:18" x14ac:dyDescent="0.3">
      <c r="A1031" t="s">
        <v>130</v>
      </c>
      <c r="B1031" t="s">
        <v>27</v>
      </c>
      <c r="C1031" t="s">
        <v>37</v>
      </c>
      <c r="D1031" t="s">
        <v>29</v>
      </c>
      <c r="E1031">
        <v>2</v>
      </c>
      <c r="F1031">
        <v>154.9</v>
      </c>
      <c r="G1031">
        <v>91</v>
      </c>
      <c r="H1031">
        <v>4.7</v>
      </c>
      <c r="I1031">
        <v>5</v>
      </c>
      <c r="J1031">
        <v>10</v>
      </c>
      <c r="K1031">
        <v>6.89</v>
      </c>
      <c r="L1031">
        <v>1</v>
      </c>
      <c r="M1031" t="s">
        <v>34</v>
      </c>
      <c r="N1031" t="s">
        <v>35</v>
      </c>
      <c r="O1031">
        <v>15.4</v>
      </c>
      <c r="P1031" s="1">
        <v>45536</v>
      </c>
      <c r="Q1031" t="str">
        <f t="shared" si="16"/>
        <v>High Performance</v>
      </c>
      <c r="R1031" s="2">
        <f>Table1_1[[#This Row],[tasks_completed]]/Table1_1[[#This Row],[monthly_hours_worked]]</f>
        <v>3.2278889606197549E-2</v>
      </c>
    </row>
    <row r="1032" spans="1:18" x14ac:dyDescent="0.3">
      <c r="A1032" t="s">
        <v>130</v>
      </c>
      <c r="B1032" t="s">
        <v>27</v>
      </c>
      <c r="C1032" t="s">
        <v>41</v>
      </c>
      <c r="D1032" t="s">
        <v>39</v>
      </c>
      <c r="E1032">
        <v>10</v>
      </c>
      <c r="F1032">
        <v>158.1</v>
      </c>
      <c r="G1032">
        <v>94.2</v>
      </c>
      <c r="H1032">
        <v>4.5999999999999996</v>
      </c>
      <c r="I1032">
        <v>7</v>
      </c>
      <c r="J1032">
        <v>6.56</v>
      </c>
      <c r="K1032">
        <v>9.76</v>
      </c>
      <c r="L1032">
        <v>1</v>
      </c>
      <c r="M1032" t="s">
        <v>20</v>
      </c>
      <c r="N1032" t="s">
        <v>21</v>
      </c>
      <c r="O1032">
        <v>17.02</v>
      </c>
      <c r="P1032" s="1">
        <v>45566</v>
      </c>
      <c r="Q1032" t="str">
        <f t="shared" si="16"/>
        <v>High Performance</v>
      </c>
      <c r="R1032" s="2">
        <f>Table1_1[[#This Row],[tasks_completed]]/Table1_1[[#This Row],[monthly_hours_worked]]</f>
        <v>4.4275774826059461E-2</v>
      </c>
    </row>
    <row r="1033" spans="1:18" x14ac:dyDescent="0.3">
      <c r="A1033" t="s">
        <v>130</v>
      </c>
      <c r="B1033" t="s">
        <v>33</v>
      </c>
      <c r="C1033" t="s">
        <v>24</v>
      </c>
      <c r="D1033" t="s">
        <v>39</v>
      </c>
      <c r="E1033">
        <v>10</v>
      </c>
      <c r="F1033">
        <v>165.3</v>
      </c>
      <c r="G1033">
        <v>99.6</v>
      </c>
      <c r="H1033">
        <v>1.8</v>
      </c>
      <c r="I1033">
        <v>8</v>
      </c>
      <c r="J1033">
        <v>7.81</v>
      </c>
      <c r="K1033">
        <v>9.27</v>
      </c>
      <c r="L1033">
        <v>0</v>
      </c>
      <c r="M1033" t="s">
        <v>34</v>
      </c>
      <c r="N1033" t="s">
        <v>21</v>
      </c>
      <c r="O1033">
        <v>17.850000000000001</v>
      </c>
      <c r="P1033" s="1">
        <v>45597</v>
      </c>
      <c r="Q1033" t="str">
        <f t="shared" si="16"/>
        <v>High Performance</v>
      </c>
      <c r="R1033" s="2">
        <f>Table1_1[[#This Row],[tasks_completed]]/Table1_1[[#This Row],[monthly_hours_worked]]</f>
        <v>4.8396854204476702E-2</v>
      </c>
    </row>
    <row r="1034" spans="1:18" x14ac:dyDescent="0.3">
      <c r="A1034" t="s">
        <v>131</v>
      </c>
      <c r="B1034" t="s">
        <v>17</v>
      </c>
      <c r="C1034" t="s">
        <v>24</v>
      </c>
      <c r="D1034" t="s">
        <v>19</v>
      </c>
      <c r="E1034">
        <v>10</v>
      </c>
      <c r="F1034">
        <v>165.5</v>
      </c>
      <c r="G1034">
        <v>88.7</v>
      </c>
      <c r="H1034">
        <v>3.9</v>
      </c>
      <c r="I1034">
        <v>5</v>
      </c>
      <c r="J1034">
        <v>9.0500000000000007</v>
      </c>
      <c r="K1034">
        <v>7.85</v>
      </c>
      <c r="L1034">
        <v>1</v>
      </c>
      <c r="M1034" t="s">
        <v>34</v>
      </c>
      <c r="N1034" t="s">
        <v>21</v>
      </c>
      <c r="O1034">
        <v>18.16</v>
      </c>
      <c r="P1034" s="1">
        <v>45292</v>
      </c>
      <c r="Q1034" t="str">
        <f t="shared" si="16"/>
        <v>High Performance</v>
      </c>
      <c r="R1034" s="2">
        <f>Table1_1[[#This Row],[tasks_completed]]/Table1_1[[#This Row],[monthly_hours_worked]]</f>
        <v>3.0211480362537766E-2</v>
      </c>
    </row>
    <row r="1035" spans="1:18" x14ac:dyDescent="0.3">
      <c r="A1035" t="s">
        <v>131</v>
      </c>
      <c r="B1035" t="s">
        <v>17</v>
      </c>
      <c r="C1035" t="s">
        <v>24</v>
      </c>
      <c r="D1035" t="s">
        <v>19</v>
      </c>
      <c r="E1035">
        <v>4</v>
      </c>
      <c r="F1035">
        <v>163.1</v>
      </c>
      <c r="G1035">
        <v>87.9</v>
      </c>
      <c r="H1035">
        <v>9.6999999999999993</v>
      </c>
      <c r="I1035">
        <v>1</v>
      </c>
      <c r="J1035">
        <v>8.9700000000000006</v>
      </c>
      <c r="K1035">
        <v>7.16</v>
      </c>
      <c r="L1035">
        <v>0</v>
      </c>
      <c r="M1035" t="s">
        <v>34</v>
      </c>
      <c r="N1035" t="s">
        <v>21</v>
      </c>
      <c r="O1035">
        <v>11.46</v>
      </c>
      <c r="P1035" s="1">
        <v>45292</v>
      </c>
      <c r="Q1035" t="str">
        <f t="shared" si="16"/>
        <v>Medium Performance</v>
      </c>
      <c r="R1035" s="2">
        <f>Table1_1[[#This Row],[tasks_completed]]/Table1_1[[#This Row],[monthly_hours_worked]]</f>
        <v>6.1312078479460455E-3</v>
      </c>
    </row>
    <row r="1036" spans="1:18" x14ac:dyDescent="0.3">
      <c r="A1036" t="s">
        <v>131</v>
      </c>
      <c r="B1036" t="s">
        <v>43</v>
      </c>
      <c r="C1036" t="s">
        <v>18</v>
      </c>
      <c r="D1036" t="s">
        <v>29</v>
      </c>
      <c r="E1036">
        <v>2</v>
      </c>
      <c r="F1036">
        <v>161.6</v>
      </c>
      <c r="G1036">
        <v>96.6</v>
      </c>
      <c r="H1036">
        <v>3.2</v>
      </c>
      <c r="I1036">
        <v>6</v>
      </c>
      <c r="J1036">
        <v>7.89</v>
      </c>
      <c r="K1036">
        <v>6.43</v>
      </c>
      <c r="L1036">
        <v>0</v>
      </c>
      <c r="M1036" t="s">
        <v>34</v>
      </c>
      <c r="N1036" t="s">
        <v>26</v>
      </c>
      <c r="O1036">
        <v>4.09</v>
      </c>
      <c r="P1036" s="1">
        <v>45352</v>
      </c>
      <c r="Q1036" t="str">
        <f t="shared" si="16"/>
        <v>Low Performance</v>
      </c>
      <c r="R1036" s="2">
        <f>Table1_1[[#This Row],[tasks_completed]]/Table1_1[[#This Row],[monthly_hours_worked]]</f>
        <v>3.7128712871287127E-2</v>
      </c>
    </row>
    <row r="1037" spans="1:18" x14ac:dyDescent="0.3">
      <c r="A1037" t="s">
        <v>131</v>
      </c>
      <c r="B1037" t="s">
        <v>43</v>
      </c>
      <c r="C1037" t="s">
        <v>18</v>
      </c>
      <c r="D1037" t="s">
        <v>19</v>
      </c>
      <c r="E1037">
        <v>6</v>
      </c>
      <c r="F1037">
        <v>162.30000000000001</v>
      </c>
      <c r="G1037">
        <v>90.5</v>
      </c>
      <c r="H1037">
        <v>5.9</v>
      </c>
      <c r="I1037">
        <v>6</v>
      </c>
      <c r="J1037">
        <v>9.3800000000000008</v>
      </c>
      <c r="K1037">
        <v>7.52</v>
      </c>
      <c r="L1037">
        <v>1</v>
      </c>
      <c r="M1037" t="s">
        <v>34</v>
      </c>
      <c r="N1037" t="s">
        <v>21</v>
      </c>
      <c r="O1037">
        <v>5.8</v>
      </c>
      <c r="P1037" s="1">
        <v>45352</v>
      </c>
      <c r="Q1037" t="str">
        <f t="shared" si="16"/>
        <v>Low Performance</v>
      </c>
      <c r="R1037" s="2">
        <f>Table1_1[[#This Row],[tasks_completed]]/Table1_1[[#This Row],[monthly_hours_worked]]</f>
        <v>3.6968576709796669E-2</v>
      </c>
    </row>
    <row r="1038" spans="1:18" x14ac:dyDescent="0.3">
      <c r="A1038" t="s">
        <v>131</v>
      </c>
      <c r="B1038" t="s">
        <v>17</v>
      </c>
      <c r="C1038" t="s">
        <v>31</v>
      </c>
      <c r="D1038" t="s">
        <v>19</v>
      </c>
      <c r="E1038">
        <v>10</v>
      </c>
      <c r="F1038">
        <v>147.1</v>
      </c>
      <c r="G1038">
        <v>100</v>
      </c>
      <c r="H1038">
        <v>6.1</v>
      </c>
      <c r="I1038">
        <v>3</v>
      </c>
      <c r="J1038">
        <v>6.46</v>
      </c>
      <c r="K1038">
        <v>5.31</v>
      </c>
      <c r="L1038">
        <v>1</v>
      </c>
      <c r="M1038" t="s">
        <v>20</v>
      </c>
      <c r="N1038" t="s">
        <v>21</v>
      </c>
      <c r="O1038">
        <v>8.58</v>
      </c>
      <c r="P1038" s="1">
        <v>45383</v>
      </c>
      <c r="Q1038" t="str">
        <f t="shared" si="16"/>
        <v>Low Performance</v>
      </c>
      <c r="R1038" s="2">
        <f>Table1_1[[#This Row],[tasks_completed]]/Table1_1[[#This Row],[monthly_hours_worked]]</f>
        <v>2.0394289598912305E-2</v>
      </c>
    </row>
    <row r="1039" spans="1:18" x14ac:dyDescent="0.3">
      <c r="A1039" t="s">
        <v>131</v>
      </c>
      <c r="B1039" t="s">
        <v>17</v>
      </c>
      <c r="C1039" t="s">
        <v>18</v>
      </c>
      <c r="D1039" t="s">
        <v>29</v>
      </c>
      <c r="E1039">
        <v>8</v>
      </c>
      <c r="F1039">
        <v>160.1</v>
      </c>
      <c r="G1039">
        <v>92.5</v>
      </c>
      <c r="H1039">
        <v>4.9000000000000004</v>
      </c>
      <c r="I1039">
        <v>6</v>
      </c>
      <c r="J1039">
        <v>6.22</v>
      </c>
      <c r="K1039">
        <v>7.52</v>
      </c>
      <c r="L1039">
        <v>0</v>
      </c>
      <c r="M1039" t="s">
        <v>25</v>
      </c>
      <c r="N1039" t="s">
        <v>35</v>
      </c>
      <c r="O1039">
        <v>19.98</v>
      </c>
      <c r="P1039" s="1">
        <v>45413</v>
      </c>
      <c r="Q1039" t="str">
        <f t="shared" si="16"/>
        <v>High Performance</v>
      </c>
      <c r="R1039" s="2">
        <f>Table1_1[[#This Row],[tasks_completed]]/Table1_1[[#This Row],[monthly_hours_worked]]</f>
        <v>3.7476577139287946E-2</v>
      </c>
    </row>
    <row r="1040" spans="1:18" x14ac:dyDescent="0.3">
      <c r="A1040" t="s">
        <v>131</v>
      </c>
      <c r="B1040" t="s">
        <v>27</v>
      </c>
      <c r="C1040" t="s">
        <v>18</v>
      </c>
      <c r="D1040" t="s">
        <v>19</v>
      </c>
      <c r="E1040">
        <v>6</v>
      </c>
      <c r="F1040">
        <v>156</v>
      </c>
      <c r="G1040">
        <v>99.9</v>
      </c>
      <c r="H1040">
        <v>9.1999999999999993</v>
      </c>
      <c r="I1040">
        <v>4</v>
      </c>
      <c r="J1040">
        <v>8.99</v>
      </c>
      <c r="K1040">
        <v>7.7</v>
      </c>
      <c r="L1040">
        <v>0</v>
      </c>
      <c r="M1040" t="s">
        <v>25</v>
      </c>
      <c r="N1040" t="s">
        <v>35</v>
      </c>
      <c r="O1040">
        <v>15.52</v>
      </c>
      <c r="P1040" s="1">
        <v>45444</v>
      </c>
      <c r="Q1040" t="str">
        <f t="shared" si="16"/>
        <v>High Performance</v>
      </c>
      <c r="R1040" s="2">
        <f>Table1_1[[#This Row],[tasks_completed]]/Table1_1[[#This Row],[monthly_hours_worked]]</f>
        <v>2.564102564102564E-2</v>
      </c>
    </row>
    <row r="1041" spans="1:18" x14ac:dyDescent="0.3">
      <c r="A1041" t="s">
        <v>131</v>
      </c>
      <c r="B1041" t="s">
        <v>43</v>
      </c>
      <c r="C1041" t="s">
        <v>31</v>
      </c>
      <c r="D1041" t="s">
        <v>39</v>
      </c>
      <c r="E1041">
        <v>9</v>
      </c>
      <c r="F1041">
        <v>161.5</v>
      </c>
      <c r="G1041">
        <v>97.8</v>
      </c>
      <c r="H1041">
        <v>6.8</v>
      </c>
      <c r="I1041">
        <v>4</v>
      </c>
      <c r="J1041">
        <v>9.25</v>
      </c>
      <c r="K1041">
        <v>6.82</v>
      </c>
      <c r="L1041">
        <v>0</v>
      </c>
      <c r="M1041" t="s">
        <v>34</v>
      </c>
      <c r="N1041" t="s">
        <v>35</v>
      </c>
      <c r="O1041">
        <v>16.87</v>
      </c>
      <c r="P1041" s="1">
        <v>45474</v>
      </c>
      <c r="Q1041" t="str">
        <f t="shared" si="16"/>
        <v>High Performance</v>
      </c>
      <c r="R1041" s="2">
        <f>Table1_1[[#This Row],[tasks_completed]]/Table1_1[[#This Row],[monthly_hours_worked]]</f>
        <v>2.4767801857585141E-2</v>
      </c>
    </row>
    <row r="1042" spans="1:18" x14ac:dyDescent="0.3">
      <c r="A1042" t="s">
        <v>131</v>
      </c>
      <c r="B1042" t="s">
        <v>43</v>
      </c>
      <c r="C1042" t="s">
        <v>37</v>
      </c>
      <c r="D1042" t="s">
        <v>29</v>
      </c>
      <c r="E1042">
        <v>2</v>
      </c>
      <c r="F1042">
        <v>151.69999999999999</v>
      </c>
      <c r="G1042">
        <v>98.8</v>
      </c>
      <c r="H1042">
        <v>4.5999999999999996</v>
      </c>
      <c r="I1042">
        <v>11</v>
      </c>
      <c r="J1042">
        <v>7.38</v>
      </c>
      <c r="K1042">
        <v>8.77</v>
      </c>
      <c r="L1042">
        <v>1</v>
      </c>
      <c r="M1042" t="s">
        <v>20</v>
      </c>
      <c r="N1042" t="s">
        <v>26</v>
      </c>
      <c r="O1042">
        <v>14.25</v>
      </c>
      <c r="P1042" s="1">
        <v>45505</v>
      </c>
      <c r="Q1042" t="str">
        <f t="shared" si="16"/>
        <v>Medium Performance</v>
      </c>
      <c r="R1042" s="2">
        <f>Table1_1[[#This Row],[tasks_completed]]/Table1_1[[#This Row],[monthly_hours_worked]]</f>
        <v>7.2511535926170073E-2</v>
      </c>
    </row>
    <row r="1043" spans="1:18" x14ac:dyDescent="0.3">
      <c r="A1043" t="s">
        <v>131</v>
      </c>
      <c r="B1043" t="s">
        <v>17</v>
      </c>
      <c r="C1043" t="s">
        <v>41</v>
      </c>
      <c r="D1043" t="s">
        <v>29</v>
      </c>
      <c r="E1043">
        <v>4</v>
      </c>
      <c r="F1043">
        <v>153.4</v>
      </c>
      <c r="G1043">
        <v>92.6</v>
      </c>
      <c r="H1043">
        <v>5.7</v>
      </c>
      <c r="I1043">
        <v>6</v>
      </c>
      <c r="J1043">
        <v>6.73</v>
      </c>
      <c r="K1043">
        <v>9.27</v>
      </c>
      <c r="L1043">
        <v>0</v>
      </c>
      <c r="M1043" t="s">
        <v>34</v>
      </c>
      <c r="N1043" t="s">
        <v>26</v>
      </c>
      <c r="O1043">
        <v>14.66</v>
      </c>
      <c r="P1043" s="1">
        <v>45536</v>
      </c>
      <c r="Q1043" t="str">
        <f t="shared" si="16"/>
        <v>Medium Performance</v>
      </c>
      <c r="R1043" s="2">
        <f>Table1_1[[#This Row],[tasks_completed]]/Table1_1[[#This Row],[monthly_hours_worked]]</f>
        <v>3.911342894393742E-2</v>
      </c>
    </row>
    <row r="1044" spans="1:18" x14ac:dyDescent="0.3">
      <c r="A1044" t="s">
        <v>131</v>
      </c>
      <c r="B1044" t="s">
        <v>27</v>
      </c>
      <c r="C1044" t="s">
        <v>18</v>
      </c>
      <c r="D1044" t="s">
        <v>19</v>
      </c>
      <c r="E1044">
        <v>7</v>
      </c>
      <c r="F1044">
        <v>160.80000000000001</v>
      </c>
      <c r="G1044">
        <v>98</v>
      </c>
      <c r="H1044">
        <v>6.9</v>
      </c>
      <c r="I1044">
        <v>10</v>
      </c>
      <c r="J1044">
        <v>8.44</v>
      </c>
      <c r="K1044">
        <v>1</v>
      </c>
      <c r="L1044">
        <v>2</v>
      </c>
      <c r="M1044" t="s">
        <v>34</v>
      </c>
      <c r="N1044" t="s">
        <v>21</v>
      </c>
      <c r="O1044">
        <v>16.260000000000002</v>
      </c>
      <c r="P1044" s="1">
        <v>45566</v>
      </c>
      <c r="Q1044" t="str">
        <f t="shared" si="16"/>
        <v>High Performance</v>
      </c>
      <c r="R1044" s="2">
        <f>Table1_1[[#This Row],[tasks_completed]]/Table1_1[[#This Row],[monthly_hours_worked]]</f>
        <v>6.2189054726368154E-2</v>
      </c>
    </row>
    <row r="1045" spans="1:18" x14ac:dyDescent="0.3">
      <c r="A1045" t="s">
        <v>131</v>
      </c>
      <c r="B1045" t="s">
        <v>17</v>
      </c>
      <c r="C1045" t="s">
        <v>37</v>
      </c>
      <c r="D1045" t="s">
        <v>19</v>
      </c>
      <c r="E1045">
        <v>2</v>
      </c>
      <c r="F1045">
        <v>151.30000000000001</v>
      </c>
      <c r="G1045">
        <v>100</v>
      </c>
      <c r="H1045">
        <v>4.4000000000000004</v>
      </c>
      <c r="I1045">
        <v>4</v>
      </c>
      <c r="J1045">
        <v>7.18</v>
      </c>
      <c r="K1045">
        <v>7.2</v>
      </c>
      <c r="L1045">
        <v>0</v>
      </c>
      <c r="M1045" t="s">
        <v>25</v>
      </c>
      <c r="N1045" t="s">
        <v>35</v>
      </c>
      <c r="O1045">
        <v>15.34</v>
      </c>
      <c r="P1045" s="1">
        <v>45597</v>
      </c>
      <c r="Q1045" t="str">
        <f t="shared" si="16"/>
        <v>High Performance</v>
      </c>
      <c r="R1045" s="2">
        <f>Table1_1[[#This Row],[tasks_completed]]/Table1_1[[#This Row],[monthly_hours_worked]]</f>
        <v>2.6437541308658292E-2</v>
      </c>
    </row>
    <row r="1046" spans="1:18" x14ac:dyDescent="0.3">
      <c r="A1046" t="s">
        <v>132</v>
      </c>
      <c r="B1046" t="s">
        <v>33</v>
      </c>
      <c r="C1046" t="s">
        <v>41</v>
      </c>
      <c r="D1046" t="s">
        <v>29</v>
      </c>
      <c r="E1046">
        <v>2</v>
      </c>
      <c r="F1046">
        <v>140.80000000000001</v>
      </c>
      <c r="G1046">
        <v>99.7</v>
      </c>
      <c r="H1046">
        <v>5.5</v>
      </c>
      <c r="I1046">
        <v>10</v>
      </c>
      <c r="J1046">
        <v>9.77</v>
      </c>
      <c r="K1046">
        <v>4.8499999999999996</v>
      </c>
      <c r="L1046">
        <v>0</v>
      </c>
      <c r="M1046" t="s">
        <v>20</v>
      </c>
      <c r="N1046" t="s">
        <v>35</v>
      </c>
      <c r="O1046">
        <v>18.29</v>
      </c>
      <c r="P1046" s="1">
        <v>45292</v>
      </c>
      <c r="Q1046" t="str">
        <f t="shared" si="16"/>
        <v>High Performance</v>
      </c>
      <c r="R1046" s="2">
        <f>Table1_1[[#This Row],[tasks_completed]]/Table1_1[[#This Row],[monthly_hours_worked]]</f>
        <v>7.1022727272727265E-2</v>
      </c>
    </row>
    <row r="1047" spans="1:18" x14ac:dyDescent="0.3">
      <c r="A1047" t="s">
        <v>132</v>
      </c>
      <c r="B1047" t="s">
        <v>43</v>
      </c>
      <c r="C1047" t="s">
        <v>31</v>
      </c>
      <c r="D1047" t="s">
        <v>19</v>
      </c>
      <c r="E1047">
        <v>3</v>
      </c>
      <c r="F1047">
        <v>150.30000000000001</v>
      </c>
      <c r="G1047">
        <v>91.9</v>
      </c>
      <c r="H1047">
        <v>3.2</v>
      </c>
      <c r="I1047">
        <v>2</v>
      </c>
      <c r="J1047">
        <v>5.7</v>
      </c>
      <c r="K1047">
        <v>4.93</v>
      </c>
      <c r="L1047">
        <v>0</v>
      </c>
      <c r="M1047" t="s">
        <v>25</v>
      </c>
      <c r="N1047" t="s">
        <v>35</v>
      </c>
      <c r="O1047">
        <v>6.42</v>
      </c>
      <c r="P1047" s="1">
        <v>45292</v>
      </c>
      <c r="Q1047" t="str">
        <f t="shared" si="16"/>
        <v>Low Performance</v>
      </c>
      <c r="R1047" s="2">
        <f>Table1_1[[#This Row],[tasks_completed]]/Table1_1[[#This Row],[monthly_hours_worked]]</f>
        <v>1.330671989354624E-2</v>
      </c>
    </row>
    <row r="1048" spans="1:18" x14ac:dyDescent="0.3">
      <c r="A1048" t="s">
        <v>132</v>
      </c>
      <c r="B1048" t="s">
        <v>23</v>
      </c>
      <c r="C1048" t="s">
        <v>41</v>
      </c>
      <c r="D1048" t="s">
        <v>29</v>
      </c>
      <c r="E1048">
        <v>6</v>
      </c>
      <c r="F1048">
        <v>154.80000000000001</v>
      </c>
      <c r="G1048">
        <v>92.8</v>
      </c>
      <c r="H1048">
        <v>9.3000000000000007</v>
      </c>
      <c r="I1048">
        <v>7</v>
      </c>
      <c r="J1048">
        <v>8.65</v>
      </c>
      <c r="K1048">
        <v>6.68</v>
      </c>
      <c r="L1048">
        <v>0</v>
      </c>
      <c r="M1048" t="s">
        <v>25</v>
      </c>
      <c r="N1048" t="s">
        <v>26</v>
      </c>
      <c r="O1048">
        <v>19.47</v>
      </c>
      <c r="P1048" s="1">
        <v>45352</v>
      </c>
      <c r="Q1048" t="str">
        <f t="shared" si="16"/>
        <v>High Performance</v>
      </c>
      <c r="R1048" s="2">
        <f>Table1_1[[#This Row],[tasks_completed]]/Table1_1[[#This Row],[monthly_hours_worked]]</f>
        <v>4.5219638242894052E-2</v>
      </c>
    </row>
    <row r="1049" spans="1:18" x14ac:dyDescent="0.3">
      <c r="A1049" t="s">
        <v>132</v>
      </c>
      <c r="B1049" t="s">
        <v>43</v>
      </c>
      <c r="C1049" t="s">
        <v>41</v>
      </c>
      <c r="D1049" t="s">
        <v>39</v>
      </c>
      <c r="E1049">
        <v>7</v>
      </c>
      <c r="F1049">
        <v>160.4</v>
      </c>
      <c r="G1049">
        <v>92.6</v>
      </c>
      <c r="H1049">
        <v>5.3</v>
      </c>
      <c r="I1049">
        <v>6</v>
      </c>
      <c r="J1049">
        <v>8.6</v>
      </c>
      <c r="K1049">
        <v>9.9499999999999993</v>
      </c>
      <c r="L1049">
        <v>1</v>
      </c>
      <c r="M1049" t="s">
        <v>34</v>
      </c>
      <c r="N1049" t="s">
        <v>21</v>
      </c>
      <c r="O1049">
        <v>17.73</v>
      </c>
      <c r="P1049" s="1">
        <v>45352</v>
      </c>
      <c r="Q1049" t="str">
        <f t="shared" si="16"/>
        <v>High Performance</v>
      </c>
      <c r="R1049" s="2">
        <f>Table1_1[[#This Row],[tasks_completed]]/Table1_1[[#This Row],[monthly_hours_worked]]</f>
        <v>3.7406483790523692E-2</v>
      </c>
    </row>
    <row r="1050" spans="1:18" x14ac:dyDescent="0.3">
      <c r="A1050" t="s">
        <v>132</v>
      </c>
      <c r="B1050" t="s">
        <v>33</v>
      </c>
      <c r="C1050" t="s">
        <v>37</v>
      </c>
      <c r="D1050" t="s">
        <v>29</v>
      </c>
      <c r="E1050">
        <v>3</v>
      </c>
      <c r="F1050">
        <v>163.5</v>
      </c>
      <c r="G1050">
        <v>92</v>
      </c>
      <c r="H1050">
        <v>7.4</v>
      </c>
      <c r="I1050">
        <v>4</v>
      </c>
      <c r="J1050">
        <v>10</v>
      </c>
      <c r="K1050">
        <v>8.7100000000000009</v>
      </c>
      <c r="L1050">
        <v>0</v>
      </c>
      <c r="M1050" t="s">
        <v>34</v>
      </c>
      <c r="N1050" t="s">
        <v>26</v>
      </c>
      <c r="O1050">
        <v>8.43</v>
      </c>
      <c r="P1050" s="1">
        <v>45383</v>
      </c>
      <c r="Q1050" t="str">
        <f t="shared" si="16"/>
        <v>Low Performance</v>
      </c>
      <c r="R1050" s="2">
        <f>Table1_1[[#This Row],[tasks_completed]]/Table1_1[[#This Row],[monthly_hours_worked]]</f>
        <v>2.4464831804281346E-2</v>
      </c>
    </row>
    <row r="1051" spans="1:18" x14ac:dyDescent="0.3">
      <c r="A1051" t="s">
        <v>132</v>
      </c>
      <c r="B1051" t="s">
        <v>23</v>
      </c>
      <c r="C1051" t="s">
        <v>18</v>
      </c>
      <c r="D1051" t="s">
        <v>29</v>
      </c>
      <c r="E1051">
        <v>9</v>
      </c>
      <c r="F1051">
        <v>145.30000000000001</v>
      </c>
      <c r="G1051">
        <v>100</v>
      </c>
      <c r="H1051">
        <v>6.5</v>
      </c>
      <c r="I1051">
        <v>7</v>
      </c>
      <c r="J1051">
        <v>4.66</v>
      </c>
      <c r="K1051">
        <v>8.67</v>
      </c>
      <c r="L1051">
        <v>0</v>
      </c>
      <c r="M1051" t="s">
        <v>25</v>
      </c>
      <c r="N1051" t="s">
        <v>26</v>
      </c>
      <c r="O1051">
        <v>13.32</v>
      </c>
      <c r="P1051" s="1">
        <v>45413</v>
      </c>
      <c r="Q1051" t="str">
        <f t="shared" si="16"/>
        <v>Medium Performance</v>
      </c>
      <c r="R1051" s="2">
        <f>Table1_1[[#This Row],[tasks_completed]]/Table1_1[[#This Row],[monthly_hours_worked]]</f>
        <v>4.8176187198898823E-2</v>
      </c>
    </row>
    <row r="1052" spans="1:18" x14ac:dyDescent="0.3">
      <c r="A1052" t="s">
        <v>132</v>
      </c>
      <c r="B1052" t="s">
        <v>27</v>
      </c>
      <c r="C1052" t="s">
        <v>31</v>
      </c>
      <c r="D1052" t="s">
        <v>19</v>
      </c>
      <c r="E1052">
        <v>7</v>
      </c>
      <c r="F1052">
        <v>158.1</v>
      </c>
      <c r="G1052">
        <v>92.4</v>
      </c>
      <c r="H1052">
        <v>7.3</v>
      </c>
      <c r="I1052">
        <v>4</v>
      </c>
      <c r="J1052">
        <v>7.93</v>
      </c>
      <c r="K1052">
        <v>6.19</v>
      </c>
      <c r="L1052">
        <v>0</v>
      </c>
      <c r="M1052" t="s">
        <v>34</v>
      </c>
      <c r="N1052" t="s">
        <v>21</v>
      </c>
      <c r="O1052">
        <v>21.13</v>
      </c>
      <c r="P1052" s="1">
        <v>45444</v>
      </c>
      <c r="Q1052" t="str">
        <f t="shared" si="16"/>
        <v>High Performance</v>
      </c>
      <c r="R1052" s="2">
        <f>Table1_1[[#This Row],[tasks_completed]]/Table1_1[[#This Row],[monthly_hours_worked]]</f>
        <v>2.5300442757748263E-2</v>
      </c>
    </row>
    <row r="1053" spans="1:18" x14ac:dyDescent="0.3">
      <c r="A1053" t="s">
        <v>132</v>
      </c>
      <c r="B1053" t="s">
        <v>33</v>
      </c>
      <c r="C1053" t="s">
        <v>24</v>
      </c>
      <c r="D1053" t="s">
        <v>19</v>
      </c>
      <c r="E1053">
        <v>7</v>
      </c>
      <c r="F1053">
        <v>159.1</v>
      </c>
      <c r="G1053">
        <v>86.5</v>
      </c>
      <c r="H1053">
        <v>0.3</v>
      </c>
      <c r="I1053">
        <v>6</v>
      </c>
      <c r="J1053">
        <v>5.43</v>
      </c>
      <c r="K1053">
        <v>3.69</v>
      </c>
      <c r="L1053">
        <v>0</v>
      </c>
      <c r="M1053" t="s">
        <v>34</v>
      </c>
      <c r="N1053" t="s">
        <v>26</v>
      </c>
      <c r="O1053">
        <v>13.64</v>
      </c>
      <c r="P1053" s="1">
        <v>45474</v>
      </c>
      <c r="Q1053" t="str">
        <f t="shared" si="16"/>
        <v>Medium Performance</v>
      </c>
      <c r="R1053" s="2">
        <f>Table1_1[[#This Row],[tasks_completed]]/Table1_1[[#This Row],[monthly_hours_worked]]</f>
        <v>3.7712130735386554E-2</v>
      </c>
    </row>
    <row r="1054" spans="1:18" x14ac:dyDescent="0.3">
      <c r="A1054" t="s">
        <v>132</v>
      </c>
      <c r="B1054" t="s">
        <v>33</v>
      </c>
      <c r="C1054" t="s">
        <v>24</v>
      </c>
      <c r="D1054" t="s">
        <v>39</v>
      </c>
      <c r="E1054">
        <v>10</v>
      </c>
      <c r="F1054">
        <v>174.4</v>
      </c>
      <c r="G1054">
        <v>97.9</v>
      </c>
      <c r="H1054">
        <v>8.1</v>
      </c>
      <c r="I1054">
        <v>3</v>
      </c>
      <c r="J1054">
        <v>4.21</v>
      </c>
      <c r="K1054">
        <v>7.92</v>
      </c>
      <c r="L1054">
        <v>0</v>
      </c>
      <c r="M1054" t="s">
        <v>34</v>
      </c>
      <c r="N1054" t="s">
        <v>26</v>
      </c>
      <c r="O1054">
        <v>10.94</v>
      </c>
      <c r="P1054" s="1">
        <v>45505</v>
      </c>
      <c r="Q1054" t="str">
        <f t="shared" si="16"/>
        <v>Medium Performance</v>
      </c>
      <c r="R1054" s="2">
        <f>Table1_1[[#This Row],[tasks_completed]]/Table1_1[[#This Row],[monthly_hours_worked]]</f>
        <v>1.7201834862385322E-2</v>
      </c>
    </row>
    <row r="1055" spans="1:18" x14ac:dyDescent="0.3">
      <c r="A1055" t="s">
        <v>132</v>
      </c>
      <c r="B1055" t="s">
        <v>23</v>
      </c>
      <c r="C1055" t="s">
        <v>24</v>
      </c>
      <c r="D1055" t="s">
        <v>29</v>
      </c>
      <c r="E1055">
        <v>1</v>
      </c>
      <c r="F1055">
        <v>175.4</v>
      </c>
      <c r="G1055">
        <v>91.3</v>
      </c>
      <c r="H1055">
        <v>5.4</v>
      </c>
      <c r="I1055">
        <v>6</v>
      </c>
      <c r="J1055">
        <v>8.27</v>
      </c>
      <c r="K1055">
        <v>7.58</v>
      </c>
      <c r="L1055">
        <v>1</v>
      </c>
      <c r="M1055" t="s">
        <v>25</v>
      </c>
      <c r="N1055" t="s">
        <v>26</v>
      </c>
      <c r="O1055">
        <v>11.22</v>
      </c>
      <c r="P1055" s="1">
        <v>45536</v>
      </c>
      <c r="Q1055" t="str">
        <f t="shared" si="16"/>
        <v>Medium Performance</v>
      </c>
      <c r="R1055" s="2">
        <f>Table1_1[[#This Row],[tasks_completed]]/Table1_1[[#This Row],[monthly_hours_worked]]</f>
        <v>3.4207525655644243E-2</v>
      </c>
    </row>
    <row r="1056" spans="1:18" x14ac:dyDescent="0.3">
      <c r="A1056" t="s">
        <v>132</v>
      </c>
      <c r="B1056" t="s">
        <v>33</v>
      </c>
      <c r="C1056" t="s">
        <v>24</v>
      </c>
      <c r="D1056" t="s">
        <v>29</v>
      </c>
      <c r="E1056">
        <v>7</v>
      </c>
      <c r="F1056">
        <v>143</v>
      </c>
      <c r="G1056">
        <v>96.8</v>
      </c>
      <c r="H1056">
        <v>3.6</v>
      </c>
      <c r="I1056">
        <v>6</v>
      </c>
      <c r="J1056">
        <v>8.8000000000000007</v>
      </c>
      <c r="K1056">
        <v>5.37</v>
      </c>
      <c r="L1056">
        <v>0</v>
      </c>
      <c r="M1056" t="s">
        <v>25</v>
      </c>
      <c r="N1056" t="s">
        <v>26</v>
      </c>
      <c r="O1056">
        <v>10.51</v>
      </c>
      <c r="P1056" s="1">
        <v>45566</v>
      </c>
      <c r="Q1056" t="str">
        <f t="shared" si="16"/>
        <v>Medium Performance</v>
      </c>
      <c r="R1056" s="2">
        <f>Table1_1[[#This Row],[tasks_completed]]/Table1_1[[#This Row],[monthly_hours_worked]]</f>
        <v>4.195804195804196E-2</v>
      </c>
    </row>
    <row r="1057" spans="1:18" x14ac:dyDescent="0.3">
      <c r="A1057" t="s">
        <v>132</v>
      </c>
      <c r="B1057" t="s">
        <v>27</v>
      </c>
      <c r="C1057" t="s">
        <v>18</v>
      </c>
      <c r="D1057" t="s">
        <v>19</v>
      </c>
      <c r="E1057">
        <v>9</v>
      </c>
      <c r="F1057">
        <v>175.2</v>
      </c>
      <c r="G1057">
        <v>99.6</v>
      </c>
      <c r="H1057">
        <v>6.4</v>
      </c>
      <c r="I1057">
        <v>7</v>
      </c>
      <c r="J1057">
        <v>5.95</v>
      </c>
      <c r="K1057">
        <v>3.45</v>
      </c>
      <c r="L1057">
        <v>0</v>
      </c>
      <c r="M1057" t="s">
        <v>20</v>
      </c>
      <c r="N1057" t="s">
        <v>26</v>
      </c>
      <c r="O1057">
        <v>2.54</v>
      </c>
      <c r="P1057" s="1">
        <v>45597</v>
      </c>
      <c r="Q1057" t="str">
        <f t="shared" si="16"/>
        <v>Low Performance</v>
      </c>
      <c r="R1057" s="2">
        <f>Table1_1[[#This Row],[tasks_completed]]/Table1_1[[#This Row],[monthly_hours_worked]]</f>
        <v>3.9954337899543384E-2</v>
      </c>
    </row>
    <row r="1058" spans="1:18" x14ac:dyDescent="0.3">
      <c r="A1058" t="s">
        <v>133</v>
      </c>
      <c r="B1058" t="s">
        <v>27</v>
      </c>
      <c r="C1058" t="s">
        <v>18</v>
      </c>
      <c r="D1058" t="s">
        <v>39</v>
      </c>
      <c r="E1058">
        <v>6</v>
      </c>
      <c r="F1058">
        <v>150.69999999999999</v>
      </c>
      <c r="G1058">
        <v>91.2</v>
      </c>
      <c r="H1058">
        <v>6</v>
      </c>
      <c r="I1058">
        <v>9</v>
      </c>
      <c r="J1058">
        <v>9.23</v>
      </c>
      <c r="K1058">
        <v>5.75</v>
      </c>
      <c r="L1058">
        <v>0</v>
      </c>
      <c r="M1058" t="s">
        <v>34</v>
      </c>
      <c r="N1058" t="s">
        <v>21</v>
      </c>
      <c r="O1058">
        <v>8.82</v>
      </c>
      <c r="P1058" s="1">
        <v>45292</v>
      </c>
      <c r="Q1058" t="str">
        <f t="shared" si="16"/>
        <v>Low Performance</v>
      </c>
      <c r="R1058" s="2">
        <f>Table1_1[[#This Row],[tasks_completed]]/Table1_1[[#This Row],[monthly_hours_worked]]</f>
        <v>5.9721300597213013E-2</v>
      </c>
    </row>
    <row r="1059" spans="1:18" x14ac:dyDescent="0.3">
      <c r="A1059" t="s">
        <v>133</v>
      </c>
      <c r="B1059" t="s">
        <v>33</v>
      </c>
      <c r="C1059" t="s">
        <v>18</v>
      </c>
      <c r="D1059" t="s">
        <v>29</v>
      </c>
      <c r="E1059">
        <v>7</v>
      </c>
      <c r="F1059">
        <v>164.3</v>
      </c>
      <c r="G1059">
        <v>100</v>
      </c>
      <c r="H1059">
        <v>3.4</v>
      </c>
      <c r="I1059">
        <v>3</v>
      </c>
      <c r="J1059">
        <v>7</v>
      </c>
      <c r="K1059">
        <v>7.25</v>
      </c>
      <c r="L1059">
        <v>0</v>
      </c>
      <c r="M1059" t="s">
        <v>34</v>
      </c>
      <c r="N1059" t="s">
        <v>26</v>
      </c>
      <c r="O1059">
        <v>10.49</v>
      </c>
      <c r="P1059" s="1">
        <v>45292</v>
      </c>
      <c r="Q1059" t="str">
        <f t="shared" si="16"/>
        <v>Medium Performance</v>
      </c>
      <c r="R1059" s="2">
        <f>Table1_1[[#This Row],[tasks_completed]]/Table1_1[[#This Row],[monthly_hours_worked]]</f>
        <v>1.8259281801582469E-2</v>
      </c>
    </row>
    <row r="1060" spans="1:18" x14ac:dyDescent="0.3">
      <c r="A1060" t="s">
        <v>133</v>
      </c>
      <c r="B1060" t="s">
        <v>43</v>
      </c>
      <c r="C1060" t="s">
        <v>37</v>
      </c>
      <c r="D1060" t="s">
        <v>39</v>
      </c>
      <c r="E1060">
        <v>5</v>
      </c>
      <c r="F1060">
        <v>165.9</v>
      </c>
      <c r="G1060">
        <v>100</v>
      </c>
      <c r="H1060">
        <v>8</v>
      </c>
      <c r="I1060">
        <v>9</v>
      </c>
      <c r="K1060">
        <v>8.51</v>
      </c>
      <c r="L1060">
        <v>1</v>
      </c>
      <c r="M1060" t="s">
        <v>25</v>
      </c>
      <c r="N1060" t="s">
        <v>26</v>
      </c>
      <c r="O1060">
        <v>18.84</v>
      </c>
      <c r="P1060" s="1">
        <v>45352</v>
      </c>
      <c r="Q1060" t="str">
        <f t="shared" si="16"/>
        <v>High Performance</v>
      </c>
      <c r="R1060" s="2">
        <f>Table1_1[[#This Row],[tasks_completed]]/Table1_1[[#This Row],[monthly_hours_worked]]</f>
        <v>5.4249547920433995E-2</v>
      </c>
    </row>
    <row r="1061" spans="1:18" x14ac:dyDescent="0.3">
      <c r="A1061" t="s">
        <v>133</v>
      </c>
      <c r="B1061" t="s">
        <v>23</v>
      </c>
      <c r="C1061" t="s">
        <v>18</v>
      </c>
      <c r="D1061" t="s">
        <v>39</v>
      </c>
      <c r="E1061">
        <v>3</v>
      </c>
      <c r="F1061">
        <v>157.80000000000001</v>
      </c>
      <c r="G1061">
        <v>99.8</v>
      </c>
      <c r="H1061">
        <v>6.2</v>
      </c>
      <c r="I1061">
        <v>5</v>
      </c>
      <c r="J1061">
        <v>10</v>
      </c>
      <c r="K1061">
        <v>5.15</v>
      </c>
      <c r="L1061">
        <v>0</v>
      </c>
      <c r="M1061" t="s">
        <v>34</v>
      </c>
      <c r="N1061" t="s">
        <v>21</v>
      </c>
      <c r="O1061">
        <v>15.86</v>
      </c>
      <c r="P1061" s="1">
        <v>45352</v>
      </c>
      <c r="Q1061" t="str">
        <f t="shared" si="16"/>
        <v>High Performance</v>
      </c>
      <c r="R1061" s="2">
        <f>Table1_1[[#This Row],[tasks_completed]]/Table1_1[[#This Row],[monthly_hours_worked]]</f>
        <v>3.1685678073510769E-2</v>
      </c>
    </row>
    <row r="1062" spans="1:18" x14ac:dyDescent="0.3">
      <c r="A1062" t="s">
        <v>133</v>
      </c>
      <c r="B1062" t="s">
        <v>23</v>
      </c>
      <c r="C1062" t="s">
        <v>37</v>
      </c>
      <c r="D1062" t="s">
        <v>39</v>
      </c>
      <c r="E1062">
        <v>3</v>
      </c>
      <c r="F1062">
        <v>151</v>
      </c>
      <c r="G1062">
        <v>100</v>
      </c>
      <c r="H1062">
        <v>2.7</v>
      </c>
      <c r="I1062">
        <v>7</v>
      </c>
      <c r="J1062">
        <v>7.52</v>
      </c>
      <c r="K1062">
        <v>8.23</v>
      </c>
      <c r="L1062">
        <v>1</v>
      </c>
      <c r="M1062" t="s">
        <v>20</v>
      </c>
      <c r="N1062" t="s">
        <v>35</v>
      </c>
      <c r="O1062">
        <v>17.940000000000001</v>
      </c>
      <c r="P1062" s="1">
        <v>45383</v>
      </c>
      <c r="Q1062" t="str">
        <f t="shared" si="16"/>
        <v>High Performance</v>
      </c>
      <c r="R1062" s="2">
        <f>Table1_1[[#This Row],[tasks_completed]]/Table1_1[[#This Row],[monthly_hours_worked]]</f>
        <v>4.6357615894039736E-2</v>
      </c>
    </row>
    <row r="1063" spans="1:18" x14ac:dyDescent="0.3">
      <c r="A1063" t="s">
        <v>133</v>
      </c>
      <c r="B1063" t="s">
        <v>27</v>
      </c>
      <c r="C1063" t="s">
        <v>37</v>
      </c>
      <c r="D1063" t="s">
        <v>19</v>
      </c>
      <c r="E1063">
        <v>3</v>
      </c>
      <c r="F1063">
        <v>160.6</v>
      </c>
      <c r="G1063">
        <v>98.7</v>
      </c>
      <c r="H1063">
        <v>6.3</v>
      </c>
      <c r="I1063">
        <v>3</v>
      </c>
      <c r="J1063">
        <v>7.97</v>
      </c>
      <c r="K1063">
        <v>2.96</v>
      </c>
      <c r="L1063">
        <v>0</v>
      </c>
      <c r="M1063" t="s">
        <v>34</v>
      </c>
      <c r="N1063" t="s">
        <v>21</v>
      </c>
      <c r="O1063">
        <v>13.6</v>
      </c>
      <c r="P1063" s="1">
        <v>45413</v>
      </c>
      <c r="Q1063" t="str">
        <f t="shared" si="16"/>
        <v>Medium Performance</v>
      </c>
      <c r="R1063" s="2">
        <f>Table1_1[[#This Row],[tasks_completed]]/Table1_1[[#This Row],[monthly_hours_worked]]</f>
        <v>1.8679950186799504E-2</v>
      </c>
    </row>
    <row r="1064" spans="1:18" x14ac:dyDescent="0.3">
      <c r="A1064" t="s">
        <v>133</v>
      </c>
      <c r="B1064" t="s">
        <v>27</v>
      </c>
      <c r="C1064" t="s">
        <v>41</v>
      </c>
      <c r="D1064" t="s">
        <v>39</v>
      </c>
      <c r="E1064">
        <v>7</v>
      </c>
      <c r="F1064">
        <v>161.4</v>
      </c>
      <c r="G1064">
        <v>89</v>
      </c>
      <c r="I1064">
        <v>5</v>
      </c>
      <c r="J1064">
        <v>6.53</v>
      </c>
      <c r="K1064">
        <v>8.17</v>
      </c>
      <c r="L1064">
        <v>0</v>
      </c>
      <c r="M1064" t="s">
        <v>20</v>
      </c>
      <c r="N1064" t="s">
        <v>35</v>
      </c>
      <c r="O1064">
        <v>6.23</v>
      </c>
      <c r="P1064" s="1">
        <v>45444</v>
      </c>
      <c r="Q1064" t="str">
        <f t="shared" si="16"/>
        <v>Low Performance</v>
      </c>
      <c r="R1064" s="2">
        <f>Table1_1[[#This Row],[tasks_completed]]/Table1_1[[#This Row],[monthly_hours_worked]]</f>
        <v>3.097893432465923E-2</v>
      </c>
    </row>
    <row r="1065" spans="1:18" x14ac:dyDescent="0.3">
      <c r="A1065" t="s">
        <v>133</v>
      </c>
      <c r="B1065" t="s">
        <v>23</v>
      </c>
      <c r="C1065" t="s">
        <v>18</v>
      </c>
      <c r="D1065" t="s">
        <v>39</v>
      </c>
      <c r="E1065">
        <v>4</v>
      </c>
      <c r="F1065">
        <v>151.5</v>
      </c>
      <c r="G1065">
        <v>100</v>
      </c>
      <c r="H1065">
        <v>4.8</v>
      </c>
      <c r="I1065">
        <v>6</v>
      </c>
      <c r="J1065">
        <v>7.83</v>
      </c>
      <c r="K1065">
        <v>5.73</v>
      </c>
      <c r="L1065">
        <v>0</v>
      </c>
      <c r="M1065" t="s">
        <v>25</v>
      </c>
      <c r="N1065" t="s">
        <v>21</v>
      </c>
      <c r="O1065">
        <v>8.92</v>
      </c>
      <c r="P1065" s="1">
        <v>45474</v>
      </c>
      <c r="Q1065" t="str">
        <f t="shared" si="16"/>
        <v>Low Performance</v>
      </c>
      <c r="R1065" s="2">
        <f>Table1_1[[#This Row],[tasks_completed]]/Table1_1[[#This Row],[monthly_hours_worked]]</f>
        <v>3.9603960396039604E-2</v>
      </c>
    </row>
    <row r="1066" spans="1:18" x14ac:dyDescent="0.3">
      <c r="A1066" t="s">
        <v>133</v>
      </c>
      <c r="B1066" t="s">
        <v>43</v>
      </c>
      <c r="C1066" t="s">
        <v>37</v>
      </c>
      <c r="D1066" t="s">
        <v>39</v>
      </c>
      <c r="E1066">
        <v>5</v>
      </c>
      <c r="F1066">
        <v>166.6</v>
      </c>
      <c r="G1066">
        <v>100</v>
      </c>
      <c r="H1066">
        <v>5</v>
      </c>
      <c r="I1066">
        <v>6</v>
      </c>
      <c r="J1066">
        <v>9.1199999999999992</v>
      </c>
      <c r="K1066">
        <v>9.39</v>
      </c>
      <c r="L1066">
        <v>0</v>
      </c>
      <c r="M1066" t="s">
        <v>25</v>
      </c>
      <c r="N1066" t="s">
        <v>26</v>
      </c>
      <c r="O1066">
        <v>12.41</v>
      </c>
      <c r="P1066" s="1">
        <v>45505</v>
      </c>
      <c r="Q1066" t="str">
        <f t="shared" si="16"/>
        <v>Medium Performance</v>
      </c>
      <c r="R1066" s="2">
        <f>Table1_1[[#This Row],[tasks_completed]]/Table1_1[[#This Row],[monthly_hours_worked]]</f>
        <v>3.601440576230492E-2</v>
      </c>
    </row>
    <row r="1067" spans="1:18" x14ac:dyDescent="0.3">
      <c r="A1067" t="s">
        <v>133</v>
      </c>
      <c r="B1067" t="s">
        <v>33</v>
      </c>
      <c r="C1067" t="s">
        <v>31</v>
      </c>
      <c r="D1067" t="s">
        <v>39</v>
      </c>
      <c r="E1067">
        <v>7</v>
      </c>
      <c r="F1067">
        <v>167.5</v>
      </c>
      <c r="G1067">
        <v>94.8</v>
      </c>
      <c r="H1067">
        <v>3.4</v>
      </c>
      <c r="I1067">
        <v>6</v>
      </c>
      <c r="J1067">
        <v>6.12</v>
      </c>
      <c r="K1067">
        <v>5.56</v>
      </c>
      <c r="L1067">
        <v>0</v>
      </c>
      <c r="M1067" t="s">
        <v>20</v>
      </c>
      <c r="N1067" t="s">
        <v>35</v>
      </c>
      <c r="O1067">
        <v>12.28</v>
      </c>
      <c r="P1067" s="1">
        <v>45536</v>
      </c>
      <c r="Q1067" t="str">
        <f t="shared" si="16"/>
        <v>Medium Performance</v>
      </c>
      <c r="R1067" s="2">
        <f>Table1_1[[#This Row],[tasks_completed]]/Table1_1[[#This Row],[monthly_hours_worked]]</f>
        <v>3.5820895522388062E-2</v>
      </c>
    </row>
    <row r="1068" spans="1:18" x14ac:dyDescent="0.3">
      <c r="A1068" t="s">
        <v>133</v>
      </c>
      <c r="B1068" t="s">
        <v>33</v>
      </c>
      <c r="C1068" t="s">
        <v>31</v>
      </c>
      <c r="D1068" t="s">
        <v>19</v>
      </c>
      <c r="E1068">
        <v>5</v>
      </c>
      <c r="F1068">
        <v>167.5</v>
      </c>
      <c r="G1068">
        <v>95.4</v>
      </c>
      <c r="H1068">
        <v>10.4</v>
      </c>
      <c r="I1068">
        <v>10</v>
      </c>
      <c r="J1068">
        <v>6.08</v>
      </c>
      <c r="K1068">
        <v>8.8000000000000007</v>
      </c>
      <c r="L1068">
        <v>1</v>
      </c>
      <c r="M1068" t="s">
        <v>25</v>
      </c>
      <c r="N1068" t="s">
        <v>21</v>
      </c>
      <c r="O1068">
        <v>14.7</v>
      </c>
      <c r="P1068" s="1">
        <v>45566</v>
      </c>
      <c r="Q1068" t="str">
        <f t="shared" si="16"/>
        <v>Medium Performance</v>
      </c>
      <c r="R1068" s="2">
        <f>Table1_1[[#This Row],[tasks_completed]]/Table1_1[[#This Row],[monthly_hours_worked]]</f>
        <v>5.9701492537313432E-2</v>
      </c>
    </row>
    <row r="1069" spans="1:18" x14ac:dyDescent="0.3">
      <c r="A1069" t="s">
        <v>133</v>
      </c>
      <c r="B1069" t="s">
        <v>27</v>
      </c>
      <c r="C1069" t="s">
        <v>18</v>
      </c>
      <c r="D1069" t="s">
        <v>39</v>
      </c>
      <c r="E1069">
        <v>9</v>
      </c>
      <c r="F1069">
        <v>179.4</v>
      </c>
      <c r="G1069">
        <v>94.7</v>
      </c>
      <c r="H1069">
        <v>4.9000000000000004</v>
      </c>
      <c r="I1069">
        <v>4</v>
      </c>
      <c r="J1069">
        <v>7.74</v>
      </c>
      <c r="K1069">
        <v>10</v>
      </c>
      <c r="L1069">
        <v>0</v>
      </c>
      <c r="M1069" t="s">
        <v>25</v>
      </c>
      <c r="N1069" t="s">
        <v>26</v>
      </c>
      <c r="O1069">
        <v>12.93</v>
      </c>
      <c r="P1069" s="1">
        <v>45597</v>
      </c>
      <c r="Q1069" t="str">
        <f t="shared" si="16"/>
        <v>Medium Performance</v>
      </c>
      <c r="R1069" s="2">
        <f>Table1_1[[#This Row],[tasks_completed]]/Table1_1[[#This Row],[monthly_hours_worked]]</f>
        <v>2.2296544035674468E-2</v>
      </c>
    </row>
    <row r="1070" spans="1:18" x14ac:dyDescent="0.3">
      <c r="A1070" t="s">
        <v>134</v>
      </c>
      <c r="B1070" t="s">
        <v>23</v>
      </c>
      <c r="C1070" t="s">
        <v>37</v>
      </c>
      <c r="D1070" t="s">
        <v>19</v>
      </c>
      <c r="E1070">
        <v>1</v>
      </c>
      <c r="F1070">
        <v>161.5</v>
      </c>
      <c r="G1070">
        <v>100</v>
      </c>
      <c r="H1070">
        <v>3.2</v>
      </c>
      <c r="I1070">
        <v>7</v>
      </c>
      <c r="K1070">
        <v>9.56</v>
      </c>
      <c r="L1070">
        <v>0</v>
      </c>
      <c r="M1070" t="s">
        <v>34</v>
      </c>
      <c r="N1070" t="s">
        <v>21</v>
      </c>
      <c r="O1070">
        <v>21.99</v>
      </c>
      <c r="P1070" s="1">
        <v>45292</v>
      </c>
      <c r="Q1070" t="str">
        <f t="shared" si="16"/>
        <v>High Performance</v>
      </c>
      <c r="R1070" s="2">
        <f>Table1_1[[#This Row],[tasks_completed]]/Table1_1[[#This Row],[monthly_hours_worked]]</f>
        <v>4.3343653250773995E-2</v>
      </c>
    </row>
    <row r="1071" spans="1:18" x14ac:dyDescent="0.3">
      <c r="A1071" t="s">
        <v>134</v>
      </c>
      <c r="B1071" t="s">
        <v>17</v>
      </c>
      <c r="C1071" t="s">
        <v>18</v>
      </c>
      <c r="D1071" t="s">
        <v>19</v>
      </c>
      <c r="E1071">
        <v>8</v>
      </c>
      <c r="F1071">
        <v>148.19999999999999</v>
      </c>
      <c r="G1071">
        <v>95.7</v>
      </c>
      <c r="H1071">
        <v>6.2</v>
      </c>
      <c r="I1071">
        <v>5</v>
      </c>
      <c r="J1071">
        <v>9.01</v>
      </c>
      <c r="K1071">
        <v>5.19</v>
      </c>
      <c r="L1071">
        <v>1</v>
      </c>
      <c r="M1071" t="s">
        <v>34</v>
      </c>
      <c r="N1071" t="s">
        <v>21</v>
      </c>
      <c r="O1071">
        <v>13.14</v>
      </c>
      <c r="P1071" s="1">
        <v>45292</v>
      </c>
      <c r="Q1071" t="str">
        <f t="shared" si="16"/>
        <v>Medium Performance</v>
      </c>
      <c r="R1071" s="2">
        <f>Table1_1[[#This Row],[tasks_completed]]/Table1_1[[#This Row],[monthly_hours_worked]]</f>
        <v>3.3738191632928474E-2</v>
      </c>
    </row>
    <row r="1072" spans="1:18" x14ac:dyDescent="0.3">
      <c r="A1072" t="s">
        <v>134</v>
      </c>
      <c r="B1072" t="s">
        <v>27</v>
      </c>
      <c r="C1072" t="s">
        <v>41</v>
      </c>
      <c r="D1072" t="s">
        <v>39</v>
      </c>
      <c r="E1072">
        <v>1</v>
      </c>
      <c r="F1072">
        <v>160.1</v>
      </c>
      <c r="G1072">
        <v>100</v>
      </c>
      <c r="H1072">
        <v>3.4</v>
      </c>
      <c r="I1072">
        <v>7</v>
      </c>
      <c r="J1072">
        <v>7.09</v>
      </c>
      <c r="K1072">
        <v>5.72</v>
      </c>
      <c r="L1072">
        <v>0</v>
      </c>
      <c r="M1072" t="s">
        <v>34</v>
      </c>
      <c r="N1072" t="s">
        <v>21</v>
      </c>
      <c r="O1072">
        <v>17.18</v>
      </c>
      <c r="P1072" s="1">
        <v>45352</v>
      </c>
      <c r="Q1072" t="str">
        <f t="shared" si="16"/>
        <v>High Performance</v>
      </c>
      <c r="R1072" s="2">
        <f>Table1_1[[#This Row],[tasks_completed]]/Table1_1[[#This Row],[monthly_hours_worked]]</f>
        <v>4.3722673329169272E-2</v>
      </c>
    </row>
    <row r="1073" spans="1:18" x14ac:dyDescent="0.3">
      <c r="A1073" t="s">
        <v>134</v>
      </c>
      <c r="B1073" t="s">
        <v>17</v>
      </c>
      <c r="C1073" t="s">
        <v>41</v>
      </c>
      <c r="D1073" t="s">
        <v>39</v>
      </c>
      <c r="E1073">
        <v>7</v>
      </c>
      <c r="F1073">
        <v>171.2</v>
      </c>
      <c r="G1073">
        <v>92.6</v>
      </c>
      <c r="H1073">
        <v>5.7</v>
      </c>
      <c r="I1073">
        <v>6</v>
      </c>
      <c r="J1073">
        <v>8.01</v>
      </c>
      <c r="K1073">
        <v>7.08</v>
      </c>
      <c r="L1073">
        <v>0</v>
      </c>
      <c r="M1073" t="s">
        <v>34</v>
      </c>
      <c r="N1073" t="s">
        <v>26</v>
      </c>
      <c r="O1073">
        <v>14.83</v>
      </c>
      <c r="P1073" s="1">
        <v>45352</v>
      </c>
      <c r="Q1073" t="str">
        <f t="shared" si="16"/>
        <v>Medium Performance</v>
      </c>
      <c r="R1073" s="2">
        <f>Table1_1[[#This Row],[tasks_completed]]/Table1_1[[#This Row],[monthly_hours_worked]]</f>
        <v>3.5046728971962621E-2</v>
      </c>
    </row>
    <row r="1074" spans="1:18" x14ac:dyDescent="0.3">
      <c r="A1074" t="s">
        <v>134</v>
      </c>
      <c r="B1074" t="s">
        <v>43</v>
      </c>
      <c r="C1074" t="s">
        <v>24</v>
      </c>
      <c r="D1074" t="s">
        <v>39</v>
      </c>
      <c r="E1074">
        <v>9</v>
      </c>
      <c r="F1074">
        <v>172.9</v>
      </c>
      <c r="G1074">
        <v>91.5</v>
      </c>
      <c r="H1074">
        <v>7.8</v>
      </c>
      <c r="I1074">
        <v>5</v>
      </c>
      <c r="J1074">
        <v>6.21</v>
      </c>
      <c r="K1074">
        <v>8.1</v>
      </c>
      <c r="L1074">
        <v>2</v>
      </c>
      <c r="M1074" t="s">
        <v>20</v>
      </c>
      <c r="N1074" t="s">
        <v>21</v>
      </c>
      <c r="O1074">
        <v>14.19</v>
      </c>
      <c r="P1074" s="1">
        <v>45383</v>
      </c>
      <c r="Q1074" t="str">
        <f t="shared" si="16"/>
        <v>Medium Performance</v>
      </c>
      <c r="R1074" s="2">
        <f>Table1_1[[#This Row],[tasks_completed]]/Table1_1[[#This Row],[monthly_hours_worked]]</f>
        <v>2.8918449971081547E-2</v>
      </c>
    </row>
    <row r="1075" spans="1:18" x14ac:dyDescent="0.3">
      <c r="A1075" t="s">
        <v>134</v>
      </c>
      <c r="B1075" t="s">
        <v>27</v>
      </c>
      <c r="C1075" t="s">
        <v>37</v>
      </c>
      <c r="D1075" t="s">
        <v>29</v>
      </c>
      <c r="E1075">
        <v>7</v>
      </c>
      <c r="F1075">
        <v>169</v>
      </c>
      <c r="G1075">
        <v>89.7</v>
      </c>
      <c r="H1075">
        <v>5.0999999999999996</v>
      </c>
      <c r="I1075">
        <v>6</v>
      </c>
      <c r="J1075">
        <v>7.67</v>
      </c>
      <c r="K1075">
        <v>5.25</v>
      </c>
      <c r="L1075">
        <v>0</v>
      </c>
      <c r="M1075" t="s">
        <v>20</v>
      </c>
      <c r="N1075" t="s">
        <v>26</v>
      </c>
      <c r="O1075">
        <v>12.46</v>
      </c>
      <c r="P1075" s="1">
        <v>45413</v>
      </c>
      <c r="Q1075" t="str">
        <f t="shared" si="16"/>
        <v>Medium Performance</v>
      </c>
      <c r="R1075" s="2">
        <f>Table1_1[[#This Row],[tasks_completed]]/Table1_1[[#This Row],[monthly_hours_worked]]</f>
        <v>3.5502958579881658E-2</v>
      </c>
    </row>
    <row r="1076" spans="1:18" x14ac:dyDescent="0.3">
      <c r="A1076" t="s">
        <v>134</v>
      </c>
      <c r="B1076" t="s">
        <v>27</v>
      </c>
      <c r="C1076" t="s">
        <v>18</v>
      </c>
      <c r="D1076" t="s">
        <v>39</v>
      </c>
      <c r="E1076">
        <v>2</v>
      </c>
      <c r="F1076">
        <v>163.5</v>
      </c>
      <c r="G1076">
        <v>88.2</v>
      </c>
      <c r="H1076">
        <v>4.0999999999999996</v>
      </c>
      <c r="I1076">
        <v>2</v>
      </c>
      <c r="J1076">
        <v>6.49</v>
      </c>
      <c r="K1076">
        <v>8.9700000000000006</v>
      </c>
      <c r="L1076">
        <v>0</v>
      </c>
      <c r="M1076" t="s">
        <v>20</v>
      </c>
      <c r="N1076" t="s">
        <v>26</v>
      </c>
      <c r="O1076">
        <v>7.24</v>
      </c>
      <c r="P1076" s="1">
        <v>45444</v>
      </c>
      <c r="Q1076" t="str">
        <f t="shared" si="16"/>
        <v>Low Performance</v>
      </c>
      <c r="R1076" s="2">
        <f>Table1_1[[#This Row],[tasks_completed]]/Table1_1[[#This Row],[monthly_hours_worked]]</f>
        <v>1.2232415902140673E-2</v>
      </c>
    </row>
    <row r="1077" spans="1:18" x14ac:dyDescent="0.3">
      <c r="A1077" t="s">
        <v>134</v>
      </c>
      <c r="B1077" t="s">
        <v>17</v>
      </c>
      <c r="C1077" t="s">
        <v>24</v>
      </c>
      <c r="D1077" t="s">
        <v>19</v>
      </c>
      <c r="E1077">
        <v>1</v>
      </c>
      <c r="F1077">
        <v>166.1</v>
      </c>
      <c r="G1077">
        <v>90.5</v>
      </c>
      <c r="H1077">
        <v>0</v>
      </c>
      <c r="I1077">
        <v>8</v>
      </c>
      <c r="J1077">
        <v>6.72</v>
      </c>
      <c r="K1077">
        <v>9.0299999999999994</v>
      </c>
      <c r="L1077">
        <v>0</v>
      </c>
      <c r="M1077" t="s">
        <v>34</v>
      </c>
      <c r="N1077" t="s">
        <v>21</v>
      </c>
      <c r="O1077">
        <v>18.11</v>
      </c>
      <c r="P1077" s="1">
        <v>45474</v>
      </c>
      <c r="Q1077" t="str">
        <f t="shared" si="16"/>
        <v>High Performance</v>
      </c>
      <c r="R1077" s="2">
        <f>Table1_1[[#This Row],[tasks_completed]]/Table1_1[[#This Row],[monthly_hours_worked]]</f>
        <v>4.8163756773028296E-2</v>
      </c>
    </row>
    <row r="1078" spans="1:18" x14ac:dyDescent="0.3">
      <c r="A1078" t="s">
        <v>134</v>
      </c>
      <c r="B1078" t="s">
        <v>27</v>
      </c>
      <c r="C1078" t="s">
        <v>24</v>
      </c>
      <c r="D1078" t="s">
        <v>39</v>
      </c>
      <c r="E1078">
        <v>5</v>
      </c>
      <c r="F1078">
        <v>154.19999999999999</v>
      </c>
      <c r="G1078">
        <v>96.3</v>
      </c>
      <c r="H1078">
        <v>2.1</v>
      </c>
      <c r="I1078">
        <v>8</v>
      </c>
      <c r="J1078">
        <v>8.74</v>
      </c>
      <c r="K1078">
        <v>5.51</v>
      </c>
      <c r="L1078">
        <v>0</v>
      </c>
      <c r="M1078" t="s">
        <v>25</v>
      </c>
      <c r="N1078" t="s">
        <v>21</v>
      </c>
      <c r="O1078">
        <v>18.5</v>
      </c>
      <c r="P1078" s="1">
        <v>45505</v>
      </c>
      <c r="Q1078" t="str">
        <f t="shared" si="16"/>
        <v>High Performance</v>
      </c>
      <c r="R1078" s="2">
        <f>Table1_1[[#This Row],[tasks_completed]]/Table1_1[[#This Row],[monthly_hours_worked]]</f>
        <v>5.1880674448767837E-2</v>
      </c>
    </row>
    <row r="1079" spans="1:18" x14ac:dyDescent="0.3">
      <c r="A1079" t="s">
        <v>134</v>
      </c>
      <c r="B1079" t="s">
        <v>27</v>
      </c>
      <c r="C1079" t="s">
        <v>41</v>
      </c>
      <c r="D1079" t="s">
        <v>19</v>
      </c>
      <c r="E1079">
        <v>6</v>
      </c>
      <c r="F1079">
        <v>161.5</v>
      </c>
      <c r="G1079">
        <v>91.8</v>
      </c>
      <c r="H1079">
        <v>5.5</v>
      </c>
      <c r="I1079">
        <v>9</v>
      </c>
      <c r="J1079">
        <v>7</v>
      </c>
      <c r="K1079">
        <v>7.85</v>
      </c>
      <c r="L1079">
        <v>1</v>
      </c>
      <c r="M1079" t="s">
        <v>25</v>
      </c>
      <c r="N1079" t="s">
        <v>26</v>
      </c>
      <c r="O1079">
        <v>10.79</v>
      </c>
      <c r="P1079" s="1">
        <v>45536</v>
      </c>
      <c r="Q1079" t="str">
        <f t="shared" si="16"/>
        <v>Medium Performance</v>
      </c>
      <c r="R1079" s="2">
        <f>Table1_1[[#This Row],[tasks_completed]]/Table1_1[[#This Row],[monthly_hours_worked]]</f>
        <v>5.5727554179566562E-2</v>
      </c>
    </row>
    <row r="1080" spans="1:18" x14ac:dyDescent="0.3">
      <c r="A1080" t="s">
        <v>134</v>
      </c>
      <c r="B1080" t="s">
        <v>43</v>
      </c>
      <c r="C1080" t="s">
        <v>37</v>
      </c>
      <c r="D1080" t="s">
        <v>29</v>
      </c>
      <c r="E1080">
        <v>10</v>
      </c>
      <c r="F1080">
        <v>150.6</v>
      </c>
      <c r="G1080">
        <v>88.4</v>
      </c>
      <c r="H1080">
        <v>2.4</v>
      </c>
      <c r="I1080">
        <v>8</v>
      </c>
      <c r="J1080">
        <v>5.74</v>
      </c>
      <c r="K1080">
        <v>7.27</v>
      </c>
      <c r="L1080">
        <v>0</v>
      </c>
      <c r="M1080" t="s">
        <v>25</v>
      </c>
      <c r="N1080" t="s">
        <v>35</v>
      </c>
      <c r="O1080">
        <v>7.39</v>
      </c>
      <c r="P1080" s="1">
        <v>45566</v>
      </c>
      <c r="Q1080" t="str">
        <f t="shared" si="16"/>
        <v>Low Performance</v>
      </c>
      <c r="R1080" s="2">
        <f>Table1_1[[#This Row],[tasks_completed]]/Table1_1[[#This Row],[monthly_hours_worked]]</f>
        <v>5.3120849933598939E-2</v>
      </c>
    </row>
    <row r="1081" spans="1:18" x14ac:dyDescent="0.3">
      <c r="A1081" t="s">
        <v>134</v>
      </c>
      <c r="B1081" t="s">
        <v>23</v>
      </c>
      <c r="C1081" t="s">
        <v>18</v>
      </c>
      <c r="D1081" t="s">
        <v>39</v>
      </c>
      <c r="E1081">
        <v>1</v>
      </c>
      <c r="F1081">
        <v>152.6</v>
      </c>
      <c r="G1081">
        <v>94.2</v>
      </c>
      <c r="H1081">
        <v>3.9</v>
      </c>
      <c r="I1081">
        <v>9</v>
      </c>
      <c r="J1081">
        <v>9.67</v>
      </c>
      <c r="K1081">
        <v>8.8800000000000008</v>
      </c>
      <c r="L1081">
        <v>0</v>
      </c>
      <c r="M1081" t="s">
        <v>20</v>
      </c>
      <c r="N1081" t="s">
        <v>21</v>
      </c>
      <c r="O1081">
        <v>19.21</v>
      </c>
      <c r="P1081" s="1">
        <v>45597</v>
      </c>
      <c r="Q1081" t="str">
        <f t="shared" si="16"/>
        <v>High Performance</v>
      </c>
      <c r="R1081" s="2">
        <f>Table1_1[[#This Row],[tasks_completed]]/Table1_1[[#This Row],[monthly_hours_worked]]</f>
        <v>5.8977719528178249E-2</v>
      </c>
    </row>
    <row r="1082" spans="1:18" x14ac:dyDescent="0.3">
      <c r="A1082" t="s">
        <v>135</v>
      </c>
      <c r="B1082" t="s">
        <v>17</v>
      </c>
      <c r="C1082" t="s">
        <v>24</v>
      </c>
      <c r="D1082" t="s">
        <v>19</v>
      </c>
      <c r="E1082">
        <v>5</v>
      </c>
      <c r="F1082">
        <v>141.69999999999999</v>
      </c>
      <c r="G1082">
        <v>100</v>
      </c>
      <c r="H1082">
        <v>4.3</v>
      </c>
      <c r="I1082">
        <v>6</v>
      </c>
      <c r="J1082">
        <v>6.34</v>
      </c>
      <c r="K1082">
        <v>4.6399999999999997</v>
      </c>
      <c r="L1082">
        <v>0</v>
      </c>
      <c r="M1082" t="s">
        <v>20</v>
      </c>
      <c r="N1082" t="s">
        <v>35</v>
      </c>
      <c r="O1082">
        <v>15.24</v>
      </c>
      <c r="P1082" s="1">
        <v>45292</v>
      </c>
      <c r="Q1082" t="str">
        <f t="shared" si="16"/>
        <v>High Performance</v>
      </c>
      <c r="R1082" s="2">
        <f>Table1_1[[#This Row],[tasks_completed]]/Table1_1[[#This Row],[monthly_hours_worked]]</f>
        <v>4.2342978122794639E-2</v>
      </c>
    </row>
    <row r="1083" spans="1:18" x14ac:dyDescent="0.3">
      <c r="A1083" t="s">
        <v>135</v>
      </c>
      <c r="B1083" t="s">
        <v>43</v>
      </c>
      <c r="C1083" t="s">
        <v>31</v>
      </c>
      <c r="D1083" t="s">
        <v>29</v>
      </c>
      <c r="E1083">
        <v>6</v>
      </c>
      <c r="F1083">
        <v>158</v>
      </c>
      <c r="G1083">
        <v>96.7</v>
      </c>
      <c r="H1083">
        <v>4.7</v>
      </c>
      <c r="I1083">
        <v>7</v>
      </c>
      <c r="J1083">
        <v>6.11</v>
      </c>
      <c r="K1083">
        <v>4.6100000000000003</v>
      </c>
      <c r="L1083">
        <v>2</v>
      </c>
      <c r="M1083" t="s">
        <v>25</v>
      </c>
      <c r="N1083" t="s">
        <v>26</v>
      </c>
      <c r="O1083">
        <v>20.12</v>
      </c>
      <c r="P1083" s="1">
        <v>45292</v>
      </c>
      <c r="Q1083" t="str">
        <f t="shared" si="16"/>
        <v>High Performance</v>
      </c>
      <c r="R1083" s="2">
        <f>Table1_1[[#This Row],[tasks_completed]]/Table1_1[[#This Row],[monthly_hours_worked]]</f>
        <v>4.4303797468354431E-2</v>
      </c>
    </row>
    <row r="1084" spans="1:18" x14ac:dyDescent="0.3">
      <c r="A1084" t="s">
        <v>135</v>
      </c>
      <c r="B1084" t="s">
        <v>33</v>
      </c>
      <c r="C1084" t="s">
        <v>18</v>
      </c>
      <c r="D1084" t="s">
        <v>19</v>
      </c>
      <c r="E1084">
        <v>3</v>
      </c>
      <c r="F1084">
        <v>152.19999999999999</v>
      </c>
      <c r="G1084">
        <v>90.2</v>
      </c>
      <c r="I1084">
        <v>7</v>
      </c>
      <c r="J1084">
        <v>6.23</v>
      </c>
      <c r="K1084">
        <v>10</v>
      </c>
      <c r="L1084">
        <v>0</v>
      </c>
      <c r="M1084" t="s">
        <v>34</v>
      </c>
      <c r="N1084" t="s">
        <v>26</v>
      </c>
      <c r="O1084">
        <v>8.5399999999999991</v>
      </c>
      <c r="P1084" s="1">
        <v>45352</v>
      </c>
      <c r="Q1084" t="str">
        <f t="shared" si="16"/>
        <v>Low Performance</v>
      </c>
      <c r="R1084" s="2">
        <f>Table1_1[[#This Row],[tasks_completed]]/Table1_1[[#This Row],[monthly_hours_worked]]</f>
        <v>4.5992115637319322E-2</v>
      </c>
    </row>
    <row r="1085" spans="1:18" x14ac:dyDescent="0.3">
      <c r="A1085" t="s">
        <v>135</v>
      </c>
      <c r="B1085" t="s">
        <v>33</v>
      </c>
      <c r="C1085" t="s">
        <v>37</v>
      </c>
      <c r="D1085" t="s">
        <v>19</v>
      </c>
      <c r="E1085">
        <v>10</v>
      </c>
      <c r="F1085">
        <v>151.30000000000001</v>
      </c>
      <c r="G1085">
        <v>91.3</v>
      </c>
      <c r="H1085">
        <v>4.9000000000000004</v>
      </c>
      <c r="I1085">
        <v>5</v>
      </c>
      <c r="J1085">
        <v>8.3699999999999992</v>
      </c>
      <c r="K1085">
        <v>6.78</v>
      </c>
      <c r="L1085">
        <v>0</v>
      </c>
      <c r="M1085" t="s">
        <v>34</v>
      </c>
      <c r="N1085" t="s">
        <v>26</v>
      </c>
      <c r="O1085">
        <v>12.34</v>
      </c>
      <c r="P1085" s="1">
        <v>45352</v>
      </c>
      <c r="Q1085" t="str">
        <f t="shared" si="16"/>
        <v>Medium Performance</v>
      </c>
      <c r="R1085" s="2">
        <f>Table1_1[[#This Row],[tasks_completed]]/Table1_1[[#This Row],[monthly_hours_worked]]</f>
        <v>3.3046926635822864E-2</v>
      </c>
    </row>
    <row r="1086" spans="1:18" x14ac:dyDescent="0.3">
      <c r="A1086" t="s">
        <v>135</v>
      </c>
      <c r="B1086" t="s">
        <v>23</v>
      </c>
      <c r="C1086" t="s">
        <v>31</v>
      </c>
      <c r="D1086" t="s">
        <v>19</v>
      </c>
      <c r="E1086">
        <v>1</v>
      </c>
      <c r="F1086">
        <v>180.3</v>
      </c>
      <c r="G1086">
        <v>91.6</v>
      </c>
      <c r="I1086">
        <v>8</v>
      </c>
      <c r="J1086">
        <v>8.69</v>
      </c>
      <c r="K1086">
        <v>9.77</v>
      </c>
      <c r="L1086">
        <v>0</v>
      </c>
      <c r="M1086" t="s">
        <v>20</v>
      </c>
      <c r="N1086" t="s">
        <v>35</v>
      </c>
      <c r="O1086">
        <v>10.44</v>
      </c>
      <c r="P1086" s="1">
        <v>45383</v>
      </c>
      <c r="Q1086" t="str">
        <f t="shared" si="16"/>
        <v>Medium Performance</v>
      </c>
      <c r="R1086" s="2">
        <f>Table1_1[[#This Row],[tasks_completed]]/Table1_1[[#This Row],[monthly_hours_worked]]</f>
        <v>4.4370493621741537E-2</v>
      </c>
    </row>
    <row r="1087" spans="1:18" x14ac:dyDescent="0.3">
      <c r="A1087" t="s">
        <v>135</v>
      </c>
      <c r="B1087" t="s">
        <v>27</v>
      </c>
      <c r="C1087" t="s">
        <v>18</v>
      </c>
      <c r="D1087" t="s">
        <v>19</v>
      </c>
      <c r="E1087">
        <v>10</v>
      </c>
      <c r="F1087">
        <v>158.69999999999999</v>
      </c>
      <c r="G1087">
        <v>99</v>
      </c>
      <c r="H1087">
        <v>5.5</v>
      </c>
      <c r="I1087">
        <v>7</v>
      </c>
      <c r="J1087">
        <v>5.4</v>
      </c>
      <c r="K1087">
        <v>7.26</v>
      </c>
      <c r="L1087">
        <v>0</v>
      </c>
      <c r="M1087" t="s">
        <v>20</v>
      </c>
      <c r="N1087" t="s">
        <v>35</v>
      </c>
      <c r="O1087">
        <v>11.55</v>
      </c>
      <c r="P1087" s="1">
        <v>45413</v>
      </c>
      <c r="Q1087" t="str">
        <f t="shared" si="16"/>
        <v>Medium Performance</v>
      </c>
      <c r="R1087" s="2">
        <f>Table1_1[[#This Row],[tasks_completed]]/Table1_1[[#This Row],[monthly_hours_worked]]</f>
        <v>4.4108380592312542E-2</v>
      </c>
    </row>
    <row r="1088" spans="1:18" x14ac:dyDescent="0.3">
      <c r="A1088" t="s">
        <v>135</v>
      </c>
      <c r="B1088" t="s">
        <v>23</v>
      </c>
      <c r="C1088" t="s">
        <v>41</v>
      </c>
      <c r="D1088" t="s">
        <v>39</v>
      </c>
      <c r="E1088">
        <v>1</v>
      </c>
      <c r="F1088">
        <v>164.8</v>
      </c>
      <c r="G1088">
        <v>98.3</v>
      </c>
      <c r="H1088">
        <v>3.2</v>
      </c>
      <c r="I1088">
        <v>8</v>
      </c>
      <c r="J1088">
        <v>7.38</v>
      </c>
      <c r="K1088">
        <v>6.53</v>
      </c>
      <c r="L1088">
        <v>0</v>
      </c>
      <c r="M1088" t="s">
        <v>20</v>
      </c>
      <c r="N1088" t="s">
        <v>35</v>
      </c>
      <c r="O1088">
        <v>11.45</v>
      </c>
      <c r="P1088" s="1">
        <v>45444</v>
      </c>
      <c r="Q1088" t="str">
        <f t="shared" si="16"/>
        <v>Medium Performance</v>
      </c>
      <c r="R1088" s="2">
        <f>Table1_1[[#This Row],[tasks_completed]]/Table1_1[[#This Row],[monthly_hours_worked]]</f>
        <v>4.8543689320388349E-2</v>
      </c>
    </row>
    <row r="1089" spans="1:18" x14ac:dyDescent="0.3">
      <c r="A1089" t="s">
        <v>135</v>
      </c>
      <c r="B1089" t="s">
        <v>43</v>
      </c>
      <c r="C1089" t="s">
        <v>31</v>
      </c>
      <c r="D1089" t="s">
        <v>19</v>
      </c>
      <c r="E1089">
        <v>5</v>
      </c>
      <c r="F1089">
        <v>150.30000000000001</v>
      </c>
      <c r="G1089">
        <v>100</v>
      </c>
      <c r="H1089">
        <v>3.1</v>
      </c>
      <c r="I1089">
        <v>1</v>
      </c>
      <c r="J1089">
        <v>7.42</v>
      </c>
      <c r="K1089">
        <v>6.61</v>
      </c>
      <c r="L1089">
        <v>0</v>
      </c>
      <c r="M1089" t="s">
        <v>25</v>
      </c>
      <c r="N1089" t="s">
        <v>26</v>
      </c>
      <c r="O1089">
        <v>6.03</v>
      </c>
      <c r="P1089" s="1">
        <v>45474</v>
      </c>
      <c r="Q1089" t="str">
        <f t="shared" si="16"/>
        <v>Low Performance</v>
      </c>
      <c r="R1089" s="2">
        <f>Table1_1[[#This Row],[tasks_completed]]/Table1_1[[#This Row],[monthly_hours_worked]]</f>
        <v>6.6533599467731202E-3</v>
      </c>
    </row>
    <row r="1090" spans="1:18" x14ac:dyDescent="0.3">
      <c r="A1090" t="s">
        <v>135</v>
      </c>
      <c r="B1090" t="s">
        <v>23</v>
      </c>
      <c r="C1090" t="s">
        <v>31</v>
      </c>
      <c r="D1090" t="s">
        <v>29</v>
      </c>
      <c r="E1090">
        <v>3</v>
      </c>
      <c r="F1090">
        <v>143.30000000000001</v>
      </c>
      <c r="G1090">
        <v>91.8</v>
      </c>
      <c r="H1090">
        <v>4.8</v>
      </c>
      <c r="I1090">
        <v>7</v>
      </c>
      <c r="J1090">
        <v>9.58</v>
      </c>
      <c r="K1090">
        <v>7.7</v>
      </c>
      <c r="L1090">
        <v>0</v>
      </c>
      <c r="M1090" t="s">
        <v>25</v>
      </c>
      <c r="N1090" t="s">
        <v>21</v>
      </c>
      <c r="O1090">
        <v>14.57</v>
      </c>
      <c r="P1090" s="1">
        <v>45505</v>
      </c>
      <c r="Q1090" t="str">
        <f t="shared" ref="Q1090:Q1153" si="17">IF(O1090&gt;=15, "High Performance", IF(O1090&gt;=10, "Medium Performance", "Low Performance"))</f>
        <v>Medium Performance</v>
      </c>
      <c r="R1090" s="2">
        <f>Table1_1[[#This Row],[tasks_completed]]/Table1_1[[#This Row],[monthly_hours_worked]]</f>
        <v>4.8848569434752263E-2</v>
      </c>
    </row>
    <row r="1091" spans="1:18" x14ac:dyDescent="0.3">
      <c r="A1091" t="s">
        <v>135</v>
      </c>
      <c r="B1091" t="s">
        <v>27</v>
      </c>
      <c r="C1091" t="s">
        <v>37</v>
      </c>
      <c r="D1091" t="s">
        <v>29</v>
      </c>
      <c r="E1091">
        <v>1</v>
      </c>
      <c r="F1091">
        <v>167.7</v>
      </c>
      <c r="G1091">
        <v>95.7</v>
      </c>
      <c r="H1091">
        <v>8.1999999999999993</v>
      </c>
      <c r="I1091">
        <v>7</v>
      </c>
      <c r="J1091">
        <v>5.56</v>
      </c>
      <c r="K1091">
        <v>6.66</v>
      </c>
      <c r="L1091">
        <v>0</v>
      </c>
      <c r="M1091" t="s">
        <v>25</v>
      </c>
      <c r="N1091" t="s">
        <v>21</v>
      </c>
      <c r="O1091">
        <v>15.48</v>
      </c>
      <c r="P1091" s="1">
        <v>45536</v>
      </c>
      <c r="Q1091" t="str">
        <f t="shared" si="17"/>
        <v>High Performance</v>
      </c>
      <c r="R1091" s="2">
        <f>Table1_1[[#This Row],[tasks_completed]]/Table1_1[[#This Row],[monthly_hours_worked]]</f>
        <v>4.1741204531902207E-2</v>
      </c>
    </row>
    <row r="1092" spans="1:18" x14ac:dyDescent="0.3">
      <c r="A1092" t="s">
        <v>135</v>
      </c>
      <c r="B1092" t="s">
        <v>23</v>
      </c>
      <c r="C1092" t="s">
        <v>37</v>
      </c>
      <c r="D1092" t="s">
        <v>19</v>
      </c>
      <c r="E1092">
        <v>5</v>
      </c>
      <c r="F1092">
        <v>158.19999999999999</v>
      </c>
      <c r="G1092">
        <v>93.8</v>
      </c>
      <c r="H1092">
        <v>7.3</v>
      </c>
      <c r="I1092">
        <v>6</v>
      </c>
      <c r="J1092">
        <v>6.76</v>
      </c>
      <c r="K1092">
        <v>5.88</v>
      </c>
      <c r="L1092">
        <v>0</v>
      </c>
      <c r="M1092" t="s">
        <v>34</v>
      </c>
      <c r="N1092" t="s">
        <v>21</v>
      </c>
      <c r="O1092">
        <v>15.83</v>
      </c>
      <c r="P1092" s="1">
        <v>45566</v>
      </c>
      <c r="Q1092" t="str">
        <f t="shared" si="17"/>
        <v>High Performance</v>
      </c>
      <c r="R1092" s="2">
        <f>Table1_1[[#This Row],[tasks_completed]]/Table1_1[[#This Row],[monthly_hours_worked]]</f>
        <v>3.7926675094816689E-2</v>
      </c>
    </row>
    <row r="1093" spans="1:18" x14ac:dyDescent="0.3">
      <c r="A1093" t="s">
        <v>135</v>
      </c>
      <c r="B1093" t="s">
        <v>23</v>
      </c>
      <c r="C1093" t="s">
        <v>31</v>
      </c>
      <c r="D1093" t="s">
        <v>39</v>
      </c>
      <c r="E1093">
        <v>1</v>
      </c>
      <c r="F1093">
        <v>164.3</v>
      </c>
      <c r="G1093">
        <v>98</v>
      </c>
      <c r="H1093">
        <v>10.4</v>
      </c>
      <c r="I1093">
        <v>10</v>
      </c>
      <c r="J1093">
        <v>8.4600000000000009</v>
      </c>
      <c r="K1093">
        <v>3.82</v>
      </c>
      <c r="L1093">
        <v>0</v>
      </c>
      <c r="M1093" t="s">
        <v>34</v>
      </c>
      <c r="N1093" t="s">
        <v>21</v>
      </c>
      <c r="O1093">
        <v>10.39</v>
      </c>
      <c r="P1093" s="1">
        <v>45597</v>
      </c>
      <c r="Q1093" t="str">
        <f t="shared" si="17"/>
        <v>Medium Performance</v>
      </c>
      <c r="R1093" s="2">
        <f>Table1_1[[#This Row],[tasks_completed]]/Table1_1[[#This Row],[monthly_hours_worked]]</f>
        <v>6.0864272671941569E-2</v>
      </c>
    </row>
    <row r="1094" spans="1:18" x14ac:dyDescent="0.3">
      <c r="A1094" t="s">
        <v>136</v>
      </c>
      <c r="B1094" t="s">
        <v>43</v>
      </c>
      <c r="C1094" t="s">
        <v>31</v>
      </c>
      <c r="D1094" t="s">
        <v>39</v>
      </c>
      <c r="E1094">
        <v>1</v>
      </c>
      <c r="F1094">
        <v>160.9</v>
      </c>
      <c r="G1094">
        <v>97.2</v>
      </c>
      <c r="H1094">
        <v>6</v>
      </c>
      <c r="I1094">
        <v>6</v>
      </c>
      <c r="J1094">
        <v>9.1300000000000008</v>
      </c>
      <c r="K1094">
        <v>5.24</v>
      </c>
      <c r="L1094">
        <v>0</v>
      </c>
      <c r="M1094" t="s">
        <v>25</v>
      </c>
      <c r="N1094" t="s">
        <v>26</v>
      </c>
      <c r="O1094">
        <v>10.16</v>
      </c>
      <c r="P1094" s="1">
        <v>45292</v>
      </c>
      <c r="Q1094" t="str">
        <f t="shared" si="17"/>
        <v>Medium Performance</v>
      </c>
      <c r="R1094" s="2">
        <f>Table1_1[[#This Row],[tasks_completed]]/Table1_1[[#This Row],[monthly_hours_worked]]</f>
        <v>3.7290242386575509E-2</v>
      </c>
    </row>
    <row r="1095" spans="1:18" x14ac:dyDescent="0.3">
      <c r="A1095" t="s">
        <v>136</v>
      </c>
      <c r="B1095" t="s">
        <v>23</v>
      </c>
      <c r="C1095" t="s">
        <v>31</v>
      </c>
      <c r="D1095" t="s">
        <v>29</v>
      </c>
      <c r="E1095">
        <v>4</v>
      </c>
      <c r="F1095">
        <v>151.9</v>
      </c>
      <c r="G1095">
        <v>94.7</v>
      </c>
      <c r="H1095">
        <v>4.3</v>
      </c>
      <c r="I1095">
        <v>3</v>
      </c>
      <c r="J1095">
        <v>6.5</v>
      </c>
      <c r="K1095">
        <v>4.5999999999999996</v>
      </c>
      <c r="L1095">
        <v>1</v>
      </c>
      <c r="M1095" t="s">
        <v>25</v>
      </c>
      <c r="N1095" t="s">
        <v>21</v>
      </c>
      <c r="O1095">
        <v>11.53</v>
      </c>
      <c r="P1095" s="1">
        <v>45292</v>
      </c>
      <c r="Q1095" t="str">
        <f t="shared" si="17"/>
        <v>Medium Performance</v>
      </c>
      <c r="R1095" s="2">
        <f>Table1_1[[#This Row],[tasks_completed]]/Table1_1[[#This Row],[monthly_hours_worked]]</f>
        <v>1.9749835418038181E-2</v>
      </c>
    </row>
    <row r="1096" spans="1:18" x14ac:dyDescent="0.3">
      <c r="A1096" t="s">
        <v>136</v>
      </c>
      <c r="B1096" t="s">
        <v>23</v>
      </c>
      <c r="C1096" t="s">
        <v>41</v>
      </c>
      <c r="D1096" t="s">
        <v>19</v>
      </c>
      <c r="E1096">
        <v>3</v>
      </c>
      <c r="F1096">
        <v>173.7</v>
      </c>
      <c r="G1096">
        <v>93.6</v>
      </c>
      <c r="H1096">
        <v>2.7</v>
      </c>
      <c r="I1096">
        <v>7</v>
      </c>
      <c r="K1096">
        <v>8.43</v>
      </c>
      <c r="L1096">
        <v>0</v>
      </c>
      <c r="M1096" t="s">
        <v>25</v>
      </c>
      <c r="N1096" t="s">
        <v>21</v>
      </c>
      <c r="O1096">
        <v>11.57</v>
      </c>
      <c r="P1096" s="1">
        <v>45352</v>
      </c>
      <c r="Q1096" t="str">
        <f t="shared" si="17"/>
        <v>Medium Performance</v>
      </c>
      <c r="R1096" s="2">
        <f>Table1_1[[#This Row],[tasks_completed]]/Table1_1[[#This Row],[monthly_hours_worked]]</f>
        <v>4.0299366724237194E-2</v>
      </c>
    </row>
    <row r="1097" spans="1:18" x14ac:dyDescent="0.3">
      <c r="A1097" t="s">
        <v>136</v>
      </c>
      <c r="B1097" t="s">
        <v>27</v>
      </c>
      <c r="C1097" t="s">
        <v>18</v>
      </c>
      <c r="D1097" t="s">
        <v>19</v>
      </c>
      <c r="E1097">
        <v>10</v>
      </c>
      <c r="F1097">
        <v>168.7</v>
      </c>
      <c r="G1097">
        <v>100</v>
      </c>
      <c r="H1097">
        <v>5.9</v>
      </c>
      <c r="I1097">
        <v>2</v>
      </c>
      <c r="J1097">
        <v>5.67</v>
      </c>
      <c r="K1097">
        <v>8.4600000000000009</v>
      </c>
      <c r="L1097">
        <v>0</v>
      </c>
      <c r="M1097" t="s">
        <v>25</v>
      </c>
      <c r="N1097" t="s">
        <v>21</v>
      </c>
      <c r="O1097">
        <v>14.07</v>
      </c>
      <c r="P1097" s="1">
        <v>45352</v>
      </c>
      <c r="Q1097" t="str">
        <f t="shared" si="17"/>
        <v>Medium Performance</v>
      </c>
      <c r="R1097" s="2">
        <f>Table1_1[[#This Row],[tasks_completed]]/Table1_1[[#This Row],[monthly_hours_worked]]</f>
        <v>1.1855364552459989E-2</v>
      </c>
    </row>
    <row r="1098" spans="1:18" x14ac:dyDescent="0.3">
      <c r="A1098" t="s">
        <v>136</v>
      </c>
      <c r="B1098" t="s">
        <v>23</v>
      </c>
      <c r="C1098" t="s">
        <v>37</v>
      </c>
      <c r="D1098" t="s">
        <v>29</v>
      </c>
      <c r="E1098">
        <v>10</v>
      </c>
      <c r="F1098">
        <v>165.5</v>
      </c>
      <c r="G1098">
        <v>94</v>
      </c>
      <c r="H1098">
        <v>2.5</v>
      </c>
      <c r="I1098">
        <v>9</v>
      </c>
      <c r="J1098">
        <v>7.96</v>
      </c>
      <c r="K1098">
        <v>3.51</v>
      </c>
      <c r="L1098">
        <v>1</v>
      </c>
      <c r="M1098" t="s">
        <v>34</v>
      </c>
      <c r="N1098" t="s">
        <v>35</v>
      </c>
      <c r="O1098">
        <v>12.76</v>
      </c>
      <c r="P1098" s="1">
        <v>45383</v>
      </c>
      <c r="Q1098" t="str">
        <f t="shared" si="17"/>
        <v>Medium Performance</v>
      </c>
      <c r="R1098" s="2">
        <f>Table1_1[[#This Row],[tasks_completed]]/Table1_1[[#This Row],[monthly_hours_worked]]</f>
        <v>5.4380664652567974E-2</v>
      </c>
    </row>
    <row r="1099" spans="1:18" x14ac:dyDescent="0.3">
      <c r="A1099" t="s">
        <v>136</v>
      </c>
      <c r="B1099" t="s">
        <v>27</v>
      </c>
      <c r="C1099" t="s">
        <v>41</v>
      </c>
      <c r="D1099" t="s">
        <v>19</v>
      </c>
      <c r="E1099">
        <v>5</v>
      </c>
      <c r="F1099">
        <v>166.9</v>
      </c>
      <c r="G1099">
        <v>96.7</v>
      </c>
      <c r="H1099">
        <v>8</v>
      </c>
      <c r="I1099">
        <v>12</v>
      </c>
      <c r="J1099">
        <v>7.11</v>
      </c>
      <c r="K1099">
        <v>6.73</v>
      </c>
      <c r="L1099">
        <v>0</v>
      </c>
      <c r="M1099" t="s">
        <v>25</v>
      </c>
      <c r="N1099" t="s">
        <v>26</v>
      </c>
      <c r="O1099">
        <v>20.27</v>
      </c>
      <c r="P1099" s="1">
        <v>45413</v>
      </c>
      <c r="Q1099" t="str">
        <f t="shared" si="17"/>
        <v>High Performance</v>
      </c>
      <c r="R1099" s="2">
        <f>Table1_1[[#This Row],[tasks_completed]]/Table1_1[[#This Row],[monthly_hours_worked]]</f>
        <v>7.1899340922708208E-2</v>
      </c>
    </row>
    <row r="1100" spans="1:18" x14ac:dyDescent="0.3">
      <c r="A1100" t="s">
        <v>136</v>
      </c>
      <c r="B1100" t="s">
        <v>33</v>
      </c>
      <c r="C1100" t="s">
        <v>18</v>
      </c>
      <c r="D1100" t="s">
        <v>29</v>
      </c>
      <c r="E1100">
        <v>10</v>
      </c>
      <c r="F1100">
        <v>168.9</v>
      </c>
      <c r="G1100">
        <v>97.2</v>
      </c>
      <c r="H1100">
        <v>6</v>
      </c>
      <c r="I1100">
        <v>7</v>
      </c>
      <c r="K1100">
        <v>5.47</v>
      </c>
      <c r="L1100">
        <v>1</v>
      </c>
      <c r="M1100" t="s">
        <v>20</v>
      </c>
      <c r="N1100" t="s">
        <v>26</v>
      </c>
      <c r="O1100">
        <v>17.5</v>
      </c>
      <c r="P1100" s="1">
        <v>45444</v>
      </c>
      <c r="Q1100" t="str">
        <f t="shared" si="17"/>
        <v>High Performance</v>
      </c>
      <c r="R1100" s="2">
        <f>Table1_1[[#This Row],[tasks_completed]]/Table1_1[[#This Row],[monthly_hours_worked]]</f>
        <v>4.1444641799881582E-2</v>
      </c>
    </row>
    <row r="1101" spans="1:18" x14ac:dyDescent="0.3">
      <c r="A1101" t="s">
        <v>136</v>
      </c>
      <c r="B1101" t="s">
        <v>43</v>
      </c>
      <c r="C1101" t="s">
        <v>31</v>
      </c>
      <c r="D1101" t="s">
        <v>29</v>
      </c>
      <c r="E1101">
        <v>4</v>
      </c>
      <c r="F1101">
        <v>163.4</v>
      </c>
      <c r="G1101">
        <v>100</v>
      </c>
      <c r="H1101">
        <v>3.9</v>
      </c>
      <c r="I1101">
        <v>8</v>
      </c>
      <c r="K1101">
        <v>5.3</v>
      </c>
      <c r="L1101">
        <v>2</v>
      </c>
      <c r="M1101" t="s">
        <v>25</v>
      </c>
      <c r="N1101" t="s">
        <v>35</v>
      </c>
      <c r="O1101">
        <v>12.68</v>
      </c>
      <c r="P1101" s="1">
        <v>45474</v>
      </c>
      <c r="Q1101" t="str">
        <f t="shared" si="17"/>
        <v>Medium Performance</v>
      </c>
      <c r="R1101" s="2">
        <f>Table1_1[[#This Row],[tasks_completed]]/Table1_1[[#This Row],[monthly_hours_worked]]</f>
        <v>4.8959608323133411E-2</v>
      </c>
    </row>
    <row r="1102" spans="1:18" x14ac:dyDescent="0.3">
      <c r="A1102" t="s">
        <v>136</v>
      </c>
      <c r="B1102" t="s">
        <v>27</v>
      </c>
      <c r="C1102" t="s">
        <v>24</v>
      </c>
      <c r="D1102" t="s">
        <v>19</v>
      </c>
      <c r="E1102">
        <v>8</v>
      </c>
      <c r="F1102">
        <v>170.8</v>
      </c>
      <c r="G1102">
        <v>93.2</v>
      </c>
      <c r="H1102">
        <v>3.8</v>
      </c>
      <c r="I1102">
        <v>8</v>
      </c>
      <c r="J1102">
        <v>3.35</v>
      </c>
      <c r="K1102">
        <v>10</v>
      </c>
      <c r="L1102">
        <v>0</v>
      </c>
      <c r="M1102" t="s">
        <v>25</v>
      </c>
      <c r="N1102" t="s">
        <v>26</v>
      </c>
      <c r="O1102">
        <v>13.9</v>
      </c>
      <c r="P1102" s="1">
        <v>45505</v>
      </c>
      <c r="Q1102" t="str">
        <f t="shared" si="17"/>
        <v>Medium Performance</v>
      </c>
      <c r="R1102" s="2">
        <f>Table1_1[[#This Row],[tasks_completed]]/Table1_1[[#This Row],[monthly_hours_worked]]</f>
        <v>4.6838407494145196E-2</v>
      </c>
    </row>
    <row r="1103" spans="1:18" x14ac:dyDescent="0.3">
      <c r="A1103" t="s">
        <v>136</v>
      </c>
      <c r="B1103" t="s">
        <v>27</v>
      </c>
      <c r="C1103" t="s">
        <v>37</v>
      </c>
      <c r="D1103" t="s">
        <v>29</v>
      </c>
      <c r="E1103">
        <v>1</v>
      </c>
      <c r="F1103">
        <v>151.4</v>
      </c>
      <c r="G1103">
        <v>95.1</v>
      </c>
      <c r="I1103">
        <v>9</v>
      </c>
      <c r="J1103">
        <v>6.57</v>
      </c>
      <c r="K1103">
        <v>4.76</v>
      </c>
      <c r="L1103">
        <v>1</v>
      </c>
      <c r="M1103" t="s">
        <v>34</v>
      </c>
      <c r="N1103" t="s">
        <v>26</v>
      </c>
      <c r="O1103">
        <v>11.2</v>
      </c>
      <c r="P1103" s="1">
        <v>45536</v>
      </c>
      <c r="Q1103" t="str">
        <f t="shared" si="17"/>
        <v>Medium Performance</v>
      </c>
      <c r="R1103" s="2">
        <f>Table1_1[[#This Row],[tasks_completed]]/Table1_1[[#This Row],[monthly_hours_worked]]</f>
        <v>5.9445178335535004E-2</v>
      </c>
    </row>
    <row r="1104" spans="1:18" x14ac:dyDescent="0.3">
      <c r="A1104" t="s">
        <v>136</v>
      </c>
      <c r="B1104" t="s">
        <v>33</v>
      </c>
      <c r="C1104" t="s">
        <v>31</v>
      </c>
      <c r="D1104" t="s">
        <v>19</v>
      </c>
      <c r="E1104">
        <v>2</v>
      </c>
      <c r="F1104">
        <v>172.1</v>
      </c>
      <c r="G1104">
        <v>97.2</v>
      </c>
      <c r="H1104">
        <v>7.7</v>
      </c>
      <c r="I1104">
        <v>4</v>
      </c>
      <c r="J1104">
        <v>8.11</v>
      </c>
      <c r="K1104">
        <v>5.46</v>
      </c>
      <c r="L1104">
        <v>1</v>
      </c>
      <c r="M1104" t="s">
        <v>34</v>
      </c>
      <c r="N1104" t="s">
        <v>21</v>
      </c>
      <c r="O1104">
        <v>11.78</v>
      </c>
      <c r="P1104" s="1">
        <v>45566</v>
      </c>
      <c r="Q1104" t="str">
        <f t="shared" si="17"/>
        <v>Medium Performance</v>
      </c>
      <c r="R1104" s="2">
        <f>Table1_1[[#This Row],[tasks_completed]]/Table1_1[[#This Row],[monthly_hours_worked]]</f>
        <v>2.3242300987797792E-2</v>
      </c>
    </row>
    <row r="1105" spans="1:18" x14ac:dyDescent="0.3">
      <c r="A1105" t="s">
        <v>136</v>
      </c>
      <c r="B1105" t="s">
        <v>23</v>
      </c>
      <c r="C1105" t="s">
        <v>31</v>
      </c>
      <c r="D1105" t="s">
        <v>39</v>
      </c>
      <c r="E1105">
        <v>9</v>
      </c>
      <c r="F1105">
        <v>167.3</v>
      </c>
      <c r="G1105">
        <v>100</v>
      </c>
      <c r="I1105">
        <v>1</v>
      </c>
      <c r="J1105">
        <v>9.25</v>
      </c>
      <c r="K1105">
        <v>8.75</v>
      </c>
      <c r="L1105">
        <v>0</v>
      </c>
      <c r="M1105" t="s">
        <v>25</v>
      </c>
      <c r="N1105" t="s">
        <v>21</v>
      </c>
      <c r="O1105">
        <v>13.07</v>
      </c>
      <c r="P1105" s="1">
        <v>45597</v>
      </c>
      <c r="Q1105" t="str">
        <f t="shared" si="17"/>
        <v>Medium Performance</v>
      </c>
      <c r="R1105" s="2">
        <f>Table1_1[[#This Row],[tasks_completed]]/Table1_1[[#This Row],[monthly_hours_worked]]</f>
        <v>5.977286312014345E-3</v>
      </c>
    </row>
    <row r="1106" spans="1:18" x14ac:dyDescent="0.3">
      <c r="A1106" t="s">
        <v>137</v>
      </c>
      <c r="B1106" t="s">
        <v>17</v>
      </c>
      <c r="C1106" t="s">
        <v>24</v>
      </c>
      <c r="D1106" t="s">
        <v>19</v>
      </c>
      <c r="E1106">
        <v>6</v>
      </c>
      <c r="F1106">
        <v>153.19999999999999</v>
      </c>
      <c r="G1106">
        <v>85.9</v>
      </c>
      <c r="H1106">
        <v>7.1</v>
      </c>
      <c r="I1106">
        <v>10</v>
      </c>
      <c r="J1106">
        <v>6.46</v>
      </c>
      <c r="K1106">
        <v>6.54</v>
      </c>
      <c r="L1106">
        <v>0</v>
      </c>
      <c r="M1106" t="s">
        <v>34</v>
      </c>
      <c r="N1106" t="s">
        <v>26</v>
      </c>
      <c r="O1106">
        <v>15.68</v>
      </c>
      <c r="P1106" s="1">
        <v>45292</v>
      </c>
      <c r="Q1106" t="str">
        <f t="shared" si="17"/>
        <v>High Performance</v>
      </c>
      <c r="R1106" s="2">
        <f>Table1_1[[#This Row],[tasks_completed]]/Table1_1[[#This Row],[monthly_hours_worked]]</f>
        <v>6.5274151436031339E-2</v>
      </c>
    </row>
    <row r="1107" spans="1:18" x14ac:dyDescent="0.3">
      <c r="A1107" t="s">
        <v>137</v>
      </c>
      <c r="B1107" t="s">
        <v>43</v>
      </c>
      <c r="C1107" t="s">
        <v>24</v>
      </c>
      <c r="D1107" t="s">
        <v>19</v>
      </c>
      <c r="E1107">
        <v>6</v>
      </c>
      <c r="F1107">
        <v>158.6</v>
      </c>
      <c r="G1107">
        <v>91.9</v>
      </c>
      <c r="I1107">
        <v>5</v>
      </c>
      <c r="J1107">
        <v>7.67</v>
      </c>
      <c r="K1107">
        <v>8.0299999999999994</v>
      </c>
      <c r="L1107">
        <v>2</v>
      </c>
      <c r="M1107" t="s">
        <v>25</v>
      </c>
      <c r="N1107" t="s">
        <v>21</v>
      </c>
      <c r="O1107">
        <v>9.61</v>
      </c>
      <c r="P1107" s="1">
        <v>45292</v>
      </c>
      <c r="Q1107" t="str">
        <f t="shared" si="17"/>
        <v>Low Performance</v>
      </c>
      <c r="R1107" s="2">
        <f>Table1_1[[#This Row],[tasks_completed]]/Table1_1[[#This Row],[monthly_hours_worked]]</f>
        <v>3.1525851197982346E-2</v>
      </c>
    </row>
    <row r="1108" spans="1:18" x14ac:dyDescent="0.3">
      <c r="A1108" t="s">
        <v>137</v>
      </c>
      <c r="B1108" t="s">
        <v>43</v>
      </c>
      <c r="C1108" t="s">
        <v>41</v>
      </c>
      <c r="D1108" t="s">
        <v>19</v>
      </c>
      <c r="E1108">
        <v>9</v>
      </c>
      <c r="F1108">
        <v>149.1</v>
      </c>
      <c r="G1108">
        <v>94</v>
      </c>
      <c r="H1108">
        <v>4.8</v>
      </c>
      <c r="I1108">
        <v>6</v>
      </c>
      <c r="J1108">
        <v>6.02</v>
      </c>
      <c r="K1108">
        <v>7.2</v>
      </c>
      <c r="L1108">
        <v>1</v>
      </c>
      <c r="M1108" t="s">
        <v>25</v>
      </c>
      <c r="N1108" t="s">
        <v>26</v>
      </c>
      <c r="O1108">
        <v>6.05</v>
      </c>
      <c r="P1108" s="1">
        <v>45352</v>
      </c>
      <c r="Q1108" t="str">
        <f t="shared" si="17"/>
        <v>Low Performance</v>
      </c>
      <c r="R1108" s="2">
        <f>Table1_1[[#This Row],[tasks_completed]]/Table1_1[[#This Row],[monthly_hours_worked]]</f>
        <v>4.0241448692152917E-2</v>
      </c>
    </row>
    <row r="1109" spans="1:18" x14ac:dyDescent="0.3">
      <c r="A1109" t="s">
        <v>137</v>
      </c>
      <c r="B1109" t="s">
        <v>27</v>
      </c>
      <c r="C1109" t="s">
        <v>18</v>
      </c>
      <c r="D1109" t="s">
        <v>29</v>
      </c>
      <c r="E1109">
        <v>2</v>
      </c>
      <c r="F1109">
        <v>177.7</v>
      </c>
      <c r="G1109">
        <v>98.4</v>
      </c>
      <c r="H1109">
        <v>7.1</v>
      </c>
      <c r="I1109">
        <v>3</v>
      </c>
      <c r="J1109">
        <v>5.15</v>
      </c>
      <c r="K1109">
        <v>8.92</v>
      </c>
      <c r="L1109">
        <v>1</v>
      </c>
      <c r="M1109" t="s">
        <v>20</v>
      </c>
      <c r="N1109" t="s">
        <v>26</v>
      </c>
      <c r="O1109">
        <v>15.84</v>
      </c>
      <c r="P1109" s="1">
        <v>45352</v>
      </c>
      <c r="Q1109" t="str">
        <f t="shared" si="17"/>
        <v>High Performance</v>
      </c>
      <c r="R1109" s="2">
        <f>Table1_1[[#This Row],[tasks_completed]]/Table1_1[[#This Row],[monthly_hours_worked]]</f>
        <v>1.6882386043894203E-2</v>
      </c>
    </row>
    <row r="1110" spans="1:18" x14ac:dyDescent="0.3">
      <c r="A1110" t="s">
        <v>137</v>
      </c>
      <c r="B1110" t="s">
        <v>23</v>
      </c>
      <c r="C1110" t="s">
        <v>41</v>
      </c>
      <c r="D1110" t="s">
        <v>19</v>
      </c>
      <c r="E1110">
        <v>8</v>
      </c>
      <c r="F1110">
        <v>166.5</v>
      </c>
      <c r="G1110">
        <v>89.8</v>
      </c>
      <c r="H1110">
        <v>3</v>
      </c>
      <c r="I1110">
        <v>4</v>
      </c>
      <c r="J1110">
        <v>6.93</v>
      </c>
      <c r="K1110">
        <v>4.8</v>
      </c>
      <c r="L1110">
        <v>0</v>
      </c>
      <c r="M1110" t="s">
        <v>25</v>
      </c>
      <c r="N1110" t="s">
        <v>26</v>
      </c>
      <c r="O1110">
        <v>16.68</v>
      </c>
      <c r="P1110" s="1">
        <v>45383</v>
      </c>
      <c r="Q1110" t="str">
        <f t="shared" si="17"/>
        <v>High Performance</v>
      </c>
      <c r="R1110" s="2">
        <f>Table1_1[[#This Row],[tasks_completed]]/Table1_1[[#This Row],[monthly_hours_worked]]</f>
        <v>2.4024024024024024E-2</v>
      </c>
    </row>
    <row r="1111" spans="1:18" x14ac:dyDescent="0.3">
      <c r="A1111" t="s">
        <v>137</v>
      </c>
      <c r="B1111" t="s">
        <v>43</v>
      </c>
      <c r="C1111" t="s">
        <v>41</v>
      </c>
      <c r="D1111" t="s">
        <v>39</v>
      </c>
      <c r="E1111">
        <v>4</v>
      </c>
      <c r="F1111">
        <v>157.5</v>
      </c>
      <c r="G1111">
        <v>93.8</v>
      </c>
      <c r="H1111">
        <v>6.7</v>
      </c>
      <c r="I1111">
        <v>2</v>
      </c>
      <c r="J1111">
        <v>4.9800000000000004</v>
      </c>
      <c r="K1111">
        <v>8.94</v>
      </c>
      <c r="L1111">
        <v>0</v>
      </c>
      <c r="M1111" t="s">
        <v>20</v>
      </c>
      <c r="N1111" t="s">
        <v>21</v>
      </c>
      <c r="O1111">
        <v>6.37</v>
      </c>
      <c r="P1111" s="1">
        <v>45413</v>
      </c>
      <c r="Q1111" t="str">
        <f t="shared" si="17"/>
        <v>Low Performance</v>
      </c>
      <c r="R1111" s="2">
        <f>Table1_1[[#This Row],[tasks_completed]]/Table1_1[[#This Row],[monthly_hours_worked]]</f>
        <v>1.2698412698412698E-2</v>
      </c>
    </row>
    <row r="1112" spans="1:18" x14ac:dyDescent="0.3">
      <c r="A1112" t="s">
        <v>137</v>
      </c>
      <c r="B1112" t="s">
        <v>27</v>
      </c>
      <c r="C1112" t="s">
        <v>31</v>
      </c>
      <c r="D1112" t="s">
        <v>29</v>
      </c>
      <c r="E1112">
        <v>7</v>
      </c>
      <c r="F1112">
        <v>165.8</v>
      </c>
      <c r="G1112">
        <v>94.7</v>
      </c>
      <c r="H1112">
        <v>6.6</v>
      </c>
      <c r="I1112">
        <v>9</v>
      </c>
      <c r="J1112">
        <v>8.31</v>
      </c>
      <c r="K1112">
        <v>3.84</v>
      </c>
      <c r="L1112">
        <v>0</v>
      </c>
      <c r="M1112" t="s">
        <v>20</v>
      </c>
      <c r="N1112" t="s">
        <v>35</v>
      </c>
      <c r="O1112">
        <v>13.26</v>
      </c>
      <c r="P1112" s="1">
        <v>45444</v>
      </c>
      <c r="Q1112" t="str">
        <f t="shared" si="17"/>
        <v>Medium Performance</v>
      </c>
      <c r="R1112" s="2">
        <f>Table1_1[[#This Row],[tasks_completed]]/Table1_1[[#This Row],[monthly_hours_worked]]</f>
        <v>5.4282267792521106E-2</v>
      </c>
    </row>
    <row r="1113" spans="1:18" x14ac:dyDescent="0.3">
      <c r="A1113" t="s">
        <v>137</v>
      </c>
      <c r="B1113" t="s">
        <v>33</v>
      </c>
      <c r="C1113" t="s">
        <v>41</v>
      </c>
      <c r="D1113" t="s">
        <v>19</v>
      </c>
      <c r="E1113">
        <v>8</v>
      </c>
      <c r="F1113">
        <v>151.1</v>
      </c>
      <c r="G1113">
        <v>95.2</v>
      </c>
      <c r="H1113">
        <v>3</v>
      </c>
      <c r="I1113">
        <v>7</v>
      </c>
      <c r="J1113">
        <v>8.1199999999999992</v>
      </c>
      <c r="K1113">
        <v>6.21</v>
      </c>
      <c r="L1113">
        <v>0</v>
      </c>
      <c r="M1113" t="s">
        <v>34</v>
      </c>
      <c r="N1113" t="s">
        <v>26</v>
      </c>
      <c r="O1113">
        <v>12.64</v>
      </c>
      <c r="P1113" s="1">
        <v>45474</v>
      </c>
      <c r="Q1113" t="str">
        <f t="shared" si="17"/>
        <v>Medium Performance</v>
      </c>
      <c r="R1113" s="2">
        <f>Table1_1[[#This Row],[tasks_completed]]/Table1_1[[#This Row],[monthly_hours_worked]]</f>
        <v>4.6326935804103242E-2</v>
      </c>
    </row>
    <row r="1114" spans="1:18" x14ac:dyDescent="0.3">
      <c r="A1114" t="s">
        <v>137</v>
      </c>
      <c r="B1114" t="s">
        <v>17</v>
      </c>
      <c r="C1114" t="s">
        <v>31</v>
      </c>
      <c r="D1114" t="s">
        <v>29</v>
      </c>
      <c r="E1114">
        <v>6</v>
      </c>
      <c r="F1114">
        <v>158.1</v>
      </c>
      <c r="G1114">
        <v>91</v>
      </c>
      <c r="H1114">
        <v>5.6</v>
      </c>
      <c r="I1114">
        <v>3</v>
      </c>
      <c r="J1114">
        <v>9.3800000000000008</v>
      </c>
      <c r="K1114">
        <v>7.28</v>
      </c>
      <c r="L1114">
        <v>1</v>
      </c>
      <c r="M1114" t="s">
        <v>20</v>
      </c>
      <c r="N1114" t="s">
        <v>35</v>
      </c>
      <c r="O1114">
        <v>2.33</v>
      </c>
      <c r="P1114" s="1">
        <v>45505</v>
      </c>
      <c r="Q1114" t="str">
        <f t="shared" si="17"/>
        <v>Low Performance</v>
      </c>
      <c r="R1114" s="2">
        <f>Table1_1[[#This Row],[tasks_completed]]/Table1_1[[#This Row],[monthly_hours_worked]]</f>
        <v>1.8975332068311195E-2</v>
      </c>
    </row>
    <row r="1115" spans="1:18" x14ac:dyDescent="0.3">
      <c r="A1115" t="s">
        <v>137</v>
      </c>
      <c r="B1115" t="s">
        <v>23</v>
      </c>
      <c r="C1115" t="s">
        <v>18</v>
      </c>
      <c r="D1115" t="s">
        <v>39</v>
      </c>
      <c r="E1115">
        <v>10</v>
      </c>
      <c r="F1115">
        <v>164.5</v>
      </c>
      <c r="G1115">
        <v>91.8</v>
      </c>
      <c r="H1115">
        <v>2.7</v>
      </c>
      <c r="I1115">
        <v>7</v>
      </c>
      <c r="J1115">
        <v>8.24</v>
      </c>
      <c r="K1115">
        <v>8.92</v>
      </c>
      <c r="L1115">
        <v>0</v>
      </c>
      <c r="M1115" t="s">
        <v>34</v>
      </c>
      <c r="N1115" t="s">
        <v>26</v>
      </c>
      <c r="O1115">
        <v>12.1</v>
      </c>
      <c r="P1115" s="1">
        <v>45536</v>
      </c>
      <c r="Q1115" t="str">
        <f t="shared" si="17"/>
        <v>Medium Performance</v>
      </c>
      <c r="R1115" s="2">
        <f>Table1_1[[#This Row],[tasks_completed]]/Table1_1[[#This Row],[monthly_hours_worked]]</f>
        <v>4.2553191489361701E-2</v>
      </c>
    </row>
    <row r="1116" spans="1:18" x14ac:dyDescent="0.3">
      <c r="A1116" t="s">
        <v>137</v>
      </c>
      <c r="B1116" t="s">
        <v>43</v>
      </c>
      <c r="C1116" t="s">
        <v>37</v>
      </c>
      <c r="D1116" t="s">
        <v>29</v>
      </c>
      <c r="E1116">
        <v>8</v>
      </c>
      <c r="F1116">
        <v>174.7</v>
      </c>
      <c r="G1116">
        <v>92.7</v>
      </c>
      <c r="H1116">
        <v>8.3000000000000007</v>
      </c>
      <c r="I1116">
        <v>6</v>
      </c>
      <c r="K1116">
        <v>8.06</v>
      </c>
      <c r="L1116">
        <v>0</v>
      </c>
      <c r="M1116" t="s">
        <v>25</v>
      </c>
      <c r="N1116" t="s">
        <v>26</v>
      </c>
      <c r="O1116">
        <v>15.39</v>
      </c>
      <c r="P1116" s="1">
        <v>45566</v>
      </c>
      <c r="Q1116" t="str">
        <f t="shared" si="17"/>
        <v>High Performance</v>
      </c>
      <c r="R1116" s="2">
        <f>Table1_1[[#This Row],[tasks_completed]]/Table1_1[[#This Row],[monthly_hours_worked]]</f>
        <v>3.4344590726960507E-2</v>
      </c>
    </row>
    <row r="1117" spans="1:18" x14ac:dyDescent="0.3">
      <c r="A1117" t="s">
        <v>137</v>
      </c>
      <c r="B1117" t="s">
        <v>17</v>
      </c>
      <c r="C1117" t="s">
        <v>41</v>
      </c>
      <c r="D1117" t="s">
        <v>19</v>
      </c>
      <c r="E1117">
        <v>2</v>
      </c>
      <c r="F1117">
        <v>163.1</v>
      </c>
      <c r="G1117">
        <v>91.6</v>
      </c>
      <c r="H1117">
        <v>5</v>
      </c>
      <c r="I1117">
        <v>7</v>
      </c>
      <c r="J1117">
        <v>9.7899999999999991</v>
      </c>
      <c r="K1117">
        <v>5.69</v>
      </c>
      <c r="L1117">
        <v>1</v>
      </c>
      <c r="M1117" t="s">
        <v>25</v>
      </c>
      <c r="N1117" t="s">
        <v>26</v>
      </c>
      <c r="O1117">
        <v>25.07</v>
      </c>
      <c r="P1117" s="1">
        <v>45597</v>
      </c>
      <c r="Q1117" t="str">
        <f t="shared" si="17"/>
        <v>High Performance</v>
      </c>
      <c r="R1117" s="2">
        <f>Table1_1[[#This Row],[tasks_completed]]/Table1_1[[#This Row],[monthly_hours_worked]]</f>
        <v>4.2918454935622317E-2</v>
      </c>
    </row>
    <row r="1118" spans="1:18" x14ac:dyDescent="0.3">
      <c r="A1118" t="s">
        <v>138</v>
      </c>
      <c r="B1118" t="s">
        <v>17</v>
      </c>
      <c r="C1118" t="s">
        <v>31</v>
      </c>
      <c r="D1118" t="s">
        <v>19</v>
      </c>
      <c r="E1118">
        <v>9</v>
      </c>
      <c r="F1118">
        <v>171.7</v>
      </c>
      <c r="G1118">
        <v>95.1</v>
      </c>
      <c r="H1118">
        <v>6.6</v>
      </c>
      <c r="I1118">
        <v>7</v>
      </c>
      <c r="J1118">
        <v>8.58</v>
      </c>
      <c r="K1118">
        <v>7.03</v>
      </c>
      <c r="L1118">
        <v>0</v>
      </c>
      <c r="M1118" t="s">
        <v>25</v>
      </c>
      <c r="N1118" t="s">
        <v>26</v>
      </c>
      <c r="O1118">
        <v>8.52</v>
      </c>
      <c r="P1118" s="1">
        <v>45292</v>
      </c>
      <c r="Q1118" t="str">
        <f t="shared" si="17"/>
        <v>Low Performance</v>
      </c>
      <c r="R1118" s="2">
        <f>Table1_1[[#This Row],[tasks_completed]]/Table1_1[[#This Row],[monthly_hours_worked]]</f>
        <v>4.0768782760629008E-2</v>
      </c>
    </row>
    <row r="1119" spans="1:18" x14ac:dyDescent="0.3">
      <c r="A1119" t="s">
        <v>138</v>
      </c>
      <c r="B1119" t="s">
        <v>33</v>
      </c>
      <c r="C1119" t="s">
        <v>31</v>
      </c>
      <c r="D1119" t="s">
        <v>39</v>
      </c>
      <c r="E1119">
        <v>1</v>
      </c>
      <c r="F1119">
        <v>152.1</v>
      </c>
      <c r="G1119">
        <v>93.6</v>
      </c>
      <c r="H1119">
        <v>3.1</v>
      </c>
      <c r="I1119">
        <v>11</v>
      </c>
      <c r="J1119">
        <v>6.74</v>
      </c>
      <c r="K1119">
        <v>9.4499999999999993</v>
      </c>
      <c r="L1119">
        <v>0</v>
      </c>
      <c r="M1119" t="s">
        <v>25</v>
      </c>
      <c r="N1119" t="s">
        <v>21</v>
      </c>
      <c r="O1119">
        <v>21.02</v>
      </c>
      <c r="P1119" s="1">
        <v>45292</v>
      </c>
      <c r="Q1119" t="str">
        <f t="shared" si="17"/>
        <v>High Performance</v>
      </c>
      <c r="R1119" s="2">
        <f>Table1_1[[#This Row],[tasks_completed]]/Table1_1[[#This Row],[monthly_hours_worked]]</f>
        <v>7.2320841551610782E-2</v>
      </c>
    </row>
    <row r="1120" spans="1:18" x14ac:dyDescent="0.3">
      <c r="A1120" t="s">
        <v>138</v>
      </c>
      <c r="B1120" t="s">
        <v>43</v>
      </c>
      <c r="C1120" t="s">
        <v>41</v>
      </c>
      <c r="D1120" t="s">
        <v>39</v>
      </c>
      <c r="E1120">
        <v>9</v>
      </c>
      <c r="F1120">
        <v>162.80000000000001</v>
      </c>
      <c r="G1120">
        <v>91.4</v>
      </c>
      <c r="H1120">
        <v>4.5999999999999996</v>
      </c>
      <c r="I1120">
        <v>7</v>
      </c>
      <c r="J1120">
        <v>7.54</v>
      </c>
      <c r="K1120">
        <v>5.27</v>
      </c>
      <c r="L1120">
        <v>1</v>
      </c>
      <c r="M1120" t="s">
        <v>20</v>
      </c>
      <c r="N1120" t="s">
        <v>26</v>
      </c>
      <c r="O1120">
        <v>7.9</v>
      </c>
      <c r="P1120" s="1">
        <v>45352</v>
      </c>
      <c r="Q1120" t="str">
        <f t="shared" si="17"/>
        <v>Low Performance</v>
      </c>
      <c r="R1120" s="2">
        <f>Table1_1[[#This Row],[tasks_completed]]/Table1_1[[#This Row],[monthly_hours_worked]]</f>
        <v>4.2997542997542992E-2</v>
      </c>
    </row>
    <row r="1121" spans="1:18" x14ac:dyDescent="0.3">
      <c r="A1121" t="s">
        <v>138</v>
      </c>
      <c r="B1121" t="s">
        <v>43</v>
      </c>
      <c r="C1121" t="s">
        <v>41</v>
      </c>
      <c r="D1121" t="s">
        <v>39</v>
      </c>
      <c r="E1121">
        <v>2</v>
      </c>
      <c r="F1121">
        <v>162.6</v>
      </c>
      <c r="G1121">
        <v>95.2</v>
      </c>
      <c r="H1121">
        <v>3.8</v>
      </c>
      <c r="I1121">
        <v>11</v>
      </c>
      <c r="J1121">
        <v>7.68</v>
      </c>
      <c r="K1121">
        <v>8.06</v>
      </c>
      <c r="L1121">
        <v>2</v>
      </c>
      <c r="M1121" t="s">
        <v>34</v>
      </c>
      <c r="N1121" t="s">
        <v>35</v>
      </c>
      <c r="O1121">
        <v>18.739999999999998</v>
      </c>
      <c r="P1121" s="1">
        <v>45352</v>
      </c>
      <c r="Q1121" t="str">
        <f t="shared" si="17"/>
        <v>High Performance</v>
      </c>
      <c r="R1121" s="2">
        <f>Table1_1[[#This Row],[tasks_completed]]/Table1_1[[#This Row],[monthly_hours_worked]]</f>
        <v>6.7650676506765067E-2</v>
      </c>
    </row>
    <row r="1122" spans="1:18" x14ac:dyDescent="0.3">
      <c r="A1122" t="s">
        <v>138</v>
      </c>
      <c r="B1122" t="s">
        <v>43</v>
      </c>
      <c r="C1122" t="s">
        <v>24</v>
      </c>
      <c r="D1122" t="s">
        <v>39</v>
      </c>
      <c r="E1122">
        <v>1</v>
      </c>
      <c r="F1122">
        <v>168.5</v>
      </c>
      <c r="G1122">
        <v>100</v>
      </c>
      <c r="H1122">
        <v>4.4000000000000004</v>
      </c>
      <c r="I1122">
        <v>7</v>
      </c>
      <c r="J1122">
        <v>8.2200000000000006</v>
      </c>
      <c r="K1122">
        <v>8.27</v>
      </c>
      <c r="L1122">
        <v>0</v>
      </c>
      <c r="M1122" t="s">
        <v>34</v>
      </c>
      <c r="N1122" t="s">
        <v>26</v>
      </c>
      <c r="O1122">
        <v>29.91</v>
      </c>
      <c r="P1122" s="1">
        <v>45383</v>
      </c>
      <c r="Q1122" t="str">
        <f t="shared" si="17"/>
        <v>High Performance</v>
      </c>
      <c r="R1122" s="2">
        <f>Table1_1[[#This Row],[tasks_completed]]/Table1_1[[#This Row],[monthly_hours_worked]]</f>
        <v>4.1543026706231452E-2</v>
      </c>
    </row>
    <row r="1123" spans="1:18" x14ac:dyDescent="0.3">
      <c r="A1123" t="s">
        <v>138</v>
      </c>
      <c r="B1123" t="s">
        <v>43</v>
      </c>
      <c r="C1123" t="s">
        <v>24</v>
      </c>
      <c r="D1123" t="s">
        <v>39</v>
      </c>
      <c r="E1123">
        <v>9</v>
      </c>
      <c r="F1123">
        <v>150.19999999999999</v>
      </c>
      <c r="G1123">
        <v>100</v>
      </c>
      <c r="H1123">
        <v>4.2</v>
      </c>
      <c r="I1123">
        <v>5</v>
      </c>
      <c r="J1123">
        <v>9.65</v>
      </c>
      <c r="K1123">
        <v>4.3099999999999996</v>
      </c>
      <c r="L1123">
        <v>0</v>
      </c>
      <c r="M1123" t="s">
        <v>34</v>
      </c>
      <c r="N1123" t="s">
        <v>26</v>
      </c>
      <c r="O1123">
        <v>12.7</v>
      </c>
      <c r="P1123" s="1">
        <v>45413</v>
      </c>
      <c r="Q1123" t="str">
        <f t="shared" si="17"/>
        <v>Medium Performance</v>
      </c>
      <c r="R1123" s="2">
        <f>Table1_1[[#This Row],[tasks_completed]]/Table1_1[[#This Row],[monthly_hours_worked]]</f>
        <v>3.3288948069241014E-2</v>
      </c>
    </row>
    <row r="1124" spans="1:18" x14ac:dyDescent="0.3">
      <c r="A1124" t="s">
        <v>138</v>
      </c>
      <c r="B1124" t="s">
        <v>43</v>
      </c>
      <c r="C1124" t="s">
        <v>37</v>
      </c>
      <c r="D1124" t="s">
        <v>39</v>
      </c>
      <c r="E1124">
        <v>6</v>
      </c>
      <c r="F1124">
        <v>160.80000000000001</v>
      </c>
      <c r="G1124">
        <v>93.1</v>
      </c>
      <c r="H1124">
        <v>6.3</v>
      </c>
      <c r="I1124">
        <v>9</v>
      </c>
      <c r="J1124">
        <v>8.65</v>
      </c>
      <c r="K1124">
        <v>8.07</v>
      </c>
      <c r="L1124">
        <v>2</v>
      </c>
      <c r="M1124" t="s">
        <v>34</v>
      </c>
      <c r="N1124" t="s">
        <v>35</v>
      </c>
      <c r="O1124">
        <v>13.38</v>
      </c>
      <c r="P1124" s="1">
        <v>45444</v>
      </c>
      <c r="Q1124" t="str">
        <f t="shared" si="17"/>
        <v>Medium Performance</v>
      </c>
      <c r="R1124" s="2">
        <f>Table1_1[[#This Row],[tasks_completed]]/Table1_1[[#This Row],[monthly_hours_worked]]</f>
        <v>5.5970149253731338E-2</v>
      </c>
    </row>
    <row r="1125" spans="1:18" x14ac:dyDescent="0.3">
      <c r="A1125" t="s">
        <v>138</v>
      </c>
      <c r="B1125" t="s">
        <v>43</v>
      </c>
      <c r="C1125" t="s">
        <v>24</v>
      </c>
      <c r="D1125" t="s">
        <v>19</v>
      </c>
      <c r="E1125">
        <v>9</v>
      </c>
      <c r="F1125">
        <v>146.6</v>
      </c>
      <c r="G1125">
        <v>91.7</v>
      </c>
      <c r="H1125">
        <v>7.4</v>
      </c>
      <c r="I1125">
        <v>8</v>
      </c>
      <c r="J1125">
        <v>7.59</v>
      </c>
      <c r="K1125">
        <v>7.49</v>
      </c>
      <c r="L1125">
        <v>0</v>
      </c>
      <c r="M1125" t="s">
        <v>25</v>
      </c>
      <c r="N1125" t="s">
        <v>26</v>
      </c>
      <c r="O1125">
        <v>22.4</v>
      </c>
      <c r="P1125" s="1">
        <v>45474</v>
      </c>
      <c r="Q1125" t="str">
        <f t="shared" si="17"/>
        <v>High Performance</v>
      </c>
      <c r="R1125" s="2">
        <f>Table1_1[[#This Row],[tasks_completed]]/Table1_1[[#This Row],[monthly_hours_worked]]</f>
        <v>5.4570259208731244E-2</v>
      </c>
    </row>
    <row r="1126" spans="1:18" x14ac:dyDescent="0.3">
      <c r="A1126" t="s">
        <v>138</v>
      </c>
      <c r="B1126" t="s">
        <v>23</v>
      </c>
      <c r="C1126" t="s">
        <v>31</v>
      </c>
      <c r="D1126" t="s">
        <v>19</v>
      </c>
      <c r="E1126">
        <v>2</v>
      </c>
      <c r="F1126">
        <v>152.80000000000001</v>
      </c>
      <c r="G1126">
        <v>93.1</v>
      </c>
      <c r="H1126">
        <v>5.7</v>
      </c>
      <c r="I1126">
        <v>5</v>
      </c>
      <c r="J1126">
        <v>6.42</v>
      </c>
      <c r="K1126">
        <v>10</v>
      </c>
      <c r="L1126">
        <v>2</v>
      </c>
      <c r="M1126" t="s">
        <v>25</v>
      </c>
      <c r="N1126" t="s">
        <v>21</v>
      </c>
      <c r="O1126">
        <v>8.4</v>
      </c>
      <c r="P1126" s="1">
        <v>45505</v>
      </c>
      <c r="Q1126" t="str">
        <f t="shared" si="17"/>
        <v>Low Performance</v>
      </c>
      <c r="R1126" s="2">
        <f>Table1_1[[#This Row],[tasks_completed]]/Table1_1[[#This Row],[monthly_hours_worked]]</f>
        <v>3.2722513089005235E-2</v>
      </c>
    </row>
    <row r="1127" spans="1:18" x14ac:dyDescent="0.3">
      <c r="A1127" t="s">
        <v>138</v>
      </c>
      <c r="B1127" t="s">
        <v>23</v>
      </c>
      <c r="C1127" t="s">
        <v>41</v>
      </c>
      <c r="D1127" t="s">
        <v>39</v>
      </c>
      <c r="E1127">
        <v>7</v>
      </c>
      <c r="F1127">
        <v>174</v>
      </c>
      <c r="G1127">
        <v>91.2</v>
      </c>
      <c r="H1127">
        <v>8.4</v>
      </c>
      <c r="I1127">
        <v>6</v>
      </c>
      <c r="J1127">
        <v>5.59</v>
      </c>
      <c r="K1127">
        <v>6.12</v>
      </c>
      <c r="L1127">
        <v>1</v>
      </c>
      <c r="M1127" t="s">
        <v>20</v>
      </c>
      <c r="N1127" t="s">
        <v>26</v>
      </c>
      <c r="O1127">
        <v>18.940000000000001</v>
      </c>
      <c r="P1127" s="1">
        <v>45536</v>
      </c>
      <c r="Q1127" t="str">
        <f t="shared" si="17"/>
        <v>High Performance</v>
      </c>
      <c r="R1127" s="2">
        <f>Table1_1[[#This Row],[tasks_completed]]/Table1_1[[#This Row],[monthly_hours_worked]]</f>
        <v>3.4482758620689655E-2</v>
      </c>
    </row>
    <row r="1128" spans="1:18" x14ac:dyDescent="0.3">
      <c r="A1128" t="s">
        <v>138</v>
      </c>
      <c r="B1128" t="s">
        <v>27</v>
      </c>
      <c r="C1128" t="s">
        <v>18</v>
      </c>
      <c r="D1128" t="s">
        <v>29</v>
      </c>
      <c r="E1128">
        <v>6</v>
      </c>
      <c r="F1128">
        <v>157</v>
      </c>
      <c r="G1128">
        <v>89.6</v>
      </c>
      <c r="H1128">
        <v>6.3</v>
      </c>
      <c r="I1128">
        <v>7</v>
      </c>
      <c r="J1128">
        <v>8.1999999999999993</v>
      </c>
      <c r="K1128">
        <v>6.42</v>
      </c>
      <c r="L1128">
        <v>1</v>
      </c>
      <c r="M1128" t="s">
        <v>20</v>
      </c>
      <c r="N1128" t="s">
        <v>26</v>
      </c>
      <c r="O1128">
        <v>8.1300000000000008</v>
      </c>
      <c r="P1128" s="1">
        <v>45566</v>
      </c>
      <c r="Q1128" t="str">
        <f t="shared" si="17"/>
        <v>Low Performance</v>
      </c>
      <c r="R1128" s="2">
        <f>Table1_1[[#This Row],[tasks_completed]]/Table1_1[[#This Row],[monthly_hours_worked]]</f>
        <v>4.4585987261146494E-2</v>
      </c>
    </row>
    <row r="1129" spans="1:18" x14ac:dyDescent="0.3">
      <c r="A1129" t="s">
        <v>138</v>
      </c>
      <c r="B1129" t="s">
        <v>17</v>
      </c>
      <c r="C1129" t="s">
        <v>18</v>
      </c>
      <c r="D1129" t="s">
        <v>29</v>
      </c>
      <c r="E1129">
        <v>7</v>
      </c>
      <c r="F1129">
        <v>163.5</v>
      </c>
      <c r="G1129">
        <v>96.9</v>
      </c>
      <c r="H1129">
        <v>6.3</v>
      </c>
      <c r="I1129">
        <v>6</v>
      </c>
      <c r="J1129">
        <v>7.07</v>
      </c>
      <c r="K1129">
        <v>6.45</v>
      </c>
      <c r="L1129">
        <v>0</v>
      </c>
      <c r="M1129" t="s">
        <v>20</v>
      </c>
      <c r="N1129" t="s">
        <v>26</v>
      </c>
      <c r="O1129">
        <v>12.27</v>
      </c>
      <c r="P1129" s="1">
        <v>45597</v>
      </c>
      <c r="Q1129" t="str">
        <f t="shared" si="17"/>
        <v>Medium Performance</v>
      </c>
      <c r="R1129" s="2">
        <f>Table1_1[[#This Row],[tasks_completed]]/Table1_1[[#This Row],[monthly_hours_worked]]</f>
        <v>3.669724770642202E-2</v>
      </c>
    </row>
    <row r="1130" spans="1:18" x14ac:dyDescent="0.3">
      <c r="A1130" t="s">
        <v>139</v>
      </c>
      <c r="B1130" t="s">
        <v>43</v>
      </c>
      <c r="C1130" t="s">
        <v>18</v>
      </c>
      <c r="D1130" t="s">
        <v>29</v>
      </c>
      <c r="E1130">
        <v>10</v>
      </c>
      <c r="F1130">
        <v>127.5</v>
      </c>
      <c r="G1130">
        <v>100</v>
      </c>
      <c r="H1130">
        <v>5.4</v>
      </c>
      <c r="I1130">
        <v>6</v>
      </c>
      <c r="J1130">
        <v>6.11</v>
      </c>
      <c r="K1130">
        <v>7.67</v>
      </c>
      <c r="L1130">
        <v>1</v>
      </c>
      <c r="M1130" t="s">
        <v>20</v>
      </c>
      <c r="N1130" t="s">
        <v>21</v>
      </c>
      <c r="O1130">
        <v>16.86</v>
      </c>
      <c r="P1130" s="1">
        <v>45292</v>
      </c>
      <c r="Q1130" t="str">
        <f t="shared" si="17"/>
        <v>High Performance</v>
      </c>
      <c r="R1130" s="2">
        <f>Table1_1[[#This Row],[tasks_completed]]/Table1_1[[#This Row],[monthly_hours_worked]]</f>
        <v>4.7058823529411764E-2</v>
      </c>
    </row>
    <row r="1131" spans="1:18" x14ac:dyDescent="0.3">
      <c r="A1131" t="s">
        <v>139</v>
      </c>
      <c r="B1131" t="s">
        <v>33</v>
      </c>
      <c r="C1131" t="s">
        <v>18</v>
      </c>
      <c r="D1131" t="s">
        <v>19</v>
      </c>
      <c r="E1131">
        <v>8</v>
      </c>
      <c r="F1131">
        <v>160.6</v>
      </c>
      <c r="G1131">
        <v>100</v>
      </c>
      <c r="H1131">
        <v>5.7</v>
      </c>
      <c r="I1131">
        <v>4</v>
      </c>
      <c r="J1131">
        <v>8.93</v>
      </c>
      <c r="K1131">
        <v>9.83</v>
      </c>
      <c r="L1131">
        <v>1</v>
      </c>
      <c r="M1131" t="s">
        <v>25</v>
      </c>
      <c r="N1131" t="s">
        <v>26</v>
      </c>
      <c r="O1131">
        <v>18.850000000000001</v>
      </c>
      <c r="P1131" s="1">
        <v>45292</v>
      </c>
      <c r="Q1131" t="str">
        <f t="shared" si="17"/>
        <v>High Performance</v>
      </c>
      <c r="R1131" s="2">
        <f>Table1_1[[#This Row],[tasks_completed]]/Table1_1[[#This Row],[monthly_hours_worked]]</f>
        <v>2.4906600249066005E-2</v>
      </c>
    </row>
    <row r="1132" spans="1:18" x14ac:dyDescent="0.3">
      <c r="A1132" t="s">
        <v>139</v>
      </c>
      <c r="B1132" t="s">
        <v>43</v>
      </c>
      <c r="C1132" t="s">
        <v>31</v>
      </c>
      <c r="D1132" t="s">
        <v>19</v>
      </c>
      <c r="E1132">
        <v>2</v>
      </c>
      <c r="F1132">
        <v>169.5</v>
      </c>
      <c r="G1132">
        <v>88.1</v>
      </c>
      <c r="H1132">
        <v>4.9000000000000004</v>
      </c>
      <c r="I1132">
        <v>3</v>
      </c>
      <c r="J1132">
        <v>6.52</v>
      </c>
      <c r="K1132">
        <v>7.37</v>
      </c>
      <c r="L1132">
        <v>0</v>
      </c>
      <c r="M1132" t="s">
        <v>34</v>
      </c>
      <c r="N1132" t="s">
        <v>26</v>
      </c>
      <c r="O1132">
        <v>12.03</v>
      </c>
      <c r="P1132" s="1">
        <v>45352</v>
      </c>
      <c r="Q1132" t="str">
        <f t="shared" si="17"/>
        <v>Medium Performance</v>
      </c>
      <c r="R1132" s="2">
        <f>Table1_1[[#This Row],[tasks_completed]]/Table1_1[[#This Row],[monthly_hours_worked]]</f>
        <v>1.7699115044247787E-2</v>
      </c>
    </row>
    <row r="1133" spans="1:18" x14ac:dyDescent="0.3">
      <c r="A1133" t="s">
        <v>139</v>
      </c>
      <c r="B1133" t="s">
        <v>33</v>
      </c>
      <c r="C1133" t="s">
        <v>41</v>
      </c>
      <c r="D1133" t="s">
        <v>29</v>
      </c>
      <c r="E1133">
        <v>7</v>
      </c>
      <c r="F1133">
        <v>140.6</v>
      </c>
      <c r="G1133">
        <v>97.7</v>
      </c>
      <c r="H1133">
        <v>4.9000000000000004</v>
      </c>
      <c r="I1133">
        <v>6</v>
      </c>
      <c r="J1133">
        <v>7.4</v>
      </c>
      <c r="K1133">
        <v>1</v>
      </c>
      <c r="L1133">
        <v>0</v>
      </c>
      <c r="M1133" t="s">
        <v>25</v>
      </c>
      <c r="N1133" t="s">
        <v>26</v>
      </c>
      <c r="O1133">
        <v>12.43</v>
      </c>
      <c r="P1133" s="1">
        <v>45352</v>
      </c>
      <c r="Q1133" t="str">
        <f t="shared" si="17"/>
        <v>Medium Performance</v>
      </c>
      <c r="R1133" s="2">
        <f>Table1_1[[#This Row],[tasks_completed]]/Table1_1[[#This Row],[monthly_hours_worked]]</f>
        <v>4.2674253200568994E-2</v>
      </c>
    </row>
    <row r="1134" spans="1:18" x14ac:dyDescent="0.3">
      <c r="A1134" t="s">
        <v>139</v>
      </c>
      <c r="B1134" t="s">
        <v>43</v>
      </c>
      <c r="C1134" t="s">
        <v>31</v>
      </c>
      <c r="D1134" t="s">
        <v>29</v>
      </c>
      <c r="E1134">
        <v>7</v>
      </c>
      <c r="F1134">
        <v>160.5</v>
      </c>
      <c r="G1134">
        <v>98.8</v>
      </c>
      <c r="H1134">
        <v>2</v>
      </c>
      <c r="I1134">
        <v>9</v>
      </c>
      <c r="J1134">
        <v>9.98</v>
      </c>
      <c r="K1134">
        <v>6.57</v>
      </c>
      <c r="L1134">
        <v>2</v>
      </c>
      <c r="M1134" t="s">
        <v>25</v>
      </c>
      <c r="N1134" t="s">
        <v>26</v>
      </c>
      <c r="O1134">
        <v>13.27</v>
      </c>
      <c r="P1134" s="1">
        <v>45383</v>
      </c>
      <c r="Q1134" t="str">
        <f t="shared" si="17"/>
        <v>Medium Performance</v>
      </c>
      <c r="R1134" s="2">
        <f>Table1_1[[#This Row],[tasks_completed]]/Table1_1[[#This Row],[monthly_hours_worked]]</f>
        <v>5.6074766355140186E-2</v>
      </c>
    </row>
    <row r="1135" spans="1:18" x14ac:dyDescent="0.3">
      <c r="A1135" t="s">
        <v>139</v>
      </c>
      <c r="B1135" t="s">
        <v>27</v>
      </c>
      <c r="C1135" t="s">
        <v>37</v>
      </c>
      <c r="D1135" t="s">
        <v>29</v>
      </c>
      <c r="E1135">
        <v>10</v>
      </c>
      <c r="F1135">
        <v>157.5</v>
      </c>
      <c r="G1135">
        <v>97.6</v>
      </c>
      <c r="H1135">
        <v>6.8</v>
      </c>
      <c r="I1135">
        <v>11</v>
      </c>
      <c r="J1135">
        <v>8.99</v>
      </c>
      <c r="K1135">
        <v>7.1</v>
      </c>
      <c r="L1135">
        <v>0</v>
      </c>
      <c r="M1135" t="s">
        <v>25</v>
      </c>
      <c r="N1135" t="s">
        <v>26</v>
      </c>
      <c r="O1135">
        <v>7.32</v>
      </c>
      <c r="P1135" s="1">
        <v>45413</v>
      </c>
      <c r="Q1135" t="str">
        <f t="shared" si="17"/>
        <v>Low Performance</v>
      </c>
      <c r="R1135" s="2">
        <f>Table1_1[[#This Row],[tasks_completed]]/Table1_1[[#This Row],[monthly_hours_worked]]</f>
        <v>6.9841269841269843E-2</v>
      </c>
    </row>
    <row r="1136" spans="1:18" x14ac:dyDescent="0.3">
      <c r="A1136" t="s">
        <v>139</v>
      </c>
      <c r="B1136" t="s">
        <v>27</v>
      </c>
      <c r="C1136" t="s">
        <v>41</v>
      </c>
      <c r="D1136" t="s">
        <v>19</v>
      </c>
      <c r="E1136">
        <v>1</v>
      </c>
      <c r="F1136">
        <v>156</v>
      </c>
      <c r="G1136">
        <v>97.4</v>
      </c>
      <c r="H1136">
        <v>7</v>
      </c>
      <c r="I1136">
        <v>3</v>
      </c>
      <c r="J1136">
        <v>8.8800000000000008</v>
      </c>
      <c r="K1136">
        <v>4.7699999999999996</v>
      </c>
      <c r="L1136">
        <v>0</v>
      </c>
      <c r="M1136" t="s">
        <v>25</v>
      </c>
      <c r="N1136" t="s">
        <v>26</v>
      </c>
      <c r="O1136">
        <v>11.6</v>
      </c>
      <c r="P1136" s="1">
        <v>45444</v>
      </c>
      <c r="Q1136" t="str">
        <f t="shared" si="17"/>
        <v>Medium Performance</v>
      </c>
      <c r="R1136" s="2">
        <f>Table1_1[[#This Row],[tasks_completed]]/Table1_1[[#This Row],[monthly_hours_worked]]</f>
        <v>1.9230769230769232E-2</v>
      </c>
    </row>
    <row r="1137" spans="1:18" x14ac:dyDescent="0.3">
      <c r="A1137" t="s">
        <v>139</v>
      </c>
      <c r="B1137" t="s">
        <v>23</v>
      </c>
      <c r="C1137" t="s">
        <v>18</v>
      </c>
      <c r="D1137" t="s">
        <v>39</v>
      </c>
      <c r="E1137">
        <v>3</v>
      </c>
      <c r="F1137">
        <v>158.69999999999999</v>
      </c>
      <c r="G1137">
        <v>98</v>
      </c>
      <c r="H1137">
        <v>2.9</v>
      </c>
      <c r="I1137">
        <v>14</v>
      </c>
      <c r="J1137">
        <v>7.62</v>
      </c>
      <c r="K1137">
        <v>8.11</v>
      </c>
      <c r="L1137">
        <v>0</v>
      </c>
      <c r="M1137" t="s">
        <v>25</v>
      </c>
      <c r="N1137" t="s">
        <v>26</v>
      </c>
      <c r="O1137">
        <v>11.34</v>
      </c>
      <c r="P1137" s="1">
        <v>45474</v>
      </c>
      <c r="Q1137" t="str">
        <f t="shared" si="17"/>
        <v>Medium Performance</v>
      </c>
      <c r="R1137" s="2">
        <f>Table1_1[[#This Row],[tasks_completed]]/Table1_1[[#This Row],[monthly_hours_worked]]</f>
        <v>8.8216761184625084E-2</v>
      </c>
    </row>
    <row r="1138" spans="1:18" x14ac:dyDescent="0.3">
      <c r="A1138" t="s">
        <v>139</v>
      </c>
      <c r="B1138" t="s">
        <v>17</v>
      </c>
      <c r="C1138" t="s">
        <v>24</v>
      </c>
      <c r="D1138" t="s">
        <v>29</v>
      </c>
      <c r="E1138">
        <v>3</v>
      </c>
      <c r="F1138">
        <v>163.19999999999999</v>
      </c>
      <c r="G1138">
        <v>92.2</v>
      </c>
      <c r="H1138">
        <v>4.8</v>
      </c>
      <c r="I1138">
        <v>9</v>
      </c>
      <c r="J1138">
        <v>5.79</v>
      </c>
      <c r="K1138">
        <v>5.48</v>
      </c>
      <c r="L1138">
        <v>1</v>
      </c>
      <c r="M1138" t="s">
        <v>20</v>
      </c>
      <c r="N1138" t="s">
        <v>35</v>
      </c>
      <c r="O1138">
        <v>19.920000000000002</v>
      </c>
      <c r="P1138" s="1">
        <v>45505</v>
      </c>
      <c r="Q1138" t="str">
        <f t="shared" si="17"/>
        <v>High Performance</v>
      </c>
      <c r="R1138" s="2">
        <f>Table1_1[[#This Row],[tasks_completed]]/Table1_1[[#This Row],[monthly_hours_worked]]</f>
        <v>5.5147058823529417E-2</v>
      </c>
    </row>
    <row r="1139" spans="1:18" x14ac:dyDescent="0.3">
      <c r="A1139" t="s">
        <v>139</v>
      </c>
      <c r="B1139" t="s">
        <v>33</v>
      </c>
      <c r="C1139" t="s">
        <v>31</v>
      </c>
      <c r="D1139" t="s">
        <v>39</v>
      </c>
      <c r="E1139">
        <v>6</v>
      </c>
      <c r="F1139">
        <v>161.19999999999999</v>
      </c>
      <c r="G1139">
        <v>100</v>
      </c>
      <c r="H1139">
        <v>7.3</v>
      </c>
      <c r="I1139">
        <v>4</v>
      </c>
      <c r="J1139">
        <v>6.44</v>
      </c>
      <c r="K1139">
        <v>6.68</v>
      </c>
      <c r="L1139">
        <v>1</v>
      </c>
      <c r="M1139" t="s">
        <v>34</v>
      </c>
      <c r="N1139" t="s">
        <v>21</v>
      </c>
      <c r="O1139">
        <v>11.2</v>
      </c>
      <c r="P1139" s="1">
        <v>45536</v>
      </c>
      <c r="Q1139" t="str">
        <f t="shared" si="17"/>
        <v>Medium Performance</v>
      </c>
      <c r="R1139" s="2">
        <f>Table1_1[[#This Row],[tasks_completed]]/Table1_1[[#This Row],[monthly_hours_worked]]</f>
        <v>2.4813895781637719E-2</v>
      </c>
    </row>
    <row r="1140" spans="1:18" x14ac:dyDescent="0.3">
      <c r="A1140" t="s">
        <v>139</v>
      </c>
      <c r="B1140" t="s">
        <v>27</v>
      </c>
      <c r="C1140" t="s">
        <v>18</v>
      </c>
      <c r="D1140" t="s">
        <v>19</v>
      </c>
      <c r="E1140">
        <v>1</v>
      </c>
      <c r="F1140">
        <v>163</v>
      </c>
      <c r="G1140">
        <v>100</v>
      </c>
      <c r="H1140">
        <v>4.7</v>
      </c>
      <c r="I1140">
        <v>11</v>
      </c>
      <c r="J1140">
        <v>7.22</v>
      </c>
      <c r="K1140">
        <v>9.39</v>
      </c>
      <c r="L1140">
        <v>2</v>
      </c>
      <c r="M1140" t="s">
        <v>34</v>
      </c>
      <c r="N1140" t="s">
        <v>21</v>
      </c>
      <c r="O1140">
        <v>8.94</v>
      </c>
      <c r="P1140" s="1">
        <v>45566</v>
      </c>
      <c r="Q1140" t="str">
        <f t="shared" si="17"/>
        <v>Low Performance</v>
      </c>
      <c r="R1140" s="2">
        <f>Table1_1[[#This Row],[tasks_completed]]/Table1_1[[#This Row],[monthly_hours_worked]]</f>
        <v>6.7484662576687116E-2</v>
      </c>
    </row>
    <row r="1141" spans="1:18" x14ac:dyDescent="0.3">
      <c r="A1141" t="s">
        <v>139</v>
      </c>
      <c r="B1141" t="s">
        <v>17</v>
      </c>
      <c r="C1141" t="s">
        <v>41</v>
      </c>
      <c r="D1141" t="s">
        <v>39</v>
      </c>
      <c r="E1141">
        <v>5</v>
      </c>
      <c r="F1141">
        <v>168.5</v>
      </c>
      <c r="G1141">
        <v>95.6</v>
      </c>
      <c r="H1141">
        <v>8.8000000000000007</v>
      </c>
      <c r="I1141">
        <v>4</v>
      </c>
      <c r="J1141">
        <v>6.7</v>
      </c>
      <c r="K1141">
        <v>10</v>
      </c>
      <c r="L1141">
        <v>0</v>
      </c>
      <c r="M1141" t="s">
        <v>34</v>
      </c>
      <c r="N1141" t="s">
        <v>26</v>
      </c>
      <c r="O1141">
        <v>14.65</v>
      </c>
      <c r="P1141" s="1">
        <v>45597</v>
      </c>
      <c r="Q1141" t="str">
        <f t="shared" si="17"/>
        <v>Medium Performance</v>
      </c>
      <c r="R1141" s="2">
        <f>Table1_1[[#This Row],[tasks_completed]]/Table1_1[[#This Row],[monthly_hours_worked]]</f>
        <v>2.3738872403560832E-2</v>
      </c>
    </row>
    <row r="1142" spans="1:18" x14ac:dyDescent="0.3">
      <c r="A1142" t="s">
        <v>140</v>
      </c>
      <c r="B1142" t="s">
        <v>27</v>
      </c>
      <c r="C1142" t="s">
        <v>37</v>
      </c>
      <c r="D1142" t="s">
        <v>39</v>
      </c>
      <c r="E1142">
        <v>9</v>
      </c>
      <c r="F1142">
        <v>155.9</v>
      </c>
      <c r="G1142">
        <v>87.4</v>
      </c>
      <c r="H1142">
        <v>6.5</v>
      </c>
      <c r="I1142">
        <v>11</v>
      </c>
      <c r="J1142">
        <v>7</v>
      </c>
      <c r="K1142">
        <v>8.2899999999999991</v>
      </c>
      <c r="L1142">
        <v>1</v>
      </c>
      <c r="M1142" t="s">
        <v>20</v>
      </c>
      <c r="N1142" t="s">
        <v>21</v>
      </c>
      <c r="O1142">
        <v>17.28</v>
      </c>
      <c r="P1142" s="1">
        <v>45292</v>
      </c>
      <c r="Q1142" t="str">
        <f t="shared" si="17"/>
        <v>High Performance</v>
      </c>
      <c r="R1142" s="2">
        <f>Table1_1[[#This Row],[tasks_completed]]/Table1_1[[#This Row],[monthly_hours_worked]]</f>
        <v>7.0558050032071842E-2</v>
      </c>
    </row>
    <row r="1143" spans="1:18" x14ac:dyDescent="0.3">
      <c r="A1143" t="s">
        <v>140</v>
      </c>
      <c r="B1143" t="s">
        <v>27</v>
      </c>
      <c r="C1143" t="s">
        <v>24</v>
      </c>
      <c r="D1143" t="s">
        <v>39</v>
      </c>
      <c r="E1143">
        <v>7</v>
      </c>
      <c r="F1143">
        <v>155.4</v>
      </c>
      <c r="G1143">
        <v>90.3</v>
      </c>
      <c r="H1143">
        <v>7.6</v>
      </c>
      <c r="I1143">
        <v>5</v>
      </c>
      <c r="J1143">
        <v>7.17</v>
      </c>
      <c r="K1143">
        <v>5.27</v>
      </c>
      <c r="L1143">
        <v>0</v>
      </c>
      <c r="M1143" t="s">
        <v>20</v>
      </c>
      <c r="N1143" t="s">
        <v>26</v>
      </c>
      <c r="O1143">
        <v>13.45</v>
      </c>
      <c r="P1143" s="1">
        <v>45292</v>
      </c>
      <c r="Q1143" t="str">
        <f t="shared" si="17"/>
        <v>Medium Performance</v>
      </c>
      <c r="R1143" s="2">
        <f>Table1_1[[#This Row],[tasks_completed]]/Table1_1[[#This Row],[monthly_hours_worked]]</f>
        <v>3.2175032175032175E-2</v>
      </c>
    </row>
    <row r="1144" spans="1:18" x14ac:dyDescent="0.3">
      <c r="A1144" t="s">
        <v>140</v>
      </c>
      <c r="B1144" t="s">
        <v>17</v>
      </c>
      <c r="C1144" t="s">
        <v>37</v>
      </c>
      <c r="D1144" t="s">
        <v>29</v>
      </c>
      <c r="E1144">
        <v>2</v>
      </c>
      <c r="F1144">
        <v>166.7</v>
      </c>
      <c r="G1144">
        <v>96.7</v>
      </c>
      <c r="H1144">
        <v>7.6</v>
      </c>
      <c r="I1144">
        <v>6</v>
      </c>
      <c r="J1144">
        <v>7.57</v>
      </c>
      <c r="K1144">
        <v>7.89</v>
      </c>
      <c r="L1144">
        <v>1</v>
      </c>
      <c r="M1144" t="s">
        <v>20</v>
      </c>
      <c r="N1144" t="s">
        <v>26</v>
      </c>
      <c r="O1144">
        <v>19.899999999999999</v>
      </c>
      <c r="P1144" s="1">
        <v>45352</v>
      </c>
      <c r="Q1144" t="str">
        <f t="shared" si="17"/>
        <v>High Performance</v>
      </c>
      <c r="R1144" s="2">
        <f>Table1_1[[#This Row],[tasks_completed]]/Table1_1[[#This Row],[monthly_hours_worked]]</f>
        <v>3.5992801439712063E-2</v>
      </c>
    </row>
    <row r="1145" spans="1:18" x14ac:dyDescent="0.3">
      <c r="A1145" t="s">
        <v>140</v>
      </c>
      <c r="B1145" t="s">
        <v>17</v>
      </c>
      <c r="C1145" t="s">
        <v>41</v>
      </c>
      <c r="D1145" t="s">
        <v>29</v>
      </c>
      <c r="E1145">
        <v>7</v>
      </c>
      <c r="F1145">
        <v>142.30000000000001</v>
      </c>
      <c r="G1145">
        <v>86.3</v>
      </c>
      <c r="H1145">
        <v>4</v>
      </c>
      <c r="I1145">
        <v>7</v>
      </c>
      <c r="J1145">
        <v>6.46</v>
      </c>
      <c r="K1145">
        <v>4.24</v>
      </c>
      <c r="L1145">
        <v>0</v>
      </c>
      <c r="M1145" t="s">
        <v>34</v>
      </c>
      <c r="N1145" t="s">
        <v>35</v>
      </c>
      <c r="O1145">
        <v>8.59</v>
      </c>
      <c r="P1145" s="1">
        <v>45352</v>
      </c>
      <c r="Q1145" t="str">
        <f t="shared" si="17"/>
        <v>Low Performance</v>
      </c>
      <c r="R1145" s="2">
        <f>Table1_1[[#This Row],[tasks_completed]]/Table1_1[[#This Row],[monthly_hours_worked]]</f>
        <v>4.9191848208011237E-2</v>
      </c>
    </row>
    <row r="1146" spans="1:18" x14ac:dyDescent="0.3">
      <c r="A1146" t="s">
        <v>140</v>
      </c>
      <c r="B1146" t="s">
        <v>33</v>
      </c>
      <c r="C1146" t="s">
        <v>18</v>
      </c>
      <c r="D1146" t="s">
        <v>19</v>
      </c>
      <c r="E1146">
        <v>9</v>
      </c>
      <c r="F1146">
        <v>160.9</v>
      </c>
      <c r="G1146">
        <v>99.9</v>
      </c>
      <c r="H1146">
        <v>6.2</v>
      </c>
      <c r="I1146">
        <v>5</v>
      </c>
      <c r="J1146">
        <v>6.96</v>
      </c>
      <c r="K1146">
        <v>7.33</v>
      </c>
      <c r="L1146">
        <v>1</v>
      </c>
      <c r="M1146" t="s">
        <v>20</v>
      </c>
      <c r="N1146" t="s">
        <v>26</v>
      </c>
      <c r="O1146">
        <v>19.190000000000001</v>
      </c>
      <c r="P1146" s="1">
        <v>45383</v>
      </c>
      <c r="Q1146" t="str">
        <f t="shared" si="17"/>
        <v>High Performance</v>
      </c>
      <c r="R1146" s="2">
        <f>Table1_1[[#This Row],[tasks_completed]]/Table1_1[[#This Row],[monthly_hours_worked]]</f>
        <v>3.1075201988812928E-2</v>
      </c>
    </row>
    <row r="1147" spans="1:18" x14ac:dyDescent="0.3">
      <c r="A1147" t="s">
        <v>140</v>
      </c>
      <c r="B1147" t="s">
        <v>27</v>
      </c>
      <c r="C1147" t="s">
        <v>37</v>
      </c>
      <c r="D1147" t="s">
        <v>19</v>
      </c>
      <c r="E1147">
        <v>2</v>
      </c>
      <c r="F1147">
        <v>163.5</v>
      </c>
      <c r="G1147">
        <v>100</v>
      </c>
      <c r="H1147">
        <v>6.9</v>
      </c>
      <c r="I1147">
        <v>5</v>
      </c>
      <c r="J1147">
        <v>6.12</v>
      </c>
      <c r="K1147">
        <v>5.98</v>
      </c>
      <c r="L1147">
        <v>0</v>
      </c>
      <c r="M1147" t="s">
        <v>20</v>
      </c>
      <c r="N1147" t="s">
        <v>35</v>
      </c>
      <c r="O1147">
        <v>13.81</v>
      </c>
      <c r="P1147" s="1">
        <v>45413</v>
      </c>
      <c r="Q1147" t="str">
        <f t="shared" si="17"/>
        <v>Medium Performance</v>
      </c>
      <c r="R1147" s="2">
        <f>Table1_1[[#This Row],[tasks_completed]]/Table1_1[[#This Row],[monthly_hours_worked]]</f>
        <v>3.0581039755351681E-2</v>
      </c>
    </row>
    <row r="1148" spans="1:18" x14ac:dyDescent="0.3">
      <c r="A1148" t="s">
        <v>140</v>
      </c>
      <c r="B1148" t="s">
        <v>27</v>
      </c>
      <c r="C1148" t="s">
        <v>31</v>
      </c>
      <c r="D1148" t="s">
        <v>29</v>
      </c>
      <c r="E1148">
        <v>2</v>
      </c>
      <c r="F1148">
        <v>164.5</v>
      </c>
      <c r="G1148">
        <v>91.8</v>
      </c>
      <c r="H1148">
        <v>3.9</v>
      </c>
      <c r="I1148">
        <v>3</v>
      </c>
      <c r="J1148">
        <v>6.48</v>
      </c>
      <c r="K1148">
        <v>9.6300000000000008</v>
      </c>
      <c r="L1148">
        <v>0</v>
      </c>
      <c r="M1148" t="s">
        <v>20</v>
      </c>
      <c r="N1148" t="s">
        <v>35</v>
      </c>
      <c r="O1148">
        <v>7.62</v>
      </c>
      <c r="P1148" s="1">
        <v>45444</v>
      </c>
      <c r="Q1148" t="str">
        <f t="shared" si="17"/>
        <v>Low Performance</v>
      </c>
      <c r="R1148" s="2">
        <f>Table1_1[[#This Row],[tasks_completed]]/Table1_1[[#This Row],[monthly_hours_worked]]</f>
        <v>1.82370820668693E-2</v>
      </c>
    </row>
    <row r="1149" spans="1:18" x14ac:dyDescent="0.3">
      <c r="A1149" t="s">
        <v>140</v>
      </c>
      <c r="B1149" t="s">
        <v>43</v>
      </c>
      <c r="C1149" t="s">
        <v>41</v>
      </c>
      <c r="D1149" t="s">
        <v>29</v>
      </c>
      <c r="E1149">
        <v>4</v>
      </c>
      <c r="F1149">
        <v>151.19999999999999</v>
      </c>
      <c r="G1149">
        <v>92.5</v>
      </c>
      <c r="H1149">
        <v>8.1999999999999993</v>
      </c>
      <c r="I1149">
        <v>7</v>
      </c>
      <c r="J1149">
        <v>9.1</v>
      </c>
      <c r="K1149">
        <v>6.14</v>
      </c>
      <c r="L1149">
        <v>0</v>
      </c>
      <c r="M1149" t="s">
        <v>20</v>
      </c>
      <c r="N1149" t="s">
        <v>21</v>
      </c>
      <c r="O1149">
        <v>12.63</v>
      </c>
      <c r="P1149" s="1">
        <v>45474</v>
      </c>
      <c r="Q1149" t="str">
        <f t="shared" si="17"/>
        <v>Medium Performance</v>
      </c>
      <c r="R1149" s="2">
        <f>Table1_1[[#This Row],[tasks_completed]]/Table1_1[[#This Row],[monthly_hours_worked]]</f>
        <v>4.6296296296296301E-2</v>
      </c>
    </row>
    <row r="1150" spans="1:18" x14ac:dyDescent="0.3">
      <c r="A1150" t="s">
        <v>140</v>
      </c>
      <c r="B1150" t="s">
        <v>33</v>
      </c>
      <c r="C1150" t="s">
        <v>18</v>
      </c>
      <c r="D1150" t="s">
        <v>39</v>
      </c>
      <c r="E1150">
        <v>6</v>
      </c>
      <c r="F1150">
        <v>156.4</v>
      </c>
      <c r="G1150">
        <v>85.5</v>
      </c>
      <c r="H1150">
        <v>11.3</v>
      </c>
      <c r="I1150">
        <v>6</v>
      </c>
      <c r="J1150">
        <v>7.28</v>
      </c>
      <c r="K1150">
        <v>8.65</v>
      </c>
      <c r="L1150">
        <v>0</v>
      </c>
      <c r="M1150" t="s">
        <v>34</v>
      </c>
      <c r="N1150" t="s">
        <v>21</v>
      </c>
      <c r="O1150">
        <v>13.48</v>
      </c>
      <c r="P1150" s="1">
        <v>45505</v>
      </c>
      <c r="Q1150" t="str">
        <f t="shared" si="17"/>
        <v>Medium Performance</v>
      </c>
      <c r="R1150" s="2">
        <f>Table1_1[[#This Row],[tasks_completed]]/Table1_1[[#This Row],[monthly_hours_worked]]</f>
        <v>3.8363171355498722E-2</v>
      </c>
    </row>
    <row r="1151" spans="1:18" x14ac:dyDescent="0.3">
      <c r="A1151" t="s">
        <v>140</v>
      </c>
      <c r="B1151" t="s">
        <v>23</v>
      </c>
      <c r="C1151" t="s">
        <v>37</v>
      </c>
      <c r="D1151" t="s">
        <v>39</v>
      </c>
      <c r="E1151">
        <v>9</v>
      </c>
      <c r="F1151">
        <v>165.9</v>
      </c>
      <c r="G1151">
        <v>92.3</v>
      </c>
      <c r="H1151">
        <v>4.2</v>
      </c>
      <c r="I1151">
        <v>6</v>
      </c>
      <c r="J1151">
        <v>5.18</v>
      </c>
      <c r="K1151">
        <v>5.33</v>
      </c>
      <c r="L1151">
        <v>0</v>
      </c>
      <c r="M1151" t="s">
        <v>20</v>
      </c>
      <c r="N1151" t="s">
        <v>26</v>
      </c>
      <c r="O1151">
        <v>12.23</v>
      </c>
      <c r="P1151" s="1">
        <v>45536</v>
      </c>
      <c r="Q1151" t="str">
        <f t="shared" si="17"/>
        <v>Medium Performance</v>
      </c>
      <c r="R1151" s="2">
        <f>Table1_1[[#This Row],[tasks_completed]]/Table1_1[[#This Row],[monthly_hours_worked]]</f>
        <v>3.6166365280289332E-2</v>
      </c>
    </row>
    <row r="1152" spans="1:18" x14ac:dyDescent="0.3">
      <c r="A1152" t="s">
        <v>140</v>
      </c>
      <c r="B1152" t="s">
        <v>27</v>
      </c>
      <c r="C1152" t="s">
        <v>18</v>
      </c>
      <c r="D1152" t="s">
        <v>19</v>
      </c>
      <c r="E1152">
        <v>10</v>
      </c>
      <c r="F1152">
        <v>162</v>
      </c>
      <c r="G1152">
        <v>92.7</v>
      </c>
      <c r="H1152">
        <v>7.6</v>
      </c>
      <c r="I1152">
        <v>5</v>
      </c>
      <c r="J1152">
        <v>6.31</v>
      </c>
      <c r="K1152">
        <v>5.09</v>
      </c>
      <c r="L1152">
        <v>1</v>
      </c>
      <c r="M1152" t="s">
        <v>20</v>
      </c>
      <c r="N1152" t="s">
        <v>21</v>
      </c>
      <c r="O1152">
        <v>16.79</v>
      </c>
      <c r="P1152" s="1">
        <v>45566</v>
      </c>
      <c r="Q1152" t="str">
        <f t="shared" si="17"/>
        <v>High Performance</v>
      </c>
      <c r="R1152" s="2">
        <f>Table1_1[[#This Row],[tasks_completed]]/Table1_1[[#This Row],[monthly_hours_worked]]</f>
        <v>3.0864197530864196E-2</v>
      </c>
    </row>
    <row r="1153" spans="1:18" x14ac:dyDescent="0.3">
      <c r="A1153" t="s">
        <v>140</v>
      </c>
      <c r="B1153" t="s">
        <v>33</v>
      </c>
      <c r="C1153" t="s">
        <v>18</v>
      </c>
      <c r="D1153" t="s">
        <v>39</v>
      </c>
      <c r="E1153">
        <v>6</v>
      </c>
      <c r="F1153">
        <v>165.9</v>
      </c>
      <c r="G1153">
        <v>97.3</v>
      </c>
      <c r="H1153">
        <v>4.8</v>
      </c>
      <c r="I1153">
        <v>0</v>
      </c>
      <c r="J1153">
        <v>6</v>
      </c>
      <c r="K1153">
        <v>8.6199999999999992</v>
      </c>
      <c r="L1153">
        <v>0</v>
      </c>
      <c r="M1153" t="s">
        <v>34</v>
      </c>
      <c r="N1153" t="s">
        <v>26</v>
      </c>
      <c r="O1153">
        <v>12.76</v>
      </c>
      <c r="P1153" s="1">
        <v>45597</v>
      </c>
      <c r="Q1153" t="str">
        <f t="shared" si="17"/>
        <v>Medium Performance</v>
      </c>
      <c r="R1153" s="2">
        <f>Table1_1[[#This Row],[tasks_completed]]/Table1_1[[#This Row],[monthly_hours_worked]]</f>
        <v>0</v>
      </c>
    </row>
    <row r="1154" spans="1:18" x14ac:dyDescent="0.3">
      <c r="A1154" t="s">
        <v>141</v>
      </c>
      <c r="B1154" t="s">
        <v>33</v>
      </c>
      <c r="C1154" t="s">
        <v>18</v>
      </c>
      <c r="D1154" t="s">
        <v>19</v>
      </c>
      <c r="E1154">
        <v>7</v>
      </c>
      <c r="F1154">
        <v>166.1</v>
      </c>
      <c r="G1154">
        <v>100</v>
      </c>
      <c r="H1154">
        <v>6</v>
      </c>
      <c r="I1154">
        <v>8</v>
      </c>
      <c r="J1154">
        <v>7.5</v>
      </c>
      <c r="K1154">
        <v>5.08</v>
      </c>
      <c r="L1154">
        <v>1</v>
      </c>
      <c r="M1154" t="s">
        <v>25</v>
      </c>
      <c r="N1154" t="s">
        <v>35</v>
      </c>
      <c r="O1154">
        <v>16.260000000000002</v>
      </c>
      <c r="P1154" s="1">
        <v>45292</v>
      </c>
      <c r="Q1154" t="str">
        <f t="shared" ref="Q1154:Q1201" si="18">IF(O1154&gt;=15, "High Performance", IF(O1154&gt;=10, "Medium Performance", "Low Performance"))</f>
        <v>High Performance</v>
      </c>
      <c r="R1154" s="2">
        <f>Table1_1[[#This Row],[tasks_completed]]/Table1_1[[#This Row],[monthly_hours_worked]]</f>
        <v>4.8163756773028296E-2</v>
      </c>
    </row>
    <row r="1155" spans="1:18" x14ac:dyDescent="0.3">
      <c r="A1155" t="s">
        <v>141</v>
      </c>
      <c r="B1155" t="s">
        <v>33</v>
      </c>
      <c r="C1155" t="s">
        <v>37</v>
      </c>
      <c r="D1155" t="s">
        <v>29</v>
      </c>
      <c r="E1155">
        <v>8</v>
      </c>
      <c r="F1155">
        <v>149.30000000000001</v>
      </c>
      <c r="G1155">
        <v>91.4</v>
      </c>
      <c r="H1155">
        <v>4.3</v>
      </c>
      <c r="I1155">
        <v>7</v>
      </c>
      <c r="J1155">
        <v>7.4</v>
      </c>
      <c r="K1155">
        <v>7.66</v>
      </c>
      <c r="L1155">
        <v>0</v>
      </c>
      <c r="M1155" t="s">
        <v>34</v>
      </c>
      <c r="N1155" t="s">
        <v>35</v>
      </c>
      <c r="O1155">
        <v>12.66</v>
      </c>
      <c r="P1155" s="1">
        <v>45292</v>
      </c>
      <c r="Q1155" t="str">
        <f t="shared" si="18"/>
        <v>Medium Performance</v>
      </c>
      <c r="R1155" s="2">
        <f>Table1_1[[#This Row],[tasks_completed]]/Table1_1[[#This Row],[monthly_hours_worked]]</f>
        <v>4.6885465505693232E-2</v>
      </c>
    </row>
    <row r="1156" spans="1:18" x14ac:dyDescent="0.3">
      <c r="A1156" t="s">
        <v>141</v>
      </c>
      <c r="B1156" t="s">
        <v>23</v>
      </c>
      <c r="C1156" t="s">
        <v>24</v>
      </c>
      <c r="D1156" t="s">
        <v>39</v>
      </c>
      <c r="E1156">
        <v>6</v>
      </c>
      <c r="F1156">
        <v>158.6</v>
      </c>
      <c r="G1156">
        <v>95.6</v>
      </c>
      <c r="H1156">
        <v>8</v>
      </c>
      <c r="I1156">
        <v>5</v>
      </c>
      <c r="J1156">
        <v>5.76</v>
      </c>
      <c r="K1156">
        <v>9.3699999999999992</v>
      </c>
      <c r="L1156">
        <v>0</v>
      </c>
      <c r="M1156" t="s">
        <v>34</v>
      </c>
      <c r="N1156" t="s">
        <v>21</v>
      </c>
      <c r="O1156">
        <v>14.39</v>
      </c>
      <c r="P1156" s="1">
        <v>45352</v>
      </c>
      <c r="Q1156" t="str">
        <f t="shared" si="18"/>
        <v>Medium Performance</v>
      </c>
      <c r="R1156" s="2">
        <f>Table1_1[[#This Row],[tasks_completed]]/Table1_1[[#This Row],[monthly_hours_worked]]</f>
        <v>3.1525851197982346E-2</v>
      </c>
    </row>
    <row r="1157" spans="1:18" x14ac:dyDescent="0.3">
      <c r="A1157" t="s">
        <v>141</v>
      </c>
      <c r="B1157" t="s">
        <v>23</v>
      </c>
      <c r="C1157" t="s">
        <v>24</v>
      </c>
      <c r="D1157" t="s">
        <v>39</v>
      </c>
      <c r="E1157">
        <v>5</v>
      </c>
      <c r="F1157">
        <v>172.4</v>
      </c>
      <c r="G1157">
        <v>92.7</v>
      </c>
      <c r="H1157">
        <v>2.5</v>
      </c>
      <c r="I1157">
        <v>3</v>
      </c>
      <c r="J1157">
        <v>6.77</v>
      </c>
      <c r="K1157">
        <v>8.85</v>
      </c>
      <c r="L1157">
        <v>0</v>
      </c>
      <c r="M1157" t="s">
        <v>25</v>
      </c>
      <c r="N1157" t="s">
        <v>21</v>
      </c>
      <c r="O1157">
        <v>18.45</v>
      </c>
      <c r="P1157" s="1">
        <v>45352</v>
      </c>
      <c r="Q1157" t="str">
        <f t="shared" si="18"/>
        <v>High Performance</v>
      </c>
      <c r="R1157" s="2">
        <f>Table1_1[[#This Row],[tasks_completed]]/Table1_1[[#This Row],[monthly_hours_worked]]</f>
        <v>1.7401392111368909E-2</v>
      </c>
    </row>
    <row r="1158" spans="1:18" x14ac:dyDescent="0.3">
      <c r="A1158" t="s">
        <v>141</v>
      </c>
      <c r="B1158" t="s">
        <v>23</v>
      </c>
      <c r="C1158" t="s">
        <v>24</v>
      </c>
      <c r="D1158" t="s">
        <v>19</v>
      </c>
      <c r="E1158">
        <v>5</v>
      </c>
      <c r="F1158">
        <v>164.4</v>
      </c>
      <c r="G1158">
        <v>89.5</v>
      </c>
      <c r="H1158">
        <v>2.2999999999999998</v>
      </c>
      <c r="I1158">
        <v>5</v>
      </c>
      <c r="J1158">
        <v>8.83</v>
      </c>
      <c r="K1158">
        <v>7.72</v>
      </c>
      <c r="L1158">
        <v>0</v>
      </c>
      <c r="M1158" t="s">
        <v>20</v>
      </c>
      <c r="N1158" t="s">
        <v>21</v>
      </c>
      <c r="O1158">
        <v>13.93</v>
      </c>
      <c r="P1158" s="1">
        <v>45383</v>
      </c>
      <c r="Q1158" t="str">
        <f t="shared" si="18"/>
        <v>Medium Performance</v>
      </c>
      <c r="R1158" s="2">
        <f>Table1_1[[#This Row],[tasks_completed]]/Table1_1[[#This Row],[monthly_hours_worked]]</f>
        <v>3.0413625304136251E-2</v>
      </c>
    </row>
    <row r="1159" spans="1:18" x14ac:dyDescent="0.3">
      <c r="A1159" t="s">
        <v>141</v>
      </c>
      <c r="B1159" t="s">
        <v>17</v>
      </c>
      <c r="C1159" t="s">
        <v>18</v>
      </c>
      <c r="D1159" t="s">
        <v>29</v>
      </c>
      <c r="E1159">
        <v>8</v>
      </c>
      <c r="F1159">
        <v>173.1</v>
      </c>
      <c r="G1159">
        <v>89.3</v>
      </c>
      <c r="H1159">
        <v>6</v>
      </c>
      <c r="I1159">
        <v>1</v>
      </c>
      <c r="J1159">
        <v>5.63</v>
      </c>
      <c r="K1159">
        <v>7.19</v>
      </c>
      <c r="L1159">
        <v>1</v>
      </c>
      <c r="M1159" t="s">
        <v>34</v>
      </c>
      <c r="N1159" t="s">
        <v>26</v>
      </c>
      <c r="O1159">
        <v>15.75</v>
      </c>
      <c r="P1159" s="1">
        <v>45413</v>
      </c>
      <c r="Q1159" t="str">
        <f t="shared" si="18"/>
        <v>High Performance</v>
      </c>
      <c r="R1159" s="2">
        <f>Table1_1[[#This Row],[tasks_completed]]/Table1_1[[#This Row],[monthly_hours_worked]]</f>
        <v>5.7770075101097633E-3</v>
      </c>
    </row>
    <row r="1160" spans="1:18" x14ac:dyDescent="0.3">
      <c r="A1160" t="s">
        <v>141</v>
      </c>
      <c r="B1160" t="s">
        <v>43</v>
      </c>
      <c r="C1160" t="s">
        <v>41</v>
      </c>
      <c r="D1160" t="s">
        <v>29</v>
      </c>
      <c r="E1160">
        <v>6</v>
      </c>
      <c r="F1160">
        <v>156</v>
      </c>
      <c r="G1160">
        <v>100</v>
      </c>
      <c r="H1160">
        <v>2.5</v>
      </c>
      <c r="I1160">
        <v>10</v>
      </c>
      <c r="J1160">
        <v>6.57</v>
      </c>
      <c r="K1160">
        <v>5.24</v>
      </c>
      <c r="L1160">
        <v>1</v>
      </c>
      <c r="M1160" t="s">
        <v>34</v>
      </c>
      <c r="N1160" t="s">
        <v>21</v>
      </c>
      <c r="O1160">
        <v>18.97</v>
      </c>
      <c r="P1160" s="1">
        <v>45444</v>
      </c>
      <c r="Q1160" t="str">
        <f t="shared" si="18"/>
        <v>High Performance</v>
      </c>
      <c r="R1160" s="2">
        <f>Table1_1[[#This Row],[tasks_completed]]/Table1_1[[#This Row],[monthly_hours_worked]]</f>
        <v>6.4102564102564097E-2</v>
      </c>
    </row>
    <row r="1161" spans="1:18" x14ac:dyDescent="0.3">
      <c r="A1161" t="s">
        <v>141</v>
      </c>
      <c r="B1161" t="s">
        <v>43</v>
      </c>
      <c r="C1161" t="s">
        <v>37</v>
      </c>
      <c r="D1161" t="s">
        <v>19</v>
      </c>
      <c r="E1161">
        <v>2</v>
      </c>
      <c r="F1161">
        <v>160.80000000000001</v>
      </c>
      <c r="G1161">
        <v>92.4</v>
      </c>
      <c r="H1161">
        <v>3.2</v>
      </c>
      <c r="I1161">
        <v>2</v>
      </c>
      <c r="J1161">
        <v>8.7799999999999994</v>
      </c>
      <c r="K1161">
        <v>7.14</v>
      </c>
      <c r="L1161">
        <v>0</v>
      </c>
      <c r="M1161" t="s">
        <v>20</v>
      </c>
      <c r="N1161" t="s">
        <v>35</v>
      </c>
      <c r="O1161">
        <v>23.21</v>
      </c>
      <c r="P1161" s="1">
        <v>45474</v>
      </c>
      <c r="Q1161" t="str">
        <f t="shared" si="18"/>
        <v>High Performance</v>
      </c>
      <c r="R1161" s="2">
        <f>Table1_1[[#This Row],[tasks_completed]]/Table1_1[[#This Row],[monthly_hours_worked]]</f>
        <v>1.2437810945273631E-2</v>
      </c>
    </row>
    <row r="1162" spans="1:18" x14ac:dyDescent="0.3">
      <c r="A1162" t="s">
        <v>141</v>
      </c>
      <c r="B1162" t="s">
        <v>27</v>
      </c>
      <c r="C1162" t="s">
        <v>37</v>
      </c>
      <c r="D1162" t="s">
        <v>39</v>
      </c>
      <c r="E1162">
        <v>4</v>
      </c>
      <c r="F1162">
        <v>162.1</v>
      </c>
      <c r="G1162">
        <v>100</v>
      </c>
      <c r="H1162">
        <v>6.8</v>
      </c>
      <c r="I1162">
        <v>8</v>
      </c>
      <c r="J1162">
        <v>5.61</v>
      </c>
      <c r="K1162">
        <v>8.8000000000000007</v>
      </c>
      <c r="L1162">
        <v>0</v>
      </c>
      <c r="M1162" t="s">
        <v>25</v>
      </c>
      <c r="N1162" t="s">
        <v>26</v>
      </c>
      <c r="O1162">
        <v>21.06</v>
      </c>
      <c r="P1162" s="1">
        <v>45505</v>
      </c>
      <c r="Q1162" t="str">
        <f t="shared" si="18"/>
        <v>High Performance</v>
      </c>
      <c r="R1162" s="2">
        <f>Table1_1[[#This Row],[tasks_completed]]/Table1_1[[#This Row],[monthly_hours_worked]]</f>
        <v>4.9352251696483655E-2</v>
      </c>
    </row>
    <row r="1163" spans="1:18" x14ac:dyDescent="0.3">
      <c r="A1163" t="s">
        <v>141</v>
      </c>
      <c r="B1163" t="s">
        <v>33</v>
      </c>
      <c r="C1163" t="s">
        <v>31</v>
      </c>
      <c r="D1163" t="s">
        <v>29</v>
      </c>
      <c r="E1163">
        <v>3</v>
      </c>
      <c r="F1163">
        <v>165.6</v>
      </c>
      <c r="G1163">
        <v>92.6</v>
      </c>
      <c r="I1163">
        <v>4</v>
      </c>
      <c r="J1163">
        <v>8.48</v>
      </c>
      <c r="K1163">
        <v>6.23</v>
      </c>
      <c r="L1163">
        <v>0</v>
      </c>
      <c r="M1163" t="s">
        <v>34</v>
      </c>
      <c r="N1163" t="s">
        <v>21</v>
      </c>
      <c r="O1163">
        <v>14.55</v>
      </c>
      <c r="P1163" s="1">
        <v>45536</v>
      </c>
      <c r="Q1163" t="str">
        <f t="shared" si="18"/>
        <v>Medium Performance</v>
      </c>
      <c r="R1163" s="2">
        <f>Table1_1[[#This Row],[tasks_completed]]/Table1_1[[#This Row],[monthly_hours_worked]]</f>
        <v>2.4154589371980676E-2</v>
      </c>
    </row>
    <row r="1164" spans="1:18" x14ac:dyDescent="0.3">
      <c r="A1164" t="s">
        <v>141</v>
      </c>
      <c r="B1164" t="s">
        <v>17</v>
      </c>
      <c r="C1164" t="s">
        <v>41</v>
      </c>
      <c r="D1164" t="s">
        <v>39</v>
      </c>
      <c r="E1164">
        <v>5</v>
      </c>
      <c r="F1164">
        <v>150</v>
      </c>
      <c r="G1164">
        <v>89.5</v>
      </c>
      <c r="H1164">
        <v>5.7</v>
      </c>
      <c r="I1164">
        <v>9</v>
      </c>
      <c r="K1164">
        <v>5.93</v>
      </c>
      <c r="L1164">
        <v>1</v>
      </c>
      <c r="M1164" t="s">
        <v>20</v>
      </c>
      <c r="N1164" t="s">
        <v>26</v>
      </c>
      <c r="O1164">
        <v>21.02</v>
      </c>
      <c r="P1164" s="1">
        <v>45566</v>
      </c>
      <c r="Q1164" t="str">
        <f t="shared" si="18"/>
        <v>High Performance</v>
      </c>
      <c r="R1164" s="2">
        <f>Table1_1[[#This Row],[tasks_completed]]/Table1_1[[#This Row],[monthly_hours_worked]]</f>
        <v>0.06</v>
      </c>
    </row>
    <row r="1165" spans="1:18" x14ac:dyDescent="0.3">
      <c r="A1165" t="s">
        <v>141</v>
      </c>
      <c r="B1165" t="s">
        <v>17</v>
      </c>
      <c r="C1165" t="s">
        <v>41</v>
      </c>
      <c r="D1165" t="s">
        <v>39</v>
      </c>
      <c r="E1165">
        <v>2</v>
      </c>
      <c r="F1165">
        <v>171.3</v>
      </c>
      <c r="G1165">
        <v>90.8</v>
      </c>
      <c r="H1165">
        <v>5</v>
      </c>
      <c r="I1165">
        <v>3</v>
      </c>
      <c r="J1165">
        <v>10</v>
      </c>
      <c r="K1165">
        <v>8.83</v>
      </c>
      <c r="L1165">
        <v>1</v>
      </c>
      <c r="M1165" t="s">
        <v>20</v>
      </c>
      <c r="N1165" t="s">
        <v>26</v>
      </c>
      <c r="O1165">
        <v>15.5</v>
      </c>
      <c r="P1165" s="1">
        <v>45597</v>
      </c>
      <c r="Q1165" t="str">
        <f t="shared" si="18"/>
        <v>High Performance</v>
      </c>
      <c r="R1165" s="2">
        <f>Table1_1[[#This Row],[tasks_completed]]/Table1_1[[#This Row],[monthly_hours_worked]]</f>
        <v>1.7513134851138354E-2</v>
      </c>
    </row>
    <row r="1166" spans="1:18" x14ac:dyDescent="0.3">
      <c r="A1166" t="s">
        <v>142</v>
      </c>
      <c r="B1166" t="s">
        <v>23</v>
      </c>
      <c r="C1166" t="s">
        <v>31</v>
      </c>
      <c r="D1166" t="s">
        <v>29</v>
      </c>
      <c r="E1166">
        <v>9</v>
      </c>
      <c r="F1166">
        <v>159</v>
      </c>
      <c r="G1166">
        <v>98.8</v>
      </c>
      <c r="H1166">
        <v>6.4</v>
      </c>
      <c r="I1166">
        <v>5</v>
      </c>
      <c r="J1166">
        <v>5.57</v>
      </c>
      <c r="K1166">
        <v>8.1999999999999993</v>
      </c>
      <c r="L1166">
        <v>0</v>
      </c>
      <c r="M1166" t="s">
        <v>34</v>
      </c>
      <c r="N1166" t="s">
        <v>26</v>
      </c>
      <c r="O1166">
        <v>23.34</v>
      </c>
      <c r="P1166" s="1">
        <v>45292</v>
      </c>
      <c r="Q1166" t="str">
        <f t="shared" si="18"/>
        <v>High Performance</v>
      </c>
      <c r="R1166" s="2">
        <f>Table1_1[[#This Row],[tasks_completed]]/Table1_1[[#This Row],[monthly_hours_worked]]</f>
        <v>3.1446540880503145E-2</v>
      </c>
    </row>
    <row r="1167" spans="1:18" x14ac:dyDescent="0.3">
      <c r="A1167" t="s">
        <v>142</v>
      </c>
      <c r="B1167" t="s">
        <v>43</v>
      </c>
      <c r="C1167" t="s">
        <v>37</v>
      </c>
      <c r="D1167" t="s">
        <v>19</v>
      </c>
      <c r="E1167">
        <v>1</v>
      </c>
      <c r="F1167">
        <v>167.2</v>
      </c>
      <c r="G1167">
        <v>94.9</v>
      </c>
      <c r="H1167">
        <v>9.4</v>
      </c>
      <c r="I1167">
        <v>8</v>
      </c>
      <c r="J1167">
        <v>9.0299999999999994</v>
      </c>
      <c r="K1167">
        <v>7.6</v>
      </c>
      <c r="L1167">
        <v>0</v>
      </c>
      <c r="M1167" t="s">
        <v>25</v>
      </c>
      <c r="N1167" t="s">
        <v>21</v>
      </c>
      <c r="O1167">
        <v>11.15</v>
      </c>
      <c r="P1167" s="1">
        <v>45292</v>
      </c>
      <c r="Q1167" t="str">
        <f t="shared" si="18"/>
        <v>Medium Performance</v>
      </c>
      <c r="R1167" s="2">
        <f>Table1_1[[#This Row],[tasks_completed]]/Table1_1[[#This Row],[monthly_hours_worked]]</f>
        <v>4.784688995215311E-2</v>
      </c>
    </row>
    <row r="1168" spans="1:18" x14ac:dyDescent="0.3">
      <c r="A1168" t="s">
        <v>142</v>
      </c>
      <c r="B1168" t="s">
        <v>23</v>
      </c>
      <c r="C1168" t="s">
        <v>31</v>
      </c>
      <c r="D1168" t="s">
        <v>19</v>
      </c>
      <c r="E1168">
        <v>1</v>
      </c>
      <c r="F1168">
        <v>152.9</v>
      </c>
      <c r="G1168">
        <v>89.9</v>
      </c>
      <c r="H1168">
        <v>4.3</v>
      </c>
      <c r="I1168">
        <v>8</v>
      </c>
      <c r="J1168">
        <v>6.67</v>
      </c>
      <c r="K1168">
        <v>10</v>
      </c>
      <c r="L1168">
        <v>0</v>
      </c>
      <c r="M1168" t="s">
        <v>25</v>
      </c>
      <c r="N1168" t="s">
        <v>35</v>
      </c>
      <c r="O1168">
        <v>11.52</v>
      </c>
      <c r="P1168" s="1">
        <v>45352</v>
      </c>
      <c r="Q1168" t="str">
        <f t="shared" si="18"/>
        <v>Medium Performance</v>
      </c>
      <c r="R1168" s="2">
        <f>Table1_1[[#This Row],[tasks_completed]]/Table1_1[[#This Row],[monthly_hours_worked]]</f>
        <v>5.2321778940483975E-2</v>
      </c>
    </row>
    <row r="1169" spans="1:18" x14ac:dyDescent="0.3">
      <c r="A1169" t="s">
        <v>142</v>
      </c>
      <c r="B1169" t="s">
        <v>33</v>
      </c>
      <c r="C1169" t="s">
        <v>41</v>
      </c>
      <c r="D1169" t="s">
        <v>39</v>
      </c>
      <c r="E1169">
        <v>8</v>
      </c>
      <c r="F1169">
        <v>169.6</v>
      </c>
      <c r="G1169">
        <v>94.6</v>
      </c>
      <c r="H1169">
        <v>2.2000000000000002</v>
      </c>
      <c r="I1169">
        <v>5</v>
      </c>
      <c r="J1169">
        <v>4.97</v>
      </c>
      <c r="K1169">
        <v>10</v>
      </c>
      <c r="L1169">
        <v>1</v>
      </c>
      <c r="M1169" t="s">
        <v>25</v>
      </c>
      <c r="N1169" t="s">
        <v>26</v>
      </c>
      <c r="O1169">
        <v>18.5</v>
      </c>
      <c r="P1169" s="1">
        <v>45352</v>
      </c>
      <c r="Q1169" t="str">
        <f t="shared" si="18"/>
        <v>High Performance</v>
      </c>
      <c r="R1169" s="2">
        <f>Table1_1[[#This Row],[tasks_completed]]/Table1_1[[#This Row],[monthly_hours_worked]]</f>
        <v>2.9481132075471699E-2</v>
      </c>
    </row>
    <row r="1170" spans="1:18" x14ac:dyDescent="0.3">
      <c r="A1170" t="s">
        <v>142</v>
      </c>
      <c r="B1170" t="s">
        <v>33</v>
      </c>
      <c r="C1170" t="s">
        <v>24</v>
      </c>
      <c r="D1170" t="s">
        <v>39</v>
      </c>
      <c r="E1170">
        <v>6</v>
      </c>
      <c r="F1170">
        <v>140</v>
      </c>
      <c r="G1170">
        <v>100</v>
      </c>
      <c r="H1170">
        <v>9.6999999999999993</v>
      </c>
      <c r="I1170">
        <v>5</v>
      </c>
      <c r="J1170">
        <v>5.45</v>
      </c>
      <c r="K1170">
        <v>5.66</v>
      </c>
      <c r="L1170">
        <v>0</v>
      </c>
      <c r="M1170" t="s">
        <v>20</v>
      </c>
      <c r="N1170" t="s">
        <v>26</v>
      </c>
      <c r="O1170">
        <v>14.14</v>
      </c>
      <c r="P1170" s="1">
        <v>45383</v>
      </c>
      <c r="Q1170" t="str">
        <f t="shared" si="18"/>
        <v>Medium Performance</v>
      </c>
      <c r="R1170" s="2">
        <f>Table1_1[[#This Row],[tasks_completed]]/Table1_1[[#This Row],[monthly_hours_worked]]</f>
        <v>3.5714285714285712E-2</v>
      </c>
    </row>
    <row r="1171" spans="1:18" x14ac:dyDescent="0.3">
      <c r="A1171" t="s">
        <v>142</v>
      </c>
      <c r="B1171" t="s">
        <v>33</v>
      </c>
      <c r="C1171" t="s">
        <v>37</v>
      </c>
      <c r="D1171" t="s">
        <v>29</v>
      </c>
      <c r="E1171">
        <v>3</v>
      </c>
      <c r="F1171">
        <v>147.1</v>
      </c>
      <c r="G1171">
        <v>98.7</v>
      </c>
      <c r="H1171">
        <v>2.8</v>
      </c>
      <c r="I1171">
        <v>8</v>
      </c>
      <c r="J1171">
        <v>7.53</v>
      </c>
      <c r="K1171">
        <v>7.02</v>
      </c>
      <c r="L1171">
        <v>0</v>
      </c>
      <c r="M1171" t="s">
        <v>20</v>
      </c>
      <c r="N1171" t="s">
        <v>35</v>
      </c>
      <c r="O1171">
        <v>7.76</v>
      </c>
      <c r="P1171" s="1">
        <v>45413</v>
      </c>
      <c r="Q1171" t="str">
        <f t="shared" si="18"/>
        <v>Low Performance</v>
      </c>
      <c r="R1171" s="2">
        <f>Table1_1[[#This Row],[tasks_completed]]/Table1_1[[#This Row],[monthly_hours_worked]]</f>
        <v>5.4384772263766146E-2</v>
      </c>
    </row>
    <row r="1172" spans="1:18" x14ac:dyDescent="0.3">
      <c r="A1172" t="s">
        <v>142</v>
      </c>
      <c r="B1172" t="s">
        <v>23</v>
      </c>
      <c r="C1172" t="s">
        <v>31</v>
      </c>
      <c r="D1172" t="s">
        <v>19</v>
      </c>
      <c r="E1172">
        <v>2</v>
      </c>
      <c r="F1172">
        <v>174.5</v>
      </c>
      <c r="G1172">
        <v>97.8</v>
      </c>
      <c r="H1172">
        <v>6.3</v>
      </c>
      <c r="I1172">
        <v>8</v>
      </c>
      <c r="J1172">
        <v>8.08</v>
      </c>
      <c r="K1172">
        <v>6.69</v>
      </c>
      <c r="L1172">
        <v>1</v>
      </c>
      <c r="M1172" t="s">
        <v>20</v>
      </c>
      <c r="N1172" t="s">
        <v>35</v>
      </c>
      <c r="O1172">
        <v>14.57</v>
      </c>
      <c r="P1172" s="1">
        <v>45444</v>
      </c>
      <c r="Q1172" t="str">
        <f t="shared" si="18"/>
        <v>Medium Performance</v>
      </c>
      <c r="R1172" s="2">
        <f>Table1_1[[#This Row],[tasks_completed]]/Table1_1[[#This Row],[monthly_hours_worked]]</f>
        <v>4.5845272206303724E-2</v>
      </c>
    </row>
    <row r="1173" spans="1:18" x14ac:dyDescent="0.3">
      <c r="A1173" t="s">
        <v>142</v>
      </c>
      <c r="B1173" t="s">
        <v>43</v>
      </c>
      <c r="C1173" t="s">
        <v>37</v>
      </c>
      <c r="D1173" t="s">
        <v>39</v>
      </c>
      <c r="E1173">
        <v>10</v>
      </c>
      <c r="F1173">
        <v>161.69999999999999</v>
      </c>
      <c r="G1173">
        <v>100</v>
      </c>
      <c r="I1173">
        <v>6</v>
      </c>
      <c r="J1173">
        <v>9.2799999999999994</v>
      </c>
      <c r="K1173">
        <v>6.62</v>
      </c>
      <c r="L1173">
        <v>1</v>
      </c>
      <c r="M1173" t="s">
        <v>25</v>
      </c>
      <c r="N1173" t="s">
        <v>26</v>
      </c>
      <c r="O1173">
        <v>14.01</v>
      </c>
      <c r="P1173" s="1">
        <v>45474</v>
      </c>
      <c r="Q1173" t="str">
        <f t="shared" si="18"/>
        <v>Medium Performance</v>
      </c>
      <c r="R1173" s="2">
        <f>Table1_1[[#This Row],[tasks_completed]]/Table1_1[[#This Row],[monthly_hours_worked]]</f>
        <v>3.7105751391465679E-2</v>
      </c>
    </row>
    <row r="1174" spans="1:18" x14ac:dyDescent="0.3">
      <c r="A1174" t="s">
        <v>142</v>
      </c>
      <c r="B1174" t="s">
        <v>23</v>
      </c>
      <c r="C1174" t="s">
        <v>41</v>
      </c>
      <c r="D1174" t="s">
        <v>19</v>
      </c>
      <c r="E1174">
        <v>9</v>
      </c>
      <c r="F1174">
        <v>157.19999999999999</v>
      </c>
      <c r="G1174">
        <v>93.7</v>
      </c>
      <c r="H1174">
        <v>7.4</v>
      </c>
      <c r="I1174">
        <v>4</v>
      </c>
      <c r="J1174">
        <v>8.5399999999999991</v>
      </c>
      <c r="K1174">
        <v>8.61</v>
      </c>
      <c r="L1174">
        <v>0</v>
      </c>
      <c r="M1174" t="s">
        <v>25</v>
      </c>
      <c r="N1174" t="s">
        <v>21</v>
      </c>
      <c r="O1174">
        <v>13.45</v>
      </c>
      <c r="P1174" s="1">
        <v>45505</v>
      </c>
      <c r="Q1174" t="str">
        <f t="shared" si="18"/>
        <v>Medium Performance</v>
      </c>
      <c r="R1174" s="2">
        <f>Table1_1[[#This Row],[tasks_completed]]/Table1_1[[#This Row],[monthly_hours_worked]]</f>
        <v>2.5445292620865142E-2</v>
      </c>
    </row>
    <row r="1175" spans="1:18" x14ac:dyDescent="0.3">
      <c r="A1175" t="s">
        <v>142</v>
      </c>
      <c r="B1175" t="s">
        <v>33</v>
      </c>
      <c r="C1175" t="s">
        <v>24</v>
      </c>
      <c r="D1175" t="s">
        <v>19</v>
      </c>
      <c r="E1175">
        <v>2</v>
      </c>
      <c r="F1175">
        <v>144.19999999999999</v>
      </c>
      <c r="G1175">
        <v>86.3</v>
      </c>
      <c r="H1175">
        <v>5.2</v>
      </c>
      <c r="I1175">
        <v>12</v>
      </c>
      <c r="J1175">
        <v>8.15</v>
      </c>
      <c r="K1175">
        <v>10</v>
      </c>
      <c r="L1175">
        <v>0</v>
      </c>
      <c r="M1175" t="s">
        <v>20</v>
      </c>
      <c r="N1175" t="s">
        <v>35</v>
      </c>
      <c r="O1175">
        <v>13.99</v>
      </c>
      <c r="P1175" s="1">
        <v>45536</v>
      </c>
      <c r="Q1175" t="str">
        <f t="shared" si="18"/>
        <v>Medium Performance</v>
      </c>
      <c r="R1175" s="2">
        <f>Table1_1[[#This Row],[tasks_completed]]/Table1_1[[#This Row],[monthly_hours_worked]]</f>
        <v>8.3217753120665747E-2</v>
      </c>
    </row>
    <row r="1176" spans="1:18" x14ac:dyDescent="0.3">
      <c r="A1176" t="s">
        <v>142</v>
      </c>
      <c r="B1176" t="s">
        <v>23</v>
      </c>
      <c r="C1176" t="s">
        <v>24</v>
      </c>
      <c r="D1176" t="s">
        <v>19</v>
      </c>
      <c r="E1176">
        <v>1</v>
      </c>
      <c r="F1176">
        <v>151.6</v>
      </c>
      <c r="G1176">
        <v>100</v>
      </c>
      <c r="H1176">
        <v>1.8</v>
      </c>
      <c r="I1176">
        <v>6</v>
      </c>
      <c r="J1176">
        <v>6.55</v>
      </c>
      <c r="K1176">
        <v>10</v>
      </c>
      <c r="L1176">
        <v>2</v>
      </c>
      <c r="M1176" t="s">
        <v>25</v>
      </c>
      <c r="N1176" t="s">
        <v>35</v>
      </c>
      <c r="O1176">
        <v>11.67</v>
      </c>
      <c r="P1176" s="1">
        <v>45566</v>
      </c>
      <c r="Q1176" t="str">
        <f t="shared" si="18"/>
        <v>Medium Performance</v>
      </c>
      <c r="R1176" s="2">
        <f>Table1_1[[#This Row],[tasks_completed]]/Table1_1[[#This Row],[monthly_hours_worked]]</f>
        <v>3.9577836411609502E-2</v>
      </c>
    </row>
    <row r="1177" spans="1:18" x14ac:dyDescent="0.3">
      <c r="A1177" t="s">
        <v>142</v>
      </c>
      <c r="B1177" t="s">
        <v>17</v>
      </c>
      <c r="C1177" t="s">
        <v>24</v>
      </c>
      <c r="D1177" t="s">
        <v>39</v>
      </c>
      <c r="E1177">
        <v>10</v>
      </c>
      <c r="F1177">
        <v>156.1</v>
      </c>
      <c r="G1177">
        <v>95.3</v>
      </c>
      <c r="H1177">
        <v>4.2</v>
      </c>
      <c r="I1177">
        <v>4</v>
      </c>
      <c r="J1177">
        <v>8.1300000000000008</v>
      </c>
      <c r="K1177">
        <v>7.46</v>
      </c>
      <c r="L1177">
        <v>0</v>
      </c>
      <c r="M1177" t="s">
        <v>20</v>
      </c>
      <c r="N1177" t="s">
        <v>21</v>
      </c>
      <c r="O1177">
        <v>10.1</v>
      </c>
      <c r="P1177" s="1">
        <v>45597</v>
      </c>
      <c r="Q1177" t="str">
        <f t="shared" si="18"/>
        <v>Medium Performance</v>
      </c>
      <c r="R1177" s="2">
        <f>Table1_1[[#This Row],[tasks_completed]]/Table1_1[[#This Row],[monthly_hours_worked]]</f>
        <v>2.5624599615631006E-2</v>
      </c>
    </row>
    <row r="1178" spans="1:18" x14ac:dyDescent="0.3">
      <c r="A1178" t="s">
        <v>143</v>
      </c>
      <c r="B1178" t="s">
        <v>27</v>
      </c>
      <c r="C1178" t="s">
        <v>41</v>
      </c>
      <c r="D1178" t="s">
        <v>19</v>
      </c>
      <c r="E1178">
        <v>5</v>
      </c>
      <c r="F1178">
        <v>152.1</v>
      </c>
      <c r="G1178">
        <v>95.4</v>
      </c>
      <c r="H1178">
        <v>4</v>
      </c>
      <c r="I1178">
        <v>13</v>
      </c>
      <c r="J1178">
        <v>7.12</v>
      </c>
      <c r="K1178">
        <v>4.74</v>
      </c>
      <c r="L1178">
        <v>0</v>
      </c>
      <c r="M1178" t="s">
        <v>20</v>
      </c>
      <c r="N1178" t="s">
        <v>35</v>
      </c>
      <c r="O1178">
        <v>17.399999999999999</v>
      </c>
      <c r="P1178" s="1">
        <v>45292</v>
      </c>
      <c r="Q1178" t="str">
        <f t="shared" si="18"/>
        <v>High Performance</v>
      </c>
      <c r="R1178" s="2">
        <f>Table1_1[[#This Row],[tasks_completed]]/Table1_1[[#This Row],[monthly_hours_worked]]</f>
        <v>8.5470085470085472E-2</v>
      </c>
    </row>
    <row r="1179" spans="1:18" x14ac:dyDescent="0.3">
      <c r="A1179" t="s">
        <v>143</v>
      </c>
      <c r="B1179" t="s">
        <v>33</v>
      </c>
      <c r="C1179" t="s">
        <v>37</v>
      </c>
      <c r="D1179" t="s">
        <v>19</v>
      </c>
      <c r="E1179">
        <v>2</v>
      </c>
      <c r="F1179">
        <v>164.3</v>
      </c>
      <c r="G1179">
        <v>88.2</v>
      </c>
      <c r="H1179">
        <v>6.1</v>
      </c>
      <c r="I1179">
        <v>5</v>
      </c>
      <c r="J1179">
        <v>6.5</v>
      </c>
      <c r="K1179">
        <v>8.32</v>
      </c>
      <c r="L1179">
        <v>1</v>
      </c>
      <c r="M1179" t="s">
        <v>34</v>
      </c>
      <c r="N1179" t="s">
        <v>21</v>
      </c>
      <c r="O1179">
        <v>4.38</v>
      </c>
      <c r="P1179" s="1">
        <v>45292</v>
      </c>
      <c r="Q1179" t="str">
        <f t="shared" si="18"/>
        <v>Low Performance</v>
      </c>
      <c r="R1179" s="2">
        <f>Table1_1[[#This Row],[tasks_completed]]/Table1_1[[#This Row],[monthly_hours_worked]]</f>
        <v>3.0432136335970784E-2</v>
      </c>
    </row>
    <row r="1180" spans="1:18" x14ac:dyDescent="0.3">
      <c r="A1180" t="s">
        <v>143</v>
      </c>
      <c r="B1180" t="s">
        <v>43</v>
      </c>
      <c r="C1180" t="s">
        <v>18</v>
      </c>
      <c r="D1180" t="s">
        <v>19</v>
      </c>
      <c r="E1180">
        <v>4</v>
      </c>
      <c r="F1180">
        <v>148.5</v>
      </c>
      <c r="G1180">
        <v>87.3</v>
      </c>
      <c r="H1180">
        <v>3.5</v>
      </c>
      <c r="I1180">
        <v>6</v>
      </c>
      <c r="J1180">
        <v>9.07</v>
      </c>
      <c r="K1180">
        <v>3.69</v>
      </c>
      <c r="L1180">
        <v>1</v>
      </c>
      <c r="M1180" t="s">
        <v>25</v>
      </c>
      <c r="N1180" t="s">
        <v>21</v>
      </c>
      <c r="O1180">
        <v>15.55</v>
      </c>
      <c r="P1180" s="1">
        <v>45352</v>
      </c>
      <c r="Q1180" t="str">
        <f t="shared" si="18"/>
        <v>High Performance</v>
      </c>
      <c r="R1180" s="2">
        <f>Table1_1[[#This Row],[tasks_completed]]/Table1_1[[#This Row],[monthly_hours_worked]]</f>
        <v>4.0404040404040407E-2</v>
      </c>
    </row>
    <row r="1181" spans="1:18" x14ac:dyDescent="0.3">
      <c r="A1181" t="s">
        <v>143</v>
      </c>
      <c r="B1181" t="s">
        <v>23</v>
      </c>
      <c r="C1181" t="s">
        <v>37</v>
      </c>
      <c r="D1181" t="s">
        <v>39</v>
      </c>
      <c r="E1181">
        <v>8</v>
      </c>
      <c r="F1181">
        <v>172.3</v>
      </c>
      <c r="G1181">
        <v>96.1</v>
      </c>
      <c r="H1181">
        <v>2.9</v>
      </c>
      <c r="I1181">
        <v>7</v>
      </c>
      <c r="J1181">
        <v>9.26</v>
      </c>
      <c r="K1181">
        <v>7.49</v>
      </c>
      <c r="L1181">
        <v>0</v>
      </c>
      <c r="M1181" t="s">
        <v>34</v>
      </c>
      <c r="N1181" t="s">
        <v>21</v>
      </c>
      <c r="O1181">
        <v>10.84</v>
      </c>
      <c r="P1181" s="1">
        <v>45352</v>
      </c>
      <c r="Q1181" t="str">
        <f t="shared" si="18"/>
        <v>Medium Performance</v>
      </c>
      <c r="R1181" s="2">
        <f>Table1_1[[#This Row],[tasks_completed]]/Table1_1[[#This Row],[monthly_hours_worked]]</f>
        <v>4.0626813697040041E-2</v>
      </c>
    </row>
    <row r="1182" spans="1:18" x14ac:dyDescent="0.3">
      <c r="A1182" t="s">
        <v>143</v>
      </c>
      <c r="B1182" t="s">
        <v>43</v>
      </c>
      <c r="C1182" t="s">
        <v>37</v>
      </c>
      <c r="D1182" t="s">
        <v>39</v>
      </c>
      <c r="E1182">
        <v>7</v>
      </c>
      <c r="F1182">
        <v>166.8</v>
      </c>
      <c r="G1182">
        <v>88.9</v>
      </c>
      <c r="H1182">
        <v>4.5</v>
      </c>
      <c r="I1182">
        <v>6</v>
      </c>
      <c r="J1182">
        <v>5.0999999999999996</v>
      </c>
      <c r="K1182">
        <v>10</v>
      </c>
      <c r="L1182">
        <v>0</v>
      </c>
      <c r="M1182" t="s">
        <v>20</v>
      </c>
      <c r="N1182" t="s">
        <v>35</v>
      </c>
      <c r="O1182">
        <v>8.7799999999999994</v>
      </c>
      <c r="P1182" s="1">
        <v>45383</v>
      </c>
      <c r="Q1182" t="str">
        <f t="shared" si="18"/>
        <v>Low Performance</v>
      </c>
      <c r="R1182" s="2">
        <f>Table1_1[[#This Row],[tasks_completed]]/Table1_1[[#This Row],[monthly_hours_worked]]</f>
        <v>3.5971223021582732E-2</v>
      </c>
    </row>
    <row r="1183" spans="1:18" x14ac:dyDescent="0.3">
      <c r="A1183" t="s">
        <v>143</v>
      </c>
      <c r="B1183" t="s">
        <v>27</v>
      </c>
      <c r="C1183" t="s">
        <v>41</v>
      </c>
      <c r="D1183" t="s">
        <v>39</v>
      </c>
      <c r="E1183">
        <v>5</v>
      </c>
      <c r="F1183">
        <v>165.2</v>
      </c>
      <c r="G1183">
        <v>97</v>
      </c>
      <c r="H1183">
        <v>6.1</v>
      </c>
      <c r="I1183">
        <v>7</v>
      </c>
      <c r="J1183">
        <v>8.1999999999999993</v>
      </c>
      <c r="K1183">
        <v>8.8000000000000007</v>
      </c>
      <c r="L1183">
        <v>0</v>
      </c>
      <c r="M1183" t="s">
        <v>20</v>
      </c>
      <c r="N1183" t="s">
        <v>21</v>
      </c>
      <c r="O1183">
        <v>12.87</v>
      </c>
      <c r="P1183" s="1">
        <v>45413</v>
      </c>
      <c r="Q1183" t="str">
        <f t="shared" si="18"/>
        <v>Medium Performance</v>
      </c>
      <c r="R1183" s="2">
        <f>Table1_1[[#This Row],[tasks_completed]]/Table1_1[[#This Row],[monthly_hours_worked]]</f>
        <v>4.2372881355932208E-2</v>
      </c>
    </row>
    <row r="1184" spans="1:18" x14ac:dyDescent="0.3">
      <c r="A1184" t="s">
        <v>143</v>
      </c>
      <c r="B1184" t="s">
        <v>43</v>
      </c>
      <c r="C1184" t="s">
        <v>18</v>
      </c>
      <c r="D1184" t="s">
        <v>39</v>
      </c>
      <c r="E1184">
        <v>7</v>
      </c>
      <c r="F1184">
        <v>186.5</v>
      </c>
      <c r="G1184">
        <v>97.3</v>
      </c>
      <c r="H1184">
        <v>4.0999999999999996</v>
      </c>
      <c r="I1184">
        <v>6</v>
      </c>
      <c r="J1184">
        <v>6.66</v>
      </c>
      <c r="K1184">
        <v>5.01</v>
      </c>
      <c r="L1184">
        <v>0</v>
      </c>
      <c r="M1184" t="s">
        <v>34</v>
      </c>
      <c r="N1184" t="s">
        <v>26</v>
      </c>
      <c r="O1184">
        <v>23.66</v>
      </c>
      <c r="P1184" s="1">
        <v>45444</v>
      </c>
      <c r="Q1184" t="str">
        <f t="shared" si="18"/>
        <v>High Performance</v>
      </c>
      <c r="R1184" s="2">
        <f>Table1_1[[#This Row],[tasks_completed]]/Table1_1[[#This Row],[monthly_hours_worked]]</f>
        <v>3.2171581769436998E-2</v>
      </c>
    </row>
    <row r="1185" spans="1:18" x14ac:dyDescent="0.3">
      <c r="A1185" t="s">
        <v>143</v>
      </c>
      <c r="B1185" t="s">
        <v>23</v>
      </c>
      <c r="C1185" t="s">
        <v>41</v>
      </c>
      <c r="D1185" t="s">
        <v>19</v>
      </c>
      <c r="E1185">
        <v>5</v>
      </c>
      <c r="F1185">
        <v>167.2</v>
      </c>
      <c r="G1185">
        <v>100</v>
      </c>
      <c r="H1185">
        <v>5.2</v>
      </c>
      <c r="I1185">
        <v>9</v>
      </c>
      <c r="J1185">
        <v>7.23</v>
      </c>
      <c r="K1185">
        <v>6.81</v>
      </c>
      <c r="L1185">
        <v>0</v>
      </c>
      <c r="M1185" t="s">
        <v>34</v>
      </c>
      <c r="N1185" t="s">
        <v>26</v>
      </c>
      <c r="O1185">
        <v>16.420000000000002</v>
      </c>
      <c r="P1185" s="1">
        <v>45474</v>
      </c>
      <c r="Q1185" t="str">
        <f t="shared" si="18"/>
        <v>High Performance</v>
      </c>
      <c r="R1185" s="2">
        <f>Table1_1[[#This Row],[tasks_completed]]/Table1_1[[#This Row],[monthly_hours_worked]]</f>
        <v>5.3827751196172252E-2</v>
      </c>
    </row>
    <row r="1186" spans="1:18" x14ac:dyDescent="0.3">
      <c r="A1186" t="s">
        <v>143</v>
      </c>
      <c r="B1186" t="s">
        <v>27</v>
      </c>
      <c r="C1186" t="s">
        <v>24</v>
      </c>
      <c r="D1186" t="s">
        <v>39</v>
      </c>
      <c r="E1186">
        <v>9</v>
      </c>
      <c r="F1186">
        <v>174</v>
      </c>
      <c r="G1186">
        <v>96</v>
      </c>
      <c r="H1186">
        <v>3.6</v>
      </c>
      <c r="I1186">
        <v>5</v>
      </c>
      <c r="J1186">
        <v>8.98</v>
      </c>
      <c r="K1186">
        <v>4.92</v>
      </c>
      <c r="L1186">
        <v>1</v>
      </c>
      <c r="M1186" t="s">
        <v>20</v>
      </c>
      <c r="N1186" t="s">
        <v>35</v>
      </c>
      <c r="O1186">
        <v>14.77</v>
      </c>
      <c r="P1186" s="1">
        <v>45505</v>
      </c>
      <c r="Q1186" t="str">
        <f t="shared" si="18"/>
        <v>Medium Performance</v>
      </c>
      <c r="R1186" s="2">
        <f>Table1_1[[#This Row],[tasks_completed]]/Table1_1[[#This Row],[monthly_hours_worked]]</f>
        <v>2.8735632183908046E-2</v>
      </c>
    </row>
    <row r="1187" spans="1:18" x14ac:dyDescent="0.3">
      <c r="A1187" t="s">
        <v>143</v>
      </c>
      <c r="B1187" t="s">
        <v>27</v>
      </c>
      <c r="C1187" t="s">
        <v>31</v>
      </c>
      <c r="D1187" t="s">
        <v>19</v>
      </c>
      <c r="E1187">
        <v>2</v>
      </c>
      <c r="F1187">
        <v>151.4</v>
      </c>
      <c r="G1187">
        <v>86.7</v>
      </c>
      <c r="H1187">
        <v>5.9</v>
      </c>
      <c r="I1187">
        <v>7</v>
      </c>
      <c r="J1187">
        <v>7.08</v>
      </c>
      <c r="K1187">
        <v>7.78</v>
      </c>
      <c r="L1187">
        <v>0</v>
      </c>
      <c r="M1187" t="s">
        <v>20</v>
      </c>
      <c r="N1187" t="s">
        <v>21</v>
      </c>
      <c r="O1187">
        <v>21.72</v>
      </c>
      <c r="P1187" s="1">
        <v>45536</v>
      </c>
      <c r="Q1187" t="str">
        <f t="shared" si="18"/>
        <v>High Performance</v>
      </c>
      <c r="R1187" s="2">
        <f>Table1_1[[#This Row],[tasks_completed]]/Table1_1[[#This Row],[monthly_hours_worked]]</f>
        <v>4.6235138705416116E-2</v>
      </c>
    </row>
    <row r="1188" spans="1:18" x14ac:dyDescent="0.3">
      <c r="A1188" t="s">
        <v>143</v>
      </c>
      <c r="B1188" t="s">
        <v>43</v>
      </c>
      <c r="C1188" t="s">
        <v>41</v>
      </c>
      <c r="D1188" t="s">
        <v>39</v>
      </c>
      <c r="E1188">
        <v>4</v>
      </c>
      <c r="F1188">
        <v>151.9</v>
      </c>
      <c r="G1188">
        <v>91.5</v>
      </c>
      <c r="H1188">
        <v>2.6</v>
      </c>
      <c r="I1188">
        <v>3</v>
      </c>
      <c r="J1188">
        <v>8.16</v>
      </c>
      <c r="K1188">
        <v>5.03</v>
      </c>
      <c r="L1188">
        <v>0</v>
      </c>
      <c r="M1188" t="s">
        <v>20</v>
      </c>
      <c r="N1188" t="s">
        <v>26</v>
      </c>
      <c r="O1188">
        <v>15.36</v>
      </c>
      <c r="P1188" s="1">
        <v>45566</v>
      </c>
      <c r="Q1188" t="str">
        <f t="shared" si="18"/>
        <v>High Performance</v>
      </c>
      <c r="R1188" s="2">
        <f>Table1_1[[#This Row],[tasks_completed]]/Table1_1[[#This Row],[monthly_hours_worked]]</f>
        <v>1.9749835418038181E-2</v>
      </c>
    </row>
    <row r="1189" spans="1:18" x14ac:dyDescent="0.3">
      <c r="A1189" t="s">
        <v>143</v>
      </c>
      <c r="B1189" t="s">
        <v>23</v>
      </c>
      <c r="C1189" t="s">
        <v>24</v>
      </c>
      <c r="D1189" t="s">
        <v>19</v>
      </c>
      <c r="E1189">
        <v>5</v>
      </c>
      <c r="F1189">
        <v>176</v>
      </c>
      <c r="G1189">
        <v>95.6</v>
      </c>
      <c r="H1189">
        <v>3.9</v>
      </c>
      <c r="I1189">
        <v>3</v>
      </c>
      <c r="J1189">
        <v>7.92</v>
      </c>
      <c r="K1189">
        <v>10</v>
      </c>
      <c r="L1189">
        <v>0</v>
      </c>
      <c r="M1189" t="s">
        <v>20</v>
      </c>
      <c r="N1189" t="s">
        <v>35</v>
      </c>
      <c r="O1189">
        <v>4.6399999999999997</v>
      </c>
      <c r="P1189" s="1">
        <v>45597</v>
      </c>
      <c r="Q1189" t="str">
        <f t="shared" si="18"/>
        <v>Low Performance</v>
      </c>
      <c r="R1189" s="2">
        <f>Table1_1[[#This Row],[tasks_completed]]/Table1_1[[#This Row],[monthly_hours_worked]]</f>
        <v>1.7045454545454544E-2</v>
      </c>
    </row>
    <row r="1190" spans="1:18" x14ac:dyDescent="0.3">
      <c r="A1190" t="s">
        <v>144</v>
      </c>
      <c r="B1190" t="s">
        <v>27</v>
      </c>
      <c r="C1190" t="s">
        <v>41</v>
      </c>
      <c r="D1190" t="s">
        <v>39</v>
      </c>
      <c r="E1190">
        <v>8</v>
      </c>
      <c r="F1190">
        <v>154.69999999999999</v>
      </c>
      <c r="G1190">
        <v>94.3</v>
      </c>
      <c r="H1190">
        <v>4.3</v>
      </c>
      <c r="I1190">
        <v>6</v>
      </c>
      <c r="J1190">
        <v>6.75</v>
      </c>
      <c r="K1190">
        <v>10</v>
      </c>
      <c r="L1190">
        <v>2</v>
      </c>
      <c r="M1190" t="s">
        <v>25</v>
      </c>
      <c r="N1190" t="s">
        <v>21</v>
      </c>
      <c r="O1190">
        <v>10.36</v>
      </c>
      <c r="P1190" s="1">
        <v>45292</v>
      </c>
      <c r="Q1190" t="str">
        <f t="shared" si="18"/>
        <v>Medium Performance</v>
      </c>
      <c r="R1190" s="2">
        <f>Table1_1[[#This Row],[tasks_completed]]/Table1_1[[#This Row],[monthly_hours_worked]]</f>
        <v>3.8784744667097609E-2</v>
      </c>
    </row>
    <row r="1191" spans="1:18" x14ac:dyDescent="0.3">
      <c r="A1191" t="s">
        <v>144</v>
      </c>
      <c r="B1191" t="s">
        <v>23</v>
      </c>
      <c r="C1191" t="s">
        <v>37</v>
      </c>
      <c r="D1191" t="s">
        <v>29</v>
      </c>
      <c r="E1191">
        <v>4</v>
      </c>
      <c r="F1191">
        <v>147.69999999999999</v>
      </c>
      <c r="G1191">
        <v>88.3</v>
      </c>
      <c r="H1191">
        <v>3.9</v>
      </c>
      <c r="I1191">
        <v>8</v>
      </c>
      <c r="J1191">
        <v>5.98</v>
      </c>
      <c r="K1191">
        <v>5.69</v>
      </c>
      <c r="L1191">
        <v>0</v>
      </c>
      <c r="M1191" t="s">
        <v>20</v>
      </c>
      <c r="N1191" t="s">
        <v>35</v>
      </c>
      <c r="O1191">
        <v>15.7</v>
      </c>
      <c r="P1191" s="1">
        <v>45292</v>
      </c>
      <c r="Q1191" t="str">
        <f t="shared" si="18"/>
        <v>High Performance</v>
      </c>
      <c r="R1191" s="2">
        <f>Table1_1[[#This Row],[tasks_completed]]/Table1_1[[#This Row],[monthly_hours_worked]]</f>
        <v>5.4163845633039949E-2</v>
      </c>
    </row>
    <row r="1192" spans="1:18" x14ac:dyDescent="0.3">
      <c r="A1192" t="s">
        <v>144</v>
      </c>
      <c r="B1192" t="s">
        <v>33</v>
      </c>
      <c r="C1192" t="s">
        <v>37</v>
      </c>
      <c r="D1192" t="s">
        <v>19</v>
      </c>
      <c r="E1192">
        <v>10</v>
      </c>
      <c r="F1192">
        <v>158.30000000000001</v>
      </c>
      <c r="G1192">
        <v>93.6</v>
      </c>
      <c r="H1192">
        <v>4.3</v>
      </c>
      <c r="I1192">
        <v>6</v>
      </c>
      <c r="J1192">
        <v>8.6300000000000008</v>
      </c>
      <c r="K1192">
        <v>9.92</v>
      </c>
      <c r="L1192">
        <v>0</v>
      </c>
      <c r="M1192" t="s">
        <v>34</v>
      </c>
      <c r="N1192" t="s">
        <v>35</v>
      </c>
      <c r="O1192">
        <v>26.13</v>
      </c>
      <c r="P1192" s="1">
        <v>45352</v>
      </c>
      <c r="Q1192" t="str">
        <f t="shared" si="18"/>
        <v>High Performance</v>
      </c>
      <c r="R1192" s="2">
        <f>Table1_1[[#This Row],[tasks_completed]]/Table1_1[[#This Row],[monthly_hours_worked]]</f>
        <v>3.7902716361339225E-2</v>
      </c>
    </row>
    <row r="1193" spans="1:18" x14ac:dyDescent="0.3">
      <c r="A1193" t="s">
        <v>144</v>
      </c>
      <c r="B1193" t="s">
        <v>33</v>
      </c>
      <c r="C1193" t="s">
        <v>31</v>
      </c>
      <c r="D1193" t="s">
        <v>39</v>
      </c>
      <c r="E1193">
        <v>9</v>
      </c>
      <c r="F1193">
        <v>176.6</v>
      </c>
      <c r="G1193">
        <v>92.5</v>
      </c>
      <c r="H1193">
        <v>3</v>
      </c>
      <c r="I1193">
        <v>7</v>
      </c>
      <c r="J1193">
        <v>8.4700000000000006</v>
      </c>
      <c r="K1193">
        <v>5.84</v>
      </c>
      <c r="L1193">
        <v>0</v>
      </c>
      <c r="M1193" t="s">
        <v>34</v>
      </c>
      <c r="N1193" t="s">
        <v>26</v>
      </c>
      <c r="O1193">
        <v>14.18</v>
      </c>
      <c r="P1193" s="1">
        <v>45352</v>
      </c>
      <c r="Q1193" t="str">
        <f t="shared" si="18"/>
        <v>Medium Performance</v>
      </c>
      <c r="R1193" s="2">
        <f>Table1_1[[#This Row],[tasks_completed]]/Table1_1[[#This Row],[monthly_hours_worked]]</f>
        <v>3.9637599093997736E-2</v>
      </c>
    </row>
    <row r="1194" spans="1:18" x14ac:dyDescent="0.3">
      <c r="A1194" t="s">
        <v>144</v>
      </c>
      <c r="B1194" t="s">
        <v>27</v>
      </c>
      <c r="C1194" t="s">
        <v>31</v>
      </c>
      <c r="D1194" t="s">
        <v>39</v>
      </c>
      <c r="E1194">
        <v>2</v>
      </c>
      <c r="F1194">
        <v>158.80000000000001</v>
      </c>
      <c r="G1194">
        <v>96.3</v>
      </c>
      <c r="H1194">
        <v>4.5999999999999996</v>
      </c>
      <c r="I1194">
        <v>6</v>
      </c>
      <c r="J1194">
        <v>4.6100000000000003</v>
      </c>
      <c r="K1194">
        <v>10</v>
      </c>
      <c r="L1194">
        <v>0</v>
      </c>
      <c r="M1194" t="s">
        <v>25</v>
      </c>
      <c r="N1194" t="s">
        <v>21</v>
      </c>
      <c r="O1194">
        <v>15.1</v>
      </c>
      <c r="P1194" s="1">
        <v>45383</v>
      </c>
      <c r="Q1194" t="str">
        <f t="shared" si="18"/>
        <v>High Performance</v>
      </c>
      <c r="R1194" s="2">
        <f>Table1_1[[#This Row],[tasks_completed]]/Table1_1[[#This Row],[monthly_hours_worked]]</f>
        <v>3.7783375314861457E-2</v>
      </c>
    </row>
    <row r="1195" spans="1:18" x14ac:dyDescent="0.3">
      <c r="A1195" t="s">
        <v>144</v>
      </c>
      <c r="B1195" t="s">
        <v>17</v>
      </c>
      <c r="C1195" t="s">
        <v>24</v>
      </c>
      <c r="D1195" t="s">
        <v>19</v>
      </c>
      <c r="E1195">
        <v>5</v>
      </c>
      <c r="F1195">
        <v>172</v>
      </c>
      <c r="G1195">
        <v>100</v>
      </c>
      <c r="H1195">
        <v>3</v>
      </c>
      <c r="I1195">
        <v>5</v>
      </c>
      <c r="J1195">
        <v>10</v>
      </c>
      <c r="K1195">
        <v>6.48</v>
      </c>
      <c r="L1195">
        <v>0</v>
      </c>
      <c r="M1195" t="s">
        <v>25</v>
      </c>
      <c r="N1195" t="s">
        <v>26</v>
      </c>
      <c r="O1195">
        <v>8.93</v>
      </c>
      <c r="P1195" s="1">
        <v>45413</v>
      </c>
      <c r="Q1195" t="str">
        <f t="shared" si="18"/>
        <v>Low Performance</v>
      </c>
      <c r="R1195" s="2">
        <f>Table1_1[[#This Row],[tasks_completed]]/Table1_1[[#This Row],[monthly_hours_worked]]</f>
        <v>2.9069767441860465E-2</v>
      </c>
    </row>
    <row r="1196" spans="1:18" x14ac:dyDescent="0.3">
      <c r="A1196" t="s">
        <v>144</v>
      </c>
      <c r="B1196" t="s">
        <v>33</v>
      </c>
      <c r="C1196" t="s">
        <v>18</v>
      </c>
      <c r="D1196" t="s">
        <v>29</v>
      </c>
      <c r="E1196">
        <v>2</v>
      </c>
      <c r="F1196">
        <v>153.69999999999999</v>
      </c>
      <c r="G1196">
        <v>93.4</v>
      </c>
      <c r="H1196">
        <v>4.4000000000000004</v>
      </c>
      <c r="I1196">
        <v>10</v>
      </c>
      <c r="J1196">
        <v>8.85</v>
      </c>
      <c r="K1196">
        <v>5.21</v>
      </c>
      <c r="L1196">
        <v>1</v>
      </c>
      <c r="M1196" t="s">
        <v>25</v>
      </c>
      <c r="N1196" t="s">
        <v>35</v>
      </c>
      <c r="O1196">
        <v>21.22</v>
      </c>
      <c r="P1196" s="1">
        <v>45444</v>
      </c>
      <c r="Q1196" t="str">
        <f t="shared" si="18"/>
        <v>High Performance</v>
      </c>
      <c r="R1196" s="2">
        <f>Table1_1[[#This Row],[tasks_completed]]/Table1_1[[#This Row],[monthly_hours_worked]]</f>
        <v>6.5061808718282377E-2</v>
      </c>
    </row>
    <row r="1197" spans="1:18" x14ac:dyDescent="0.3">
      <c r="A1197" t="s">
        <v>144</v>
      </c>
      <c r="B1197" t="s">
        <v>17</v>
      </c>
      <c r="C1197" t="s">
        <v>18</v>
      </c>
      <c r="D1197" t="s">
        <v>29</v>
      </c>
      <c r="E1197">
        <v>7</v>
      </c>
      <c r="F1197">
        <v>159.4</v>
      </c>
      <c r="G1197">
        <v>100</v>
      </c>
      <c r="H1197">
        <v>5.4</v>
      </c>
      <c r="I1197">
        <v>2</v>
      </c>
      <c r="J1197">
        <v>8.92</v>
      </c>
      <c r="K1197">
        <v>4.97</v>
      </c>
      <c r="L1197">
        <v>1</v>
      </c>
      <c r="M1197" t="s">
        <v>20</v>
      </c>
      <c r="N1197" t="s">
        <v>26</v>
      </c>
      <c r="O1197">
        <v>10.11</v>
      </c>
      <c r="P1197" s="1">
        <v>45474</v>
      </c>
      <c r="Q1197" t="str">
        <f t="shared" si="18"/>
        <v>Medium Performance</v>
      </c>
      <c r="R1197" s="2">
        <f>Table1_1[[#This Row],[tasks_completed]]/Table1_1[[#This Row],[monthly_hours_worked]]</f>
        <v>1.2547051442910916E-2</v>
      </c>
    </row>
    <row r="1198" spans="1:18" x14ac:dyDescent="0.3">
      <c r="A1198" t="s">
        <v>144</v>
      </c>
      <c r="B1198" t="s">
        <v>17</v>
      </c>
      <c r="C1198" t="s">
        <v>18</v>
      </c>
      <c r="D1198" t="s">
        <v>39</v>
      </c>
      <c r="E1198">
        <v>5</v>
      </c>
      <c r="F1198">
        <v>147</v>
      </c>
      <c r="G1198">
        <v>97.1</v>
      </c>
      <c r="H1198">
        <v>8.5</v>
      </c>
      <c r="I1198">
        <v>4</v>
      </c>
      <c r="J1198">
        <v>6.54</v>
      </c>
      <c r="K1198">
        <v>8.39</v>
      </c>
      <c r="L1198">
        <v>0</v>
      </c>
      <c r="M1198" t="s">
        <v>34</v>
      </c>
      <c r="N1198" t="s">
        <v>21</v>
      </c>
      <c r="O1198">
        <v>14.81</v>
      </c>
      <c r="P1198" s="1">
        <v>45505</v>
      </c>
      <c r="Q1198" t="str">
        <f t="shared" si="18"/>
        <v>Medium Performance</v>
      </c>
      <c r="R1198" s="2">
        <f>Table1_1[[#This Row],[tasks_completed]]/Table1_1[[#This Row],[monthly_hours_worked]]</f>
        <v>2.7210884353741496E-2</v>
      </c>
    </row>
    <row r="1199" spans="1:18" x14ac:dyDescent="0.3">
      <c r="A1199" t="s">
        <v>144</v>
      </c>
      <c r="B1199" t="s">
        <v>17</v>
      </c>
      <c r="C1199" t="s">
        <v>37</v>
      </c>
      <c r="D1199" t="s">
        <v>19</v>
      </c>
      <c r="E1199">
        <v>2</v>
      </c>
      <c r="F1199">
        <v>159.4</v>
      </c>
      <c r="G1199">
        <v>94.1</v>
      </c>
      <c r="H1199">
        <v>5.9</v>
      </c>
      <c r="I1199">
        <v>7</v>
      </c>
      <c r="J1199">
        <v>9.18</v>
      </c>
      <c r="K1199">
        <v>4.5199999999999996</v>
      </c>
      <c r="L1199">
        <v>0</v>
      </c>
      <c r="M1199" t="s">
        <v>25</v>
      </c>
      <c r="N1199" t="s">
        <v>21</v>
      </c>
      <c r="O1199">
        <v>17.82</v>
      </c>
      <c r="P1199" s="1">
        <v>45536</v>
      </c>
      <c r="Q1199" t="str">
        <f t="shared" si="18"/>
        <v>High Performance</v>
      </c>
      <c r="R1199" s="2">
        <f>Table1_1[[#This Row],[tasks_completed]]/Table1_1[[#This Row],[monthly_hours_worked]]</f>
        <v>4.3914680050188205E-2</v>
      </c>
    </row>
    <row r="1200" spans="1:18" x14ac:dyDescent="0.3">
      <c r="A1200" t="s">
        <v>144</v>
      </c>
      <c r="B1200" t="s">
        <v>43</v>
      </c>
      <c r="C1200" t="s">
        <v>37</v>
      </c>
      <c r="D1200" t="s">
        <v>29</v>
      </c>
      <c r="E1200">
        <v>8</v>
      </c>
      <c r="F1200">
        <v>139.5</v>
      </c>
      <c r="G1200">
        <v>92.9</v>
      </c>
      <c r="H1200">
        <v>5.5</v>
      </c>
      <c r="I1200">
        <v>5</v>
      </c>
      <c r="J1200">
        <v>7.59</v>
      </c>
      <c r="K1200">
        <v>6.81</v>
      </c>
      <c r="L1200">
        <v>0</v>
      </c>
      <c r="M1200" t="s">
        <v>25</v>
      </c>
      <c r="N1200" t="s">
        <v>26</v>
      </c>
      <c r="O1200">
        <v>8.18</v>
      </c>
      <c r="P1200" s="1">
        <v>45566</v>
      </c>
      <c r="Q1200" t="str">
        <f t="shared" si="18"/>
        <v>Low Performance</v>
      </c>
      <c r="R1200" s="2">
        <f>Table1_1[[#This Row],[tasks_completed]]/Table1_1[[#This Row],[monthly_hours_worked]]</f>
        <v>3.5842293906810034E-2</v>
      </c>
    </row>
    <row r="1201" spans="1:18" x14ac:dyDescent="0.3">
      <c r="A1201" t="s">
        <v>144</v>
      </c>
      <c r="B1201" t="s">
        <v>33</v>
      </c>
      <c r="C1201" t="s">
        <v>31</v>
      </c>
      <c r="D1201" t="s">
        <v>19</v>
      </c>
      <c r="E1201">
        <v>4</v>
      </c>
      <c r="F1201">
        <v>155.69999999999999</v>
      </c>
      <c r="G1201">
        <v>100</v>
      </c>
      <c r="H1201">
        <v>4.9000000000000004</v>
      </c>
      <c r="I1201">
        <v>8</v>
      </c>
      <c r="J1201">
        <v>2.79</v>
      </c>
      <c r="K1201">
        <v>6.55</v>
      </c>
      <c r="L1201">
        <v>1</v>
      </c>
      <c r="M1201" t="s">
        <v>25</v>
      </c>
      <c r="N1201" t="s">
        <v>21</v>
      </c>
      <c r="O1201">
        <v>5.71</v>
      </c>
      <c r="P1201" s="1">
        <v>45597</v>
      </c>
      <c r="Q1201" t="str">
        <f t="shared" si="18"/>
        <v>Low Performance</v>
      </c>
      <c r="R1201" s="2">
        <f>Table1_1[[#This Row],[tasks_completed]]/Table1_1[[#This Row],[monthly_hours_worked]]</f>
        <v>5.1380860629415548E-2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720D-F624-4DD5-AF4E-74D8E7A476F7}">
  <sheetPr>
    <tabColor theme="6" tint="0.79998168889431442"/>
  </sheetPr>
  <dimension ref="A6:D18"/>
  <sheetViews>
    <sheetView topLeftCell="A2" workbookViewId="0">
      <selection activeCell="A14" sqref="A14"/>
    </sheetView>
  </sheetViews>
  <sheetFormatPr defaultRowHeight="14.4" x14ac:dyDescent="0.3"/>
  <cols>
    <col min="1" max="1" width="26.21875" bestFit="1" customWidth="1"/>
    <col min="2" max="2" width="23.6640625" bestFit="1" customWidth="1"/>
    <col min="3" max="3" width="21.6640625" bestFit="1" customWidth="1"/>
    <col min="4" max="4" width="22.88671875" bestFit="1" customWidth="1"/>
  </cols>
  <sheetData>
    <row r="6" spans="1:4" x14ac:dyDescent="0.3">
      <c r="A6" s="8" t="s">
        <v>188</v>
      </c>
      <c r="B6" s="8"/>
    </row>
    <row r="7" spans="1:4" x14ac:dyDescent="0.3">
      <c r="A7" s="6" t="s">
        <v>145</v>
      </c>
      <c r="B7" t="s">
        <v>170</v>
      </c>
    </row>
    <row r="8" spans="1:4" x14ac:dyDescent="0.3">
      <c r="A8" t="s">
        <v>167</v>
      </c>
      <c r="B8" s="7">
        <v>0.39</v>
      </c>
    </row>
    <row r="9" spans="1:4" x14ac:dyDescent="0.3">
      <c r="A9" t="s">
        <v>168</v>
      </c>
      <c r="B9" s="7">
        <v>0.23749999999999999</v>
      </c>
    </row>
    <row r="10" spans="1:4" x14ac:dyDescent="0.3">
      <c r="A10" t="s">
        <v>169</v>
      </c>
      <c r="B10" s="7">
        <v>0.3725</v>
      </c>
    </row>
    <row r="11" spans="1:4" x14ac:dyDescent="0.3">
      <c r="A11" t="s">
        <v>153</v>
      </c>
      <c r="B11" s="7">
        <v>1</v>
      </c>
    </row>
    <row r="13" spans="1:4" x14ac:dyDescent="0.3">
      <c r="A13" s="8" t="s">
        <v>152</v>
      </c>
      <c r="B13" s="8"/>
      <c r="C13" s="8"/>
      <c r="D13" s="8"/>
    </row>
    <row r="14" spans="1:4" x14ac:dyDescent="0.3">
      <c r="A14" t="s">
        <v>148</v>
      </c>
      <c r="B14" t="s">
        <v>149</v>
      </c>
      <c r="C14" t="s">
        <v>150</v>
      </c>
      <c r="D14" t="s">
        <v>151</v>
      </c>
    </row>
    <row r="15" spans="1:4" x14ac:dyDescent="0.3">
      <c r="A15" s="3">
        <v>13.638266666666663</v>
      </c>
      <c r="B15" s="3">
        <v>94.647166666666621</v>
      </c>
      <c r="C15" s="5">
        <v>7251</v>
      </c>
      <c r="D15" s="3">
        <v>6.9271666666666674</v>
      </c>
    </row>
    <row r="17" spans="1:4" x14ac:dyDescent="0.3">
      <c r="A17" s="8" t="s">
        <v>192</v>
      </c>
      <c r="B17" s="8"/>
      <c r="C17" s="8"/>
      <c r="D17" s="8"/>
    </row>
    <row r="18" spans="1:4" x14ac:dyDescent="0.3">
      <c r="A18" s="3">
        <f>GETPIVOTDATA("Average of performance_score",$A$14)</f>
        <v>13.638266666666663</v>
      </c>
      <c r="B18" s="3">
        <f>GETPIVOTDATA("Average of attendance_rate",$A$14)</f>
        <v>94.647166666666621</v>
      </c>
      <c r="C18" s="5">
        <f>GETPIVOTDATA("Sum of tasks_completed",$A$14)</f>
        <v>7251</v>
      </c>
      <c r="D18" s="3">
        <f>GETPIVOTDATA("Average of manager_rating",$A$14)</f>
        <v>6.9271666666666674</v>
      </c>
    </row>
  </sheetData>
  <mergeCells count="3">
    <mergeCell ref="A13:D13"/>
    <mergeCell ref="A6:B6"/>
    <mergeCell ref="A17:D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E339-690C-4F2C-9610-2A16418737E8}">
  <sheetPr>
    <tabColor theme="9" tint="-0.249977111117893"/>
  </sheetPr>
  <dimension ref="A2:G16"/>
  <sheetViews>
    <sheetView workbookViewId="0">
      <selection activeCell="I17" sqref="I17"/>
    </sheetView>
  </sheetViews>
  <sheetFormatPr defaultRowHeight="14.4" x14ac:dyDescent="0.3"/>
  <cols>
    <col min="1" max="1" width="10.5546875" bestFit="1" customWidth="1"/>
    <col min="2" max="2" width="21.6640625" bestFit="1" customWidth="1"/>
    <col min="3" max="3" width="23.6640625" bestFit="1" customWidth="1"/>
    <col min="4" max="4" width="22.88671875" bestFit="1" customWidth="1"/>
    <col min="6" max="6" width="13.109375" bestFit="1" customWidth="1"/>
    <col min="7" max="7" width="26.44140625" bestFit="1" customWidth="1"/>
    <col min="8" max="9" width="21.6640625" bestFit="1" customWidth="1"/>
  </cols>
  <sheetData>
    <row r="2" spans="1:7" x14ac:dyDescent="0.3">
      <c r="A2" s="8" t="s">
        <v>155</v>
      </c>
      <c r="B2" s="8"/>
      <c r="F2" s="8" t="s">
        <v>154</v>
      </c>
      <c r="G2" s="8"/>
    </row>
    <row r="3" spans="1:7" x14ac:dyDescent="0.3">
      <c r="A3" s="6" t="s">
        <v>2</v>
      </c>
      <c r="B3" t="s">
        <v>150</v>
      </c>
      <c r="F3" s="6" t="s">
        <v>1</v>
      </c>
      <c r="G3" t="s">
        <v>190</v>
      </c>
    </row>
    <row r="4" spans="1:7" x14ac:dyDescent="0.3">
      <c r="A4" t="s">
        <v>37</v>
      </c>
      <c r="B4" s="5">
        <v>1409</v>
      </c>
      <c r="F4" t="s">
        <v>33</v>
      </c>
      <c r="G4" s="4">
        <v>38376.80000000001</v>
      </c>
    </row>
    <row r="5" spans="1:7" x14ac:dyDescent="0.3">
      <c r="A5" t="s">
        <v>41</v>
      </c>
      <c r="B5" s="5">
        <v>1519</v>
      </c>
      <c r="F5" t="s">
        <v>17</v>
      </c>
      <c r="G5" s="4">
        <v>38721.899999999972</v>
      </c>
    </row>
    <row r="6" spans="1:7" x14ac:dyDescent="0.3">
      <c r="A6" t="s">
        <v>31</v>
      </c>
      <c r="B6" s="5">
        <v>1573</v>
      </c>
      <c r="F6" t="s">
        <v>23</v>
      </c>
      <c r="G6" s="4">
        <v>40327.400000000031</v>
      </c>
    </row>
    <row r="7" spans="1:7" x14ac:dyDescent="0.3">
      <c r="A7" t="s">
        <v>24</v>
      </c>
      <c r="B7" s="5">
        <v>1198</v>
      </c>
      <c r="F7" t="s">
        <v>27</v>
      </c>
      <c r="G7" s="4">
        <v>38404.699999999975</v>
      </c>
    </row>
    <row r="8" spans="1:7" x14ac:dyDescent="0.3">
      <c r="A8" t="s">
        <v>18</v>
      </c>
      <c r="B8" s="5">
        <v>1552</v>
      </c>
      <c r="F8" t="s">
        <v>43</v>
      </c>
      <c r="G8" s="4">
        <v>36354.700000000004</v>
      </c>
    </row>
    <row r="9" spans="1:7" x14ac:dyDescent="0.3">
      <c r="A9" t="s">
        <v>153</v>
      </c>
      <c r="B9" s="5">
        <v>7251</v>
      </c>
      <c r="F9" t="s">
        <v>153</v>
      </c>
      <c r="G9" s="4">
        <v>192185.5</v>
      </c>
    </row>
    <row r="11" spans="1:7" x14ac:dyDescent="0.3">
      <c r="A11" s="8" t="s">
        <v>187</v>
      </c>
      <c r="B11" s="8"/>
    </row>
    <row r="12" spans="1:7" x14ac:dyDescent="0.3">
      <c r="A12" s="6" t="s">
        <v>13</v>
      </c>
      <c r="B12" t="s">
        <v>148</v>
      </c>
    </row>
    <row r="13" spans="1:7" x14ac:dyDescent="0.3">
      <c r="A13" t="s">
        <v>26</v>
      </c>
      <c r="B13" s="3">
        <v>13.822062350119905</v>
      </c>
    </row>
    <row r="14" spans="1:7" x14ac:dyDescent="0.3">
      <c r="A14" t="s">
        <v>21</v>
      </c>
      <c r="B14" s="3">
        <v>13.628880778588792</v>
      </c>
    </row>
    <row r="15" spans="1:7" x14ac:dyDescent="0.3">
      <c r="A15" t="s">
        <v>35</v>
      </c>
      <c r="B15" s="3">
        <v>13.442607526881712</v>
      </c>
    </row>
    <row r="16" spans="1:7" x14ac:dyDescent="0.3">
      <c r="A16" t="s">
        <v>153</v>
      </c>
      <c r="B16" s="3">
        <v>13.638266666666661</v>
      </c>
    </row>
  </sheetData>
  <mergeCells count="3">
    <mergeCell ref="A2:B2"/>
    <mergeCell ref="F2:G2"/>
    <mergeCell ref="A11:B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B941-8CC8-47C9-B540-1700690503B8}">
  <sheetPr>
    <tabColor theme="9" tint="0.59999389629810485"/>
  </sheetPr>
  <dimension ref="A2:G15"/>
  <sheetViews>
    <sheetView workbookViewId="0">
      <selection activeCell="F3" sqref="F3"/>
    </sheetView>
  </sheetViews>
  <sheetFormatPr defaultRowHeight="14.4" x14ac:dyDescent="0.3"/>
  <cols>
    <col min="1" max="1" width="16.33203125" bestFit="1" customWidth="1"/>
    <col min="2" max="2" width="23.33203125" bestFit="1" customWidth="1"/>
    <col min="3" max="3" width="23.6640625" bestFit="1" customWidth="1"/>
    <col min="6" max="6" width="13.88671875" bestFit="1" customWidth="1"/>
    <col min="7" max="8" width="21.6640625" bestFit="1" customWidth="1"/>
  </cols>
  <sheetData>
    <row r="2" spans="1:7" x14ac:dyDescent="0.3">
      <c r="A2" s="8" t="s">
        <v>166</v>
      </c>
      <c r="B2" s="8"/>
      <c r="F2" s="8" t="s">
        <v>191</v>
      </c>
      <c r="G2" s="8"/>
    </row>
    <row r="3" spans="1:7" x14ac:dyDescent="0.3">
      <c r="A3" s="6" t="s">
        <v>189</v>
      </c>
      <c r="B3" t="s">
        <v>147</v>
      </c>
      <c r="F3" s="6" t="s">
        <v>0</v>
      </c>
      <c r="G3" t="s">
        <v>150</v>
      </c>
    </row>
    <row r="4" spans="1:7" x14ac:dyDescent="0.3">
      <c r="A4" t="s">
        <v>156</v>
      </c>
      <c r="B4" s="4">
        <v>2749.4700000000003</v>
      </c>
      <c r="F4" t="s">
        <v>139</v>
      </c>
      <c r="G4" s="9">
        <v>84</v>
      </c>
    </row>
    <row r="5" spans="1:7" x14ac:dyDescent="0.3">
      <c r="A5" t="s">
        <v>157</v>
      </c>
      <c r="B5" s="4">
        <v>2741.6600000000026</v>
      </c>
      <c r="F5" t="s">
        <v>138</v>
      </c>
      <c r="G5" s="9">
        <v>89</v>
      </c>
    </row>
    <row r="6" spans="1:7" x14ac:dyDescent="0.3">
      <c r="A6" t="s">
        <v>158</v>
      </c>
      <c r="B6" s="4">
        <v>1334.6800000000003</v>
      </c>
      <c r="F6" t="s">
        <v>130</v>
      </c>
      <c r="G6" s="9">
        <v>83</v>
      </c>
    </row>
    <row r="7" spans="1:7" x14ac:dyDescent="0.3">
      <c r="A7" t="s">
        <v>159</v>
      </c>
      <c r="B7" s="4">
        <v>1293.8199999999995</v>
      </c>
      <c r="F7" t="s">
        <v>122</v>
      </c>
      <c r="G7" s="9">
        <v>86</v>
      </c>
    </row>
    <row r="8" spans="1:7" x14ac:dyDescent="0.3">
      <c r="A8" t="s">
        <v>160</v>
      </c>
      <c r="B8" s="4">
        <v>1416.2499999999995</v>
      </c>
      <c r="F8" t="s">
        <v>119</v>
      </c>
      <c r="G8" s="9">
        <v>87</v>
      </c>
    </row>
    <row r="9" spans="1:7" x14ac:dyDescent="0.3">
      <c r="A9" t="s">
        <v>161</v>
      </c>
      <c r="B9" s="4">
        <v>1357.98</v>
      </c>
      <c r="F9" t="s">
        <v>106</v>
      </c>
      <c r="G9" s="9">
        <v>95</v>
      </c>
    </row>
    <row r="10" spans="1:7" x14ac:dyDescent="0.3">
      <c r="A10" t="s">
        <v>162</v>
      </c>
      <c r="B10" s="4">
        <v>1419.2399999999998</v>
      </c>
      <c r="F10" t="s">
        <v>95</v>
      </c>
      <c r="G10" s="9">
        <v>88</v>
      </c>
    </row>
    <row r="11" spans="1:7" x14ac:dyDescent="0.3">
      <c r="A11" t="s">
        <v>163</v>
      </c>
      <c r="B11" s="4">
        <v>1330.4600000000005</v>
      </c>
      <c r="F11" t="s">
        <v>91</v>
      </c>
      <c r="G11" s="9">
        <v>89</v>
      </c>
    </row>
    <row r="12" spans="1:7" x14ac:dyDescent="0.3">
      <c r="A12" t="s">
        <v>164</v>
      </c>
      <c r="B12" s="4">
        <v>1410.1900000000007</v>
      </c>
      <c r="F12" t="s">
        <v>63</v>
      </c>
      <c r="G12" s="9">
        <v>90</v>
      </c>
    </row>
    <row r="13" spans="1:7" x14ac:dyDescent="0.3">
      <c r="A13" t="s">
        <v>165</v>
      </c>
      <c r="B13" s="4">
        <v>1312.17</v>
      </c>
      <c r="F13" t="s">
        <v>58</v>
      </c>
      <c r="G13" s="9">
        <v>88</v>
      </c>
    </row>
    <row r="14" spans="1:7" x14ac:dyDescent="0.3">
      <c r="A14" t="s">
        <v>153</v>
      </c>
      <c r="B14" s="4">
        <v>16365.920000000004</v>
      </c>
      <c r="F14" t="s">
        <v>55</v>
      </c>
      <c r="G14" s="9">
        <v>83</v>
      </c>
    </row>
    <row r="15" spans="1:7" x14ac:dyDescent="0.3">
      <c r="F15" t="s">
        <v>153</v>
      </c>
      <c r="G15" s="9">
        <v>962</v>
      </c>
    </row>
  </sheetData>
  <mergeCells count="2">
    <mergeCell ref="F2:G2"/>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8FBD-7FC6-4926-9DC5-2DF03B17D90B}">
  <sheetPr>
    <tabColor theme="9" tint="-0.499984740745262"/>
  </sheetPr>
  <dimension ref="A2:I17"/>
  <sheetViews>
    <sheetView zoomScale="115" zoomScaleNormal="115" workbookViewId="0">
      <selection activeCell="I24" sqref="I24"/>
    </sheetView>
  </sheetViews>
  <sheetFormatPr defaultRowHeight="14.4" x14ac:dyDescent="0.3"/>
  <cols>
    <col min="1" max="1" width="22" bestFit="1" customWidth="1"/>
    <col min="2" max="2" width="19.44140625" bestFit="1" customWidth="1"/>
    <col min="4" max="4" width="14.88671875" bestFit="1" customWidth="1"/>
    <col min="5" max="5" width="26.88671875" bestFit="1" customWidth="1"/>
    <col min="7" max="7" width="23.33203125" bestFit="1" customWidth="1"/>
    <col min="8" max="8" width="26.88671875" bestFit="1" customWidth="1"/>
    <col min="9" max="9" width="19.44140625" bestFit="1" customWidth="1"/>
  </cols>
  <sheetData>
    <row r="2" spans="1:9" x14ac:dyDescent="0.3">
      <c r="A2" s="8" t="s">
        <v>171</v>
      </c>
      <c r="B2" s="8"/>
      <c r="D2" s="8" t="s">
        <v>173</v>
      </c>
      <c r="E2" s="8"/>
      <c r="G2" s="8" t="s">
        <v>186</v>
      </c>
      <c r="H2" s="8"/>
      <c r="I2" s="8"/>
    </row>
    <row r="3" spans="1:9" x14ac:dyDescent="0.3">
      <c r="A3" s="6" t="s">
        <v>145</v>
      </c>
      <c r="B3" t="s">
        <v>170</v>
      </c>
      <c r="D3" s="6" t="s">
        <v>7</v>
      </c>
      <c r="E3" t="s">
        <v>148</v>
      </c>
      <c r="G3" s="6" t="s">
        <v>11</v>
      </c>
      <c r="H3" t="s">
        <v>148</v>
      </c>
      <c r="I3" t="s">
        <v>170</v>
      </c>
    </row>
    <row r="4" spans="1:9" x14ac:dyDescent="0.3">
      <c r="A4" t="s">
        <v>167</v>
      </c>
      <c r="B4" s="5">
        <v>468</v>
      </c>
      <c r="D4" t="s">
        <v>172</v>
      </c>
      <c r="E4" s="3">
        <v>13.625833333333333</v>
      </c>
      <c r="G4">
        <v>0</v>
      </c>
      <c r="H4" s="3">
        <v>13.940391644908614</v>
      </c>
      <c r="I4" s="5">
        <v>766</v>
      </c>
    </row>
    <row r="5" spans="1:9" x14ac:dyDescent="0.3">
      <c r="A5" t="s">
        <v>168</v>
      </c>
      <c r="B5" s="5">
        <v>285</v>
      </c>
      <c r="D5" t="s">
        <v>174</v>
      </c>
      <c r="E5" s="3">
        <v>12.909999999999998</v>
      </c>
      <c r="G5">
        <v>1</v>
      </c>
      <c r="H5" s="3">
        <v>13.01221052631578</v>
      </c>
      <c r="I5" s="5">
        <v>380</v>
      </c>
    </row>
    <row r="6" spans="1:9" x14ac:dyDescent="0.3">
      <c r="A6" t="s">
        <v>169</v>
      </c>
      <c r="B6" s="5">
        <v>447</v>
      </c>
      <c r="D6" t="s">
        <v>175</v>
      </c>
      <c r="E6" s="3">
        <v>12.61340425531915</v>
      </c>
      <c r="G6">
        <v>2</v>
      </c>
      <c r="H6" s="3">
        <v>13.75814814814815</v>
      </c>
      <c r="I6" s="5">
        <v>54</v>
      </c>
    </row>
    <row r="7" spans="1:9" x14ac:dyDescent="0.3">
      <c r="A7" t="s">
        <v>153</v>
      </c>
      <c r="B7" s="5">
        <v>1200</v>
      </c>
      <c r="D7" t="s">
        <v>176</v>
      </c>
      <c r="E7" s="3">
        <v>13.878500000000003</v>
      </c>
      <c r="G7" t="s">
        <v>153</v>
      </c>
      <c r="H7" s="3">
        <v>13.63826666666667</v>
      </c>
      <c r="I7" s="5">
        <v>1200</v>
      </c>
    </row>
    <row r="8" spans="1:9" x14ac:dyDescent="0.3">
      <c r="D8" t="s">
        <v>177</v>
      </c>
      <c r="E8" s="3">
        <v>13.038000000000007</v>
      </c>
    </row>
    <row r="9" spans="1:9" x14ac:dyDescent="0.3">
      <c r="D9" t="s">
        <v>178</v>
      </c>
      <c r="E9" s="3">
        <v>13.671141552511427</v>
      </c>
    </row>
    <row r="10" spans="1:9" x14ac:dyDescent="0.3">
      <c r="D10" t="s">
        <v>179</v>
      </c>
      <c r="E10" s="3">
        <v>13.816531531531538</v>
      </c>
    </row>
    <row r="11" spans="1:9" x14ac:dyDescent="0.3">
      <c r="D11" t="s">
        <v>180</v>
      </c>
      <c r="E11" s="3">
        <v>13.628465909090918</v>
      </c>
    </row>
    <row r="12" spans="1:9" x14ac:dyDescent="0.3">
      <c r="D12" t="s">
        <v>181</v>
      </c>
      <c r="E12" s="3">
        <v>14.132020202020207</v>
      </c>
    </row>
    <row r="13" spans="1:9" x14ac:dyDescent="0.3">
      <c r="D13" t="s">
        <v>182</v>
      </c>
      <c r="E13" s="3">
        <v>13.813333333333331</v>
      </c>
    </row>
    <row r="14" spans="1:9" x14ac:dyDescent="0.3">
      <c r="D14" t="s">
        <v>183</v>
      </c>
      <c r="E14" s="3">
        <v>14.479000000000003</v>
      </c>
    </row>
    <row r="15" spans="1:9" x14ac:dyDescent="0.3">
      <c r="D15" t="s">
        <v>184</v>
      </c>
      <c r="E15" s="3">
        <v>14.65</v>
      </c>
    </row>
    <row r="16" spans="1:9" x14ac:dyDescent="0.3">
      <c r="D16" t="s">
        <v>185</v>
      </c>
      <c r="E16" s="3">
        <v>13.48</v>
      </c>
    </row>
    <row r="17" spans="4:5" x14ac:dyDescent="0.3">
      <c r="D17" t="s">
        <v>153</v>
      </c>
      <c r="E17" s="3">
        <v>13.638266666666661</v>
      </c>
    </row>
  </sheetData>
  <mergeCells count="3">
    <mergeCell ref="A2:B2"/>
    <mergeCell ref="D2:E2"/>
    <mergeCell ref="G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2896-F1CA-43CD-B647-DF14B011C1F7}">
  <sheetPr>
    <tabColor theme="9" tint="0.39997558519241921"/>
  </sheetPr>
  <dimension ref="A1"/>
  <sheetViews>
    <sheetView showGridLines="0" tabSelected="1" zoomScale="85" zoomScaleNormal="85" workbookViewId="0">
      <selection activeCell="A19" sqref="A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C2C9B-64B9-4DDE-A659-9A7FF9004923}">
  <dimension ref="A1:P1201"/>
  <sheetViews>
    <sheetView workbookViewId="0"/>
  </sheetViews>
  <sheetFormatPr defaultRowHeight="14.4" x14ac:dyDescent="0.3"/>
  <cols>
    <col min="1" max="1" width="13.5546875" customWidth="1"/>
    <col min="2" max="2" width="12.77734375" customWidth="1"/>
    <col min="3" max="3" width="9.5546875" customWidth="1"/>
    <col min="4" max="4" width="16" customWidth="1"/>
    <col min="5" max="5" width="18.21875" customWidth="1"/>
    <col min="6" max="6" width="21.88671875" customWidth="1"/>
    <col min="7" max="7" width="16.44140625" customWidth="1"/>
    <col min="8" max="8" width="14.5546875" customWidth="1"/>
    <col min="9" max="9" width="17.21875" customWidth="1"/>
    <col min="10" max="10" width="18.21875" customWidth="1"/>
    <col min="11" max="11" width="15.6640625" customWidth="1"/>
    <col min="12" max="12" width="22.5546875" customWidth="1"/>
    <col min="13" max="13" width="12.88671875" customWidth="1"/>
    <col min="14" max="14" width="14.44140625" customWidth="1"/>
    <col min="15" max="15" width="18.8867187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v>7</v>
      </c>
      <c r="F2">
        <v>154.5</v>
      </c>
      <c r="G2">
        <v>97.6</v>
      </c>
      <c r="H2">
        <v>5.9</v>
      </c>
      <c r="I2">
        <v>4</v>
      </c>
      <c r="J2">
        <v>9.5500000000000007</v>
      </c>
      <c r="K2">
        <v>6.03</v>
      </c>
      <c r="L2">
        <v>1</v>
      </c>
      <c r="M2" t="s">
        <v>20</v>
      </c>
      <c r="N2" t="s">
        <v>21</v>
      </c>
      <c r="O2">
        <v>14.66</v>
      </c>
      <c r="P2" t="s">
        <v>22</v>
      </c>
    </row>
    <row r="3" spans="1:16" x14ac:dyDescent="0.3">
      <c r="A3" t="s">
        <v>16</v>
      </c>
      <c r="B3" t="s">
        <v>23</v>
      </c>
      <c r="C3" t="s">
        <v>24</v>
      </c>
      <c r="D3" t="s">
        <v>19</v>
      </c>
      <c r="E3">
        <v>6</v>
      </c>
      <c r="F3">
        <v>174.6</v>
      </c>
      <c r="G3">
        <v>100</v>
      </c>
      <c r="H3">
        <v>0.1</v>
      </c>
      <c r="I3">
        <v>3</v>
      </c>
      <c r="J3">
        <v>8.41</v>
      </c>
      <c r="K3">
        <v>4.05</v>
      </c>
      <c r="L3">
        <v>2</v>
      </c>
      <c r="M3" t="s">
        <v>25</v>
      </c>
      <c r="N3" t="s">
        <v>26</v>
      </c>
      <c r="O3">
        <v>20.21</v>
      </c>
      <c r="P3" t="s">
        <v>22</v>
      </c>
    </row>
    <row r="4" spans="1:16" x14ac:dyDescent="0.3">
      <c r="A4" t="s">
        <v>16</v>
      </c>
      <c r="B4" t="s">
        <v>27</v>
      </c>
      <c r="C4" t="s">
        <v>18</v>
      </c>
      <c r="D4" t="s">
        <v>19</v>
      </c>
      <c r="E4">
        <v>9</v>
      </c>
      <c r="F4">
        <v>161.19999999999999</v>
      </c>
      <c r="G4">
        <v>92.4</v>
      </c>
      <c r="H4">
        <v>3.8</v>
      </c>
      <c r="I4">
        <v>4</v>
      </c>
      <c r="J4">
        <v>8.92</v>
      </c>
      <c r="K4">
        <v>8.65</v>
      </c>
      <c r="L4">
        <v>0</v>
      </c>
      <c r="M4" t="s">
        <v>20</v>
      </c>
      <c r="N4" t="s">
        <v>21</v>
      </c>
      <c r="O4">
        <v>7.4</v>
      </c>
      <c r="P4" t="s">
        <v>28</v>
      </c>
    </row>
    <row r="5" spans="1:16" x14ac:dyDescent="0.3">
      <c r="A5" t="s">
        <v>16</v>
      </c>
      <c r="B5" t="s">
        <v>17</v>
      </c>
      <c r="C5" t="s">
        <v>18</v>
      </c>
      <c r="D5" t="s">
        <v>29</v>
      </c>
      <c r="E5">
        <v>6</v>
      </c>
      <c r="F5">
        <v>163.19999999999999</v>
      </c>
      <c r="G5">
        <v>88</v>
      </c>
      <c r="H5">
        <v>0.6</v>
      </c>
      <c r="I5">
        <v>12</v>
      </c>
      <c r="J5">
        <v>5.93</v>
      </c>
      <c r="K5">
        <v>5.31</v>
      </c>
      <c r="L5">
        <v>0</v>
      </c>
      <c r="M5" t="s">
        <v>25</v>
      </c>
      <c r="N5" t="s">
        <v>26</v>
      </c>
      <c r="O5">
        <v>10.69</v>
      </c>
      <c r="P5" t="s">
        <v>28</v>
      </c>
    </row>
    <row r="6" spans="1:16" x14ac:dyDescent="0.3">
      <c r="A6" t="s">
        <v>16</v>
      </c>
      <c r="B6" t="s">
        <v>27</v>
      </c>
      <c r="C6" t="s">
        <v>18</v>
      </c>
      <c r="D6" t="s">
        <v>19</v>
      </c>
      <c r="E6">
        <v>9</v>
      </c>
      <c r="F6">
        <v>153.19999999999999</v>
      </c>
      <c r="G6">
        <v>98.1</v>
      </c>
      <c r="I6">
        <v>3</v>
      </c>
      <c r="J6">
        <v>8.9</v>
      </c>
      <c r="K6">
        <v>7.66</v>
      </c>
      <c r="L6">
        <v>0</v>
      </c>
      <c r="M6" t="s">
        <v>25</v>
      </c>
      <c r="N6" t="s">
        <v>26</v>
      </c>
      <c r="O6">
        <v>18.920000000000002</v>
      </c>
      <c r="P6" t="s">
        <v>30</v>
      </c>
    </row>
    <row r="7" spans="1:16" x14ac:dyDescent="0.3">
      <c r="A7" t="s">
        <v>16</v>
      </c>
      <c r="B7" t="s">
        <v>27</v>
      </c>
      <c r="C7" t="s">
        <v>31</v>
      </c>
      <c r="D7" t="s">
        <v>29</v>
      </c>
      <c r="E7">
        <v>7</v>
      </c>
      <c r="F7">
        <v>148.9</v>
      </c>
      <c r="G7">
        <v>89</v>
      </c>
      <c r="H7">
        <v>6.6</v>
      </c>
      <c r="I7">
        <v>9</v>
      </c>
      <c r="J7">
        <v>9.5299999999999994</v>
      </c>
      <c r="K7">
        <v>7.17</v>
      </c>
      <c r="L7">
        <v>0</v>
      </c>
      <c r="M7" t="s">
        <v>20</v>
      </c>
      <c r="N7" t="s">
        <v>26</v>
      </c>
      <c r="O7">
        <v>12.73</v>
      </c>
      <c r="P7" t="s">
        <v>32</v>
      </c>
    </row>
    <row r="8" spans="1:16" x14ac:dyDescent="0.3">
      <c r="A8" t="s">
        <v>16</v>
      </c>
      <c r="B8" t="s">
        <v>33</v>
      </c>
      <c r="C8" t="s">
        <v>18</v>
      </c>
      <c r="D8" t="s">
        <v>29</v>
      </c>
      <c r="E8">
        <v>4</v>
      </c>
      <c r="F8">
        <v>157.80000000000001</v>
      </c>
      <c r="G8">
        <v>96.8</v>
      </c>
      <c r="H8">
        <v>8</v>
      </c>
      <c r="I8">
        <v>3</v>
      </c>
      <c r="J8">
        <v>6.72</v>
      </c>
      <c r="K8">
        <v>8.83</v>
      </c>
      <c r="L8">
        <v>1</v>
      </c>
      <c r="M8" t="s">
        <v>34</v>
      </c>
      <c r="N8" t="s">
        <v>35</v>
      </c>
      <c r="O8">
        <v>15.25</v>
      </c>
      <c r="P8" t="s">
        <v>36</v>
      </c>
    </row>
    <row r="9" spans="1:16" x14ac:dyDescent="0.3">
      <c r="A9" t="s">
        <v>16</v>
      </c>
      <c r="B9" t="s">
        <v>33</v>
      </c>
      <c r="C9" t="s">
        <v>37</v>
      </c>
      <c r="D9" t="s">
        <v>29</v>
      </c>
      <c r="E9">
        <v>4</v>
      </c>
      <c r="F9">
        <v>161</v>
      </c>
      <c r="G9">
        <v>99.8</v>
      </c>
      <c r="H9">
        <v>3.6</v>
      </c>
      <c r="I9">
        <v>4</v>
      </c>
      <c r="J9">
        <v>7.01</v>
      </c>
      <c r="K9">
        <v>1.69</v>
      </c>
      <c r="L9">
        <v>0</v>
      </c>
      <c r="M9" t="s">
        <v>25</v>
      </c>
      <c r="N9" t="s">
        <v>35</v>
      </c>
      <c r="O9">
        <v>14.38</v>
      </c>
      <c r="P9" t="s">
        <v>38</v>
      </c>
    </row>
    <row r="10" spans="1:16" x14ac:dyDescent="0.3">
      <c r="A10" t="s">
        <v>16</v>
      </c>
      <c r="B10" t="s">
        <v>17</v>
      </c>
      <c r="C10" t="s">
        <v>18</v>
      </c>
      <c r="D10" t="s">
        <v>39</v>
      </c>
      <c r="E10">
        <v>3</v>
      </c>
      <c r="F10">
        <v>150.9</v>
      </c>
      <c r="G10">
        <v>90.9</v>
      </c>
      <c r="H10">
        <v>4</v>
      </c>
      <c r="I10">
        <v>4</v>
      </c>
      <c r="J10">
        <v>6.65</v>
      </c>
      <c r="K10">
        <v>9.17</v>
      </c>
      <c r="L10">
        <v>0</v>
      </c>
      <c r="M10" t="s">
        <v>25</v>
      </c>
      <c r="N10" t="s">
        <v>35</v>
      </c>
      <c r="O10">
        <v>17.84</v>
      </c>
      <c r="P10" t="s">
        <v>40</v>
      </c>
    </row>
    <row r="11" spans="1:16" x14ac:dyDescent="0.3">
      <c r="A11" t="s">
        <v>16</v>
      </c>
      <c r="B11" t="s">
        <v>33</v>
      </c>
      <c r="C11" t="s">
        <v>41</v>
      </c>
      <c r="D11" t="s">
        <v>39</v>
      </c>
      <c r="E11">
        <v>8</v>
      </c>
      <c r="F11">
        <v>161</v>
      </c>
      <c r="G11">
        <v>92.8</v>
      </c>
      <c r="H11">
        <v>3.7</v>
      </c>
      <c r="I11">
        <v>6</v>
      </c>
      <c r="J11">
        <v>7.51</v>
      </c>
      <c r="K11">
        <v>9.2899999999999991</v>
      </c>
      <c r="L11">
        <v>0</v>
      </c>
      <c r="M11" t="s">
        <v>25</v>
      </c>
      <c r="N11" t="s">
        <v>26</v>
      </c>
      <c r="O11">
        <v>17.53</v>
      </c>
      <c r="P11" t="s">
        <v>42</v>
      </c>
    </row>
    <row r="12" spans="1:16" x14ac:dyDescent="0.3">
      <c r="A12" t="s">
        <v>16</v>
      </c>
      <c r="B12" t="s">
        <v>43</v>
      </c>
      <c r="C12" t="s">
        <v>41</v>
      </c>
      <c r="D12" t="s">
        <v>29</v>
      </c>
      <c r="E12">
        <v>6</v>
      </c>
      <c r="F12">
        <v>174</v>
      </c>
      <c r="G12">
        <v>88</v>
      </c>
      <c r="H12">
        <v>6.2</v>
      </c>
      <c r="I12">
        <v>4</v>
      </c>
      <c r="J12">
        <v>10</v>
      </c>
      <c r="K12">
        <v>10</v>
      </c>
      <c r="L12">
        <v>0</v>
      </c>
      <c r="M12" t="s">
        <v>20</v>
      </c>
      <c r="N12" t="s">
        <v>21</v>
      </c>
      <c r="O12">
        <v>17.88</v>
      </c>
      <c r="P12" t="s">
        <v>44</v>
      </c>
    </row>
    <row r="13" spans="1:16" x14ac:dyDescent="0.3">
      <c r="A13" t="s">
        <v>16</v>
      </c>
      <c r="B13" t="s">
        <v>27</v>
      </c>
      <c r="C13" t="s">
        <v>37</v>
      </c>
      <c r="D13" t="s">
        <v>19</v>
      </c>
      <c r="E13">
        <v>3</v>
      </c>
      <c r="F13">
        <v>154.6</v>
      </c>
      <c r="G13">
        <v>100</v>
      </c>
      <c r="H13">
        <v>5.9</v>
      </c>
      <c r="I13">
        <v>7</v>
      </c>
      <c r="J13">
        <v>3.8</v>
      </c>
      <c r="K13">
        <v>7.03</v>
      </c>
      <c r="L13">
        <v>0</v>
      </c>
      <c r="M13" t="s">
        <v>34</v>
      </c>
      <c r="N13" t="s">
        <v>35</v>
      </c>
      <c r="O13">
        <v>15.65</v>
      </c>
      <c r="P13" t="s">
        <v>45</v>
      </c>
    </row>
    <row r="14" spans="1:16" x14ac:dyDescent="0.3">
      <c r="A14" t="s">
        <v>46</v>
      </c>
      <c r="B14" t="s">
        <v>27</v>
      </c>
      <c r="C14" t="s">
        <v>24</v>
      </c>
      <c r="D14" t="s">
        <v>19</v>
      </c>
      <c r="E14">
        <v>1</v>
      </c>
      <c r="F14">
        <v>162.6</v>
      </c>
      <c r="G14">
        <v>98.9</v>
      </c>
      <c r="H14">
        <v>2.5</v>
      </c>
      <c r="I14">
        <v>8</v>
      </c>
      <c r="J14">
        <v>5.52</v>
      </c>
      <c r="K14">
        <v>7.35</v>
      </c>
      <c r="L14">
        <v>1</v>
      </c>
      <c r="M14" t="s">
        <v>25</v>
      </c>
      <c r="N14" t="s">
        <v>21</v>
      </c>
      <c r="O14">
        <v>7.64</v>
      </c>
      <c r="P14" t="s">
        <v>22</v>
      </c>
    </row>
    <row r="15" spans="1:16" x14ac:dyDescent="0.3">
      <c r="A15" t="s">
        <v>46</v>
      </c>
      <c r="B15" t="s">
        <v>23</v>
      </c>
      <c r="C15" t="s">
        <v>37</v>
      </c>
      <c r="D15" t="s">
        <v>29</v>
      </c>
      <c r="E15">
        <v>9</v>
      </c>
      <c r="F15">
        <v>146.69999999999999</v>
      </c>
      <c r="G15">
        <v>94.9</v>
      </c>
      <c r="H15">
        <v>7.7</v>
      </c>
      <c r="I15">
        <v>10</v>
      </c>
      <c r="J15">
        <v>6.4</v>
      </c>
      <c r="K15">
        <v>9.6</v>
      </c>
      <c r="L15">
        <v>1</v>
      </c>
      <c r="M15" t="s">
        <v>25</v>
      </c>
      <c r="N15" t="s">
        <v>21</v>
      </c>
      <c r="O15">
        <v>8.39</v>
      </c>
      <c r="P15" t="s">
        <v>22</v>
      </c>
    </row>
    <row r="16" spans="1:16" x14ac:dyDescent="0.3">
      <c r="A16" t="s">
        <v>46</v>
      </c>
      <c r="B16" t="s">
        <v>43</v>
      </c>
      <c r="C16" t="s">
        <v>37</v>
      </c>
      <c r="D16" t="s">
        <v>39</v>
      </c>
      <c r="E16">
        <v>1</v>
      </c>
      <c r="F16">
        <v>166.3</v>
      </c>
      <c r="G16">
        <v>90.7</v>
      </c>
      <c r="H16">
        <v>2.9</v>
      </c>
      <c r="I16">
        <v>6</v>
      </c>
      <c r="J16">
        <v>8.2200000000000006</v>
      </c>
      <c r="K16">
        <v>6.1</v>
      </c>
      <c r="L16">
        <v>0</v>
      </c>
      <c r="M16" t="s">
        <v>34</v>
      </c>
      <c r="N16" t="s">
        <v>35</v>
      </c>
      <c r="O16">
        <v>16.64</v>
      </c>
      <c r="P16" t="s">
        <v>28</v>
      </c>
    </row>
    <row r="17" spans="1:16" x14ac:dyDescent="0.3">
      <c r="A17" t="s">
        <v>46</v>
      </c>
      <c r="B17" t="s">
        <v>23</v>
      </c>
      <c r="C17" t="s">
        <v>37</v>
      </c>
      <c r="D17" t="s">
        <v>39</v>
      </c>
      <c r="E17">
        <v>7</v>
      </c>
      <c r="F17">
        <v>158.9</v>
      </c>
      <c r="G17">
        <v>86.3</v>
      </c>
      <c r="H17">
        <v>2.2999999999999998</v>
      </c>
      <c r="I17">
        <v>6</v>
      </c>
      <c r="J17">
        <v>5.07</v>
      </c>
      <c r="K17">
        <v>4.95</v>
      </c>
      <c r="L17">
        <v>1</v>
      </c>
      <c r="M17" t="s">
        <v>25</v>
      </c>
      <c r="N17" t="s">
        <v>26</v>
      </c>
      <c r="O17">
        <v>5.99</v>
      </c>
      <c r="P17" t="s">
        <v>28</v>
      </c>
    </row>
    <row r="18" spans="1:16" x14ac:dyDescent="0.3">
      <c r="A18" t="s">
        <v>46</v>
      </c>
      <c r="B18" t="s">
        <v>33</v>
      </c>
      <c r="C18" t="s">
        <v>18</v>
      </c>
      <c r="D18" t="s">
        <v>19</v>
      </c>
      <c r="E18">
        <v>9</v>
      </c>
      <c r="F18">
        <v>150.4</v>
      </c>
      <c r="G18">
        <v>100</v>
      </c>
      <c r="H18">
        <v>6.8</v>
      </c>
      <c r="I18">
        <v>12</v>
      </c>
      <c r="J18">
        <v>6.59</v>
      </c>
      <c r="K18">
        <v>6.03</v>
      </c>
      <c r="L18">
        <v>0</v>
      </c>
      <c r="M18" t="s">
        <v>34</v>
      </c>
      <c r="N18" t="s">
        <v>21</v>
      </c>
      <c r="O18">
        <v>15.83</v>
      </c>
      <c r="P18" t="s">
        <v>30</v>
      </c>
    </row>
    <row r="19" spans="1:16" x14ac:dyDescent="0.3">
      <c r="A19" t="s">
        <v>46</v>
      </c>
      <c r="B19" t="s">
        <v>27</v>
      </c>
      <c r="C19" t="s">
        <v>24</v>
      </c>
      <c r="D19" t="s">
        <v>29</v>
      </c>
      <c r="E19">
        <v>6</v>
      </c>
      <c r="F19">
        <v>155.9</v>
      </c>
      <c r="G19">
        <v>95.4</v>
      </c>
      <c r="H19">
        <v>3.2</v>
      </c>
      <c r="I19">
        <v>5</v>
      </c>
      <c r="J19">
        <v>7</v>
      </c>
      <c r="K19">
        <v>10</v>
      </c>
      <c r="L19">
        <v>0</v>
      </c>
      <c r="M19" t="s">
        <v>20</v>
      </c>
      <c r="N19" t="s">
        <v>35</v>
      </c>
      <c r="O19">
        <v>22.93</v>
      </c>
      <c r="P19" t="s">
        <v>32</v>
      </c>
    </row>
    <row r="20" spans="1:16" x14ac:dyDescent="0.3">
      <c r="A20" t="s">
        <v>46</v>
      </c>
      <c r="B20" t="s">
        <v>33</v>
      </c>
      <c r="C20" t="s">
        <v>41</v>
      </c>
      <c r="D20" t="s">
        <v>29</v>
      </c>
      <c r="E20">
        <v>4</v>
      </c>
      <c r="F20">
        <v>146.9</v>
      </c>
      <c r="G20">
        <v>85</v>
      </c>
      <c r="H20">
        <v>3.3</v>
      </c>
      <c r="I20">
        <v>4</v>
      </c>
      <c r="J20">
        <v>8.76</v>
      </c>
      <c r="K20">
        <v>6.77</v>
      </c>
      <c r="L20">
        <v>0</v>
      </c>
      <c r="M20" t="s">
        <v>34</v>
      </c>
      <c r="N20" t="s">
        <v>35</v>
      </c>
      <c r="O20">
        <v>16.32</v>
      </c>
      <c r="P20" t="s">
        <v>36</v>
      </c>
    </row>
    <row r="21" spans="1:16" x14ac:dyDescent="0.3">
      <c r="A21" t="s">
        <v>46</v>
      </c>
      <c r="B21" t="s">
        <v>17</v>
      </c>
      <c r="C21" t="s">
        <v>24</v>
      </c>
      <c r="D21" t="s">
        <v>29</v>
      </c>
      <c r="E21">
        <v>6</v>
      </c>
      <c r="F21">
        <v>169.5</v>
      </c>
      <c r="G21">
        <v>100</v>
      </c>
      <c r="I21">
        <v>5</v>
      </c>
      <c r="J21">
        <v>9.98</v>
      </c>
      <c r="K21">
        <v>6.53</v>
      </c>
      <c r="L21">
        <v>0</v>
      </c>
      <c r="M21" t="s">
        <v>20</v>
      </c>
      <c r="N21" t="s">
        <v>35</v>
      </c>
      <c r="O21">
        <v>23.71</v>
      </c>
      <c r="P21" t="s">
        <v>38</v>
      </c>
    </row>
    <row r="22" spans="1:16" x14ac:dyDescent="0.3">
      <c r="A22" t="s">
        <v>46</v>
      </c>
      <c r="B22" t="s">
        <v>33</v>
      </c>
      <c r="C22" t="s">
        <v>18</v>
      </c>
      <c r="D22" t="s">
        <v>29</v>
      </c>
      <c r="E22">
        <v>5</v>
      </c>
      <c r="F22">
        <v>147.1</v>
      </c>
      <c r="G22">
        <v>94.5</v>
      </c>
      <c r="H22">
        <v>1</v>
      </c>
      <c r="I22">
        <v>5</v>
      </c>
      <c r="J22">
        <v>5.55</v>
      </c>
      <c r="K22">
        <v>7.81</v>
      </c>
      <c r="L22">
        <v>0</v>
      </c>
      <c r="M22" t="s">
        <v>34</v>
      </c>
      <c r="N22" t="s">
        <v>26</v>
      </c>
      <c r="O22">
        <v>17.350000000000001</v>
      </c>
      <c r="P22" t="s">
        <v>40</v>
      </c>
    </row>
    <row r="23" spans="1:16" x14ac:dyDescent="0.3">
      <c r="A23" t="s">
        <v>46</v>
      </c>
      <c r="B23" t="s">
        <v>33</v>
      </c>
      <c r="C23" t="s">
        <v>24</v>
      </c>
      <c r="D23" t="s">
        <v>19</v>
      </c>
      <c r="E23">
        <v>8</v>
      </c>
      <c r="F23">
        <v>163.4</v>
      </c>
      <c r="G23">
        <v>99.6</v>
      </c>
      <c r="H23">
        <v>6.2</v>
      </c>
      <c r="I23">
        <v>8</v>
      </c>
      <c r="J23">
        <v>9.0500000000000007</v>
      </c>
      <c r="K23">
        <v>5.91</v>
      </c>
      <c r="L23">
        <v>0</v>
      </c>
      <c r="M23" t="s">
        <v>20</v>
      </c>
      <c r="N23" t="s">
        <v>35</v>
      </c>
      <c r="O23">
        <v>8.49</v>
      </c>
      <c r="P23" t="s">
        <v>42</v>
      </c>
    </row>
    <row r="24" spans="1:16" x14ac:dyDescent="0.3">
      <c r="A24" t="s">
        <v>46</v>
      </c>
      <c r="B24" t="s">
        <v>43</v>
      </c>
      <c r="C24" t="s">
        <v>24</v>
      </c>
      <c r="D24" t="s">
        <v>39</v>
      </c>
      <c r="E24">
        <v>2</v>
      </c>
      <c r="F24">
        <v>155.1</v>
      </c>
      <c r="G24">
        <v>96</v>
      </c>
      <c r="H24">
        <v>6.8</v>
      </c>
      <c r="I24">
        <v>3</v>
      </c>
      <c r="J24">
        <v>6.8</v>
      </c>
      <c r="K24">
        <v>8.9</v>
      </c>
      <c r="L24">
        <v>1</v>
      </c>
      <c r="M24" t="s">
        <v>25</v>
      </c>
      <c r="N24" t="s">
        <v>21</v>
      </c>
      <c r="O24">
        <v>20.6</v>
      </c>
      <c r="P24" t="s">
        <v>44</v>
      </c>
    </row>
    <row r="25" spans="1:16" x14ac:dyDescent="0.3">
      <c r="A25" t="s">
        <v>46</v>
      </c>
      <c r="B25" t="s">
        <v>27</v>
      </c>
      <c r="C25" t="s">
        <v>41</v>
      </c>
      <c r="D25" t="s">
        <v>39</v>
      </c>
      <c r="E25">
        <v>4</v>
      </c>
      <c r="F25">
        <v>164.5</v>
      </c>
      <c r="G25">
        <v>94.6</v>
      </c>
      <c r="H25">
        <v>0.6</v>
      </c>
      <c r="I25">
        <v>7</v>
      </c>
      <c r="J25">
        <v>9.58</v>
      </c>
      <c r="K25">
        <v>8.5299999999999994</v>
      </c>
      <c r="L25">
        <v>1</v>
      </c>
      <c r="M25" t="s">
        <v>34</v>
      </c>
      <c r="N25" t="s">
        <v>26</v>
      </c>
      <c r="O25">
        <v>8.2799999999999994</v>
      </c>
      <c r="P25" t="s">
        <v>45</v>
      </c>
    </row>
    <row r="26" spans="1:16" x14ac:dyDescent="0.3">
      <c r="A26" t="s">
        <v>47</v>
      </c>
      <c r="B26" t="s">
        <v>43</v>
      </c>
      <c r="C26" t="s">
        <v>41</v>
      </c>
      <c r="D26" t="s">
        <v>39</v>
      </c>
      <c r="E26">
        <v>3</v>
      </c>
      <c r="F26">
        <v>173.1</v>
      </c>
      <c r="G26">
        <v>95.1</v>
      </c>
      <c r="H26">
        <v>6.4</v>
      </c>
      <c r="I26">
        <v>3</v>
      </c>
      <c r="J26">
        <v>7.03</v>
      </c>
      <c r="K26">
        <v>7.65</v>
      </c>
      <c r="L26">
        <v>1</v>
      </c>
      <c r="M26" t="s">
        <v>20</v>
      </c>
      <c r="N26" t="s">
        <v>21</v>
      </c>
      <c r="O26">
        <v>12.45</v>
      </c>
      <c r="P26" t="s">
        <v>22</v>
      </c>
    </row>
    <row r="27" spans="1:16" x14ac:dyDescent="0.3">
      <c r="A27" t="s">
        <v>47</v>
      </c>
      <c r="B27" t="s">
        <v>23</v>
      </c>
      <c r="C27" t="s">
        <v>41</v>
      </c>
      <c r="D27" t="s">
        <v>39</v>
      </c>
      <c r="E27">
        <v>3</v>
      </c>
      <c r="F27">
        <v>151.5</v>
      </c>
      <c r="G27">
        <v>94.9</v>
      </c>
      <c r="H27">
        <v>5.4</v>
      </c>
      <c r="I27">
        <v>8</v>
      </c>
      <c r="J27">
        <v>6.29</v>
      </c>
      <c r="K27">
        <v>7.65</v>
      </c>
      <c r="L27">
        <v>1</v>
      </c>
      <c r="M27" t="s">
        <v>25</v>
      </c>
      <c r="N27" t="s">
        <v>21</v>
      </c>
      <c r="O27">
        <v>22.25</v>
      </c>
      <c r="P27" t="s">
        <v>22</v>
      </c>
    </row>
    <row r="28" spans="1:16" x14ac:dyDescent="0.3">
      <c r="A28" t="s">
        <v>47</v>
      </c>
      <c r="B28" t="s">
        <v>17</v>
      </c>
      <c r="C28" t="s">
        <v>24</v>
      </c>
      <c r="D28" t="s">
        <v>19</v>
      </c>
      <c r="E28">
        <v>9</v>
      </c>
      <c r="F28">
        <v>166.1</v>
      </c>
      <c r="G28">
        <v>100</v>
      </c>
      <c r="H28">
        <v>4.0999999999999996</v>
      </c>
      <c r="I28">
        <v>5</v>
      </c>
      <c r="J28">
        <v>7.81</v>
      </c>
      <c r="K28">
        <v>9.31</v>
      </c>
      <c r="L28">
        <v>1</v>
      </c>
      <c r="M28" t="s">
        <v>25</v>
      </c>
      <c r="N28" t="s">
        <v>26</v>
      </c>
      <c r="O28">
        <v>12.04</v>
      </c>
      <c r="P28" t="s">
        <v>28</v>
      </c>
    </row>
    <row r="29" spans="1:16" x14ac:dyDescent="0.3">
      <c r="A29" t="s">
        <v>47</v>
      </c>
      <c r="B29" t="s">
        <v>43</v>
      </c>
      <c r="C29" t="s">
        <v>41</v>
      </c>
      <c r="D29" t="s">
        <v>29</v>
      </c>
      <c r="E29">
        <v>9</v>
      </c>
      <c r="F29">
        <v>142.6</v>
      </c>
      <c r="G29">
        <v>100</v>
      </c>
      <c r="H29">
        <v>4.7</v>
      </c>
      <c r="I29">
        <v>5</v>
      </c>
      <c r="J29">
        <v>10</v>
      </c>
      <c r="K29">
        <v>9.89</v>
      </c>
      <c r="L29">
        <v>1</v>
      </c>
      <c r="M29" t="s">
        <v>20</v>
      </c>
      <c r="N29" t="s">
        <v>35</v>
      </c>
      <c r="O29">
        <v>5.33</v>
      </c>
      <c r="P29" t="s">
        <v>28</v>
      </c>
    </row>
    <row r="30" spans="1:16" x14ac:dyDescent="0.3">
      <c r="A30" t="s">
        <v>47</v>
      </c>
      <c r="B30" t="s">
        <v>27</v>
      </c>
      <c r="C30" t="s">
        <v>31</v>
      </c>
      <c r="D30" t="s">
        <v>19</v>
      </c>
      <c r="E30">
        <v>8</v>
      </c>
      <c r="F30">
        <v>163.19999999999999</v>
      </c>
      <c r="G30">
        <v>90.9</v>
      </c>
      <c r="H30">
        <v>6</v>
      </c>
      <c r="I30">
        <v>6</v>
      </c>
      <c r="J30">
        <v>9.8000000000000007</v>
      </c>
      <c r="K30">
        <v>7.14</v>
      </c>
      <c r="L30">
        <v>2</v>
      </c>
      <c r="M30" t="s">
        <v>20</v>
      </c>
      <c r="N30" t="s">
        <v>26</v>
      </c>
      <c r="O30">
        <v>18.75</v>
      </c>
      <c r="P30" t="s">
        <v>30</v>
      </c>
    </row>
    <row r="31" spans="1:16" x14ac:dyDescent="0.3">
      <c r="A31" t="s">
        <v>47</v>
      </c>
      <c r="B31" t="s">
        <v>17</v>
      </c>
      <c r="C31" t="s">
        <v>18</v>
      </c>
      <c r="D31" t="s">
        <v>19</v>
      </c>
      <c r="E31">
        <v>5</v>
      </c>
      <c r="F31">
        <v>168.4</v>
      </c>
      <c r="G31">
        <v>89.7</v>
      </c>
      <c r="H31">
        <v>3.6</v>
      </c>
      <c r="I31">
        <v>8</v>
      </c>
      <c r="J31">
        <v>6.05</v>
      </c>
      <c r="K31">
        <v>5.03</v>
      </c>
      <c r="L31">
        <v>1</v>
      </c>
      <c r="M31" t="s">
        <v>34</v>
      </c>
      <c r="N31" t="s">
        <v>35</v>
      </c>
      <c r="O31">
        <v>10.38</v>
      </c>
      <c r="P31" t="s">
        <v>32</v>
      </c>
    </row>
    <row r="32" spans="1:16" x14ac:dyDescent="0.3">
      <c r="A32" t="s">
        <v>47</v>
      </c>
      <c r="B32" t="s">
        <v>33</v>
      </c>
      <c r="C32" t="s">
        <v>18</v>
      </c>
      <c r="D32" t="s">
        <v>39</v>
      </c>
      <c r="E32">
        <v>8</v>
      </c>
      <c r="F32">
        <v>170.3</v>
      </c>
      <c r="G32">
        <v>85.9</v>
      </c>
      <c r="H32">
        <v>1.2</v>
      </c>
      <c r="I32">
        <v>11</v>
      </c>
      <c r="J32">
        <v>8.0399999999999991</v>
      </c>
      <c r="K32">
        <v>6.85</v>
      </c>
      <c r="L32">
        <v>1</v>
      </c>
      <c r="M32" t="s">
        <v>20</v>
      </c>
      <c r="N32" t="s">
        <v>21</v>
      </c>
      <c r="O32">
        <v>12.14</v>
      </c>
      <c r="P32" t="s">
        <v>36</v>
      </c>
    </row>
    <row r="33" spans="1:16" x14ac:dyDescent="0.3">
      <c r="A33" t="s">
        <v>47</v>
      </c>
      <c r="B33" t="s">
        <v>43</v>
      </c>
      <c r="C33" t="s">
        <v>18</v>
      </c>
      <c r="D33" t="s">
        <v>19</v>
      </c>
      <c r="E33">
        <v>1</v>
      </c>
      <c r="F33">
        <v>173.7</v>
      </c>
      <c r="G33">
        <v>91.6</v>
      </c>
      <c r="H33">
        <v>7.3</v>
      </c>
      <c r="I33">
        <v>2</v>
      </c>
      <c r="J33">
        <v>6.94</v>
      </c>
      <c r="K33">
        <v>7.44</v>
      </c>
      <c r="L33">
        <v>0</v>
      </c>
      <c r="M33" t="s">
        <v>34</v>
      </c>
      <c r="N33" t="s">
        <v>35</v>
      </c>
      <c r="O33">
        <v>10.08</v>
      </c>
      <c r="P33" t="s">
        <v>38</v>
      </c>
    </row>
    <row r="34" spans="1:16" x14ac:dyDescent="0.3">
      <c r="A34" t="s">
        <v>47</v>
      </c>
      <c r="B34" t="s">
        <v>27</v>
      </c>
      <c r="C34" t="s">
        <v>24</v>
      </c>
      <c r="D34" t="s">
        <v>19</v>
      </c>
      <c r="E34">
        <v>5</v>
      </c>
      <c r="F34">
        <v>160.1</v>
      </c>
      <c r="G34">
        <v>95.2</v>
      </c>
      <c r="H34">
        <v>4.0999999999999996</v>
      </c>
      <c r="I34">
        <v>7</v>
      </c>
      <c r="J34">
        <v>8.43</v>
      </c>
      <c r="K34">
        <v>7.66</v>
      </c>
      <c r="L34">
        <v>0</v>
      </c>
      <c r="M34" t="s">
        <v>25</v>
      </c>
      <c r="N34" t="s">
        <v>26</v>
      </c>
      <c r="O34">
        <v>10.26</v>
      </c>
      <c r="P34" t="s">
        <v>40</v>
      </c>
    </row>
    <row r="35" spans="1:16" x14ac:dyDescent="0.3">
      <c r="A35" t="s">
        <v>47</v>
      </c>
      <c r="B35" t="s">
        <v>33</v>
      </c>
      <c r="C35" t="s">
        <v>41</v>
      </c>
      <c r="D35" t="s">
        <v>19</v>
      </c>
      <c r="E35">
        <v>6</v>
      </c>
      <c r="F35">
        <v>154.80000000000001</v>
      </c>
      <c r="G35">
        <v>99.5</v>
      </c>
      <c r="H35">
        <v>3.9</v>
      </c>
      <c r="I35">
        <v>10</v>
      </c>
      <c r="J35">
        <v>10</v>
      </c>
      <c r="K35">
        <v>7.72</v>
      </c>
      <c r="L35">
        <v>0</v>
      </c>
      <c r="M35" t="s">
        <v>25</v>
      </c>
      <c r="N35" t="s">
        <v>21</v>
      </c>
      <c r="O35">
        <v>23.88</v>
      </c>
      <c r="P35" t="s">
        <v>42</v>
      </c>
    </row>
    <row r="36" spans="1:16" x14ac:dyDescent="0.3">
      <c r="A36" t="s">
        <v>47</v>
      </c>
      <c r="B36" t="s">
        <v>33</v>
      </c>
      <c r="C36" t="s">
        <v>24</v>
      </c>
      <c r="D36" t="s">
        <v>19</v>
      </c>
      <c r="E36">
        <v>7</v>
      </c>
      <c r="F36">
        <v>179.1</v>
      </c>
      <c r="G36">
        <v>96.1</v>
      </c>
      <c r="H36">
        <v>4.5999999999999996</v>
      </c>
      <c r="I36">
        <v>3</v>
      </c>
      <c r="J36">
        <v>9.6300000000000008</v>
      </c>
      <c r="K36">
        <v>3.95</v>
      </c>
      <c r="L36">
        <v>0</v>
      </c>
      <c r="M36" t="s">
        <v>34</v>
      </c>
      <c r="N36" t="s">
        <v>21</v>
      </c>
      <c r="O36">
        <v>19.09</v>
      </c>
      <c r="P36" t="s">
        <v>44</v>
      </c>
    </row>
    <row r="37" spans="1:16" x14ac:dyDescent="0.3">
      <c r="A37" t="s">
        <v>47</v>
      </c>
      <c r="B37" t="s">
        <v>27</v>
      </c>
      <c r="C37" t="s">
        <v>37</v>
      </c>
      <c r="D37" t="s">
        <v>39</v>
      </c>
      <c r="E37">
        <v>3</v>
      </c>
      <c r="F37">
        <v>138.30000000000001</v>
      </c>
      <c r="G37">
        <v>100</v>
      </c>
      <c r="H37">
        <v>1.5</v>
      </c>
      <c r="I37">
        <v>8</v>
      </c>
      <c r="J37">
        <v>9.75</v>
      </c>
      <c r="K37">
        <v>5.99</v>
      </c>
      <c r="L37">
        <v>0</v>
      </c>
      <c r="M37" t="s">
        <v>25</v>
      </c>
      <c r="N37" t="s">
        <v>21</v>
      </c>
      <c r="O37">
        <v>19.489999999999998</v>
      </c>
      <c r="P37" t="s">
        <v>45</v>
      </c>
    </row>
    <row r="38" spans="1:16" x14ac:dyDescent="0.3">
      <c r="A38" t="s">
        <v>48</v>
      </c>
      <c r="B38" t="s">
        <v>33</v>
      </c>
      <c r="C38" t="s">
        <v>37</v>
      </c>
      <c r="D38" t="s">
        <v>29</v>
      </c>
      <c r="E38">
        <v>6</v>
      </c>
      <c r="F38">
        <v>145.69999999999999</v>
      </c>
      <c r="G38">
        <v>94</v>
      </c>
      <c r="H38">
        <v>5.0999999999999996</v>
      </c>
      <c r="I38">
        <v>4</v>
      </c>
      <c r="J38">
        <v>4.08</v>
      </c>
      <c r="K38">
        <v>6.78</v>
      </c>
      <c r="L38">
        <v>1</v>
      </c>
      <c r="M38" t="s">
        <v>25</v>
      </c>
      <c r="N38" t="s">
        <v>21</v>
      </c>
      <c r="O38">
        <v>11.54</v>
      </c>
      <c r="P38" t="s">
        <v>22</v>
      </c>
    </row>
    <row r="39" spans="1:16" x14ac:dyDescent="0.3">
      <c r="A39" t="s">
        <v>48</v>
      </c>
      <c r="B39" t="s">
        <v>27</v>
      </c>
      <c r="C39" t="s">
        <v>18</v>
      </c>
      <c r="D39" t="s">
        <v>29</v>
      </c>
      <c r="E39">
        <v>1</v>
      </c>
      <c r="F39">
        <v>161.80000000000001</v>
      </c>
      <c r="G39">
        <v>95.2</v>
      </c>
      <c r="H39">
        <v>6.6</v>
      </c>
      <c r="I39">
        <v>5</v>
      </c>
      <c r="J39">
        <v>7.6</v>
      </c>
      <c r="K39">
        <v>7.8</v>
      </c>
      <c r="L39">
        <v>1</v>
      </c>
      <c r="M39" t="s">
        <v>34</v>
      </c>
      <c r="N39" t="s">
        <v>35</v>
      </c>
      <c r="O39">
        <v>9.6199999999999992</v>
      </c>
      <c r="P39" t="s">
        <v>22</v>
      </c>
    </row>
    <row r="40" spans="1:16" x14ac:dyDescent="0.3">
      <c r="A40" t="s">
        <v>48</v>
      </c>
      <c r="B40" t="s">
        <v>17</v>
      </c>
      <c r="C40" t="s">
        <v>41</v>
      </c>
      <c r="D40" t="s">
        <v>29</v>
      </c>
      <c r="E40">
        <v>2</v>
      </c>
      <c r="F40">
        <v>175.2</v>
      </c>
      <c r="G40">
        <v>82.7</v>
      </c>
      <c r="H40">
        <v>3.4</v>
      </c>
      <c r="I40">
        <v>2</v>
      </c>
      <c r="J40">
        <v>6.14</v>
      </c>
      <c r="K40">
        <v>5.71</v>
      </c>
      <c r="L40">
        <v>0</v>
      </c>
      <c r="M40" t="s">
        <v>25</v>
      </c>
      <c r="N40" t="s">
        <v>26</v>
      </c>
      <c r="O40">
        <v>5.48</v>
      </c>
      <c r="P40" t="s">
        <v>28</v>
      </c>
    </row>
    <row r="41" spans="1:16" x14ac:dyDescent="0.3">
      <c r="A41" t="s">
        <v>48</v>
      </c>
      <c r="B41" t="s">
        <v>43</v>
      </c>
      <c r="C41" t="s">
        <v>41</v>
      </c>
      <c r="D41" t="s">
        <v>29</v>
      </c>
      <c r="E41">
        <v>1</v>
      </c>
      <c r="F41">
        <v>156.5</v>
      </c>
      <c r="G41">
        <v>84.4</v>
      </c>
      <c r="H41">
        <v>7.7</v>
      </c>
      <c r="I41">
        <v>10</v>
      </c>
      <c r="J41">
        <v>5.54</v>
      </c>
      <c r="K41">
        <v>2.84</v>
      </c>
      <c r="L41">
        <v>1</v>
      </c>
      <c r="M41" t="s">
        <v>20</v>
      </c>
      <c r="N41" t="s">
        <v>26</v>
      </c>
      <c r="O41">
        <v>12.41</v>
      </c>
      <c r="P41" t="s">
        <v>28</v>
      </c>
    </row>
    <row r="42" spans="1:16" x14ac:dyDescent="0.3">
      <c r="A42" t="s">
        <v>48</v>
      </c>
      <c r="B42" t="s">
        <v>27</v>
      </c>
      <c r="C42" t="s">
        <v>31</v>
      </c>
      <c r="D42" t="s">
        <v>29</v>
      </c>
      <c r="E42">
        <v>5</v>
      </c>
      <c r="F42">
        <v>153.5</v>
      </c>
      <c r="G42">
        <v>92.6</v>
      </c>
      <c r="H42">
        <v>3.8</v>
      </c>
      <c r="I42">
        <v>6</v>
      </c>
      <c r="J42">
        <v>6.2</v>
      </c>
      <c r="K42">
        <v>7.78</v>
      </c>
      <c r="L42">
        <v>1</v>
      </c>
      <c r="M42" t="s">
        <v>34</v>
      </c>
      <c r="N42" t="s">
        <v>26</v>
      </c>
      <c r="O42">
        <v>12.76</v>
      </c>
      <c r="P42" t="s">
        <v>30</v>
      </c>
    </row>
    <row r="43" spans="1:16" x14ac:dyDescent="0.3">
      <c r="A43" t="s">
        <v>48</v>
      </c>
      <c r="B43" t="s">
        <v>23</v>
      </c>
      <c r="C43" t="s">
        <v>37</v>
      </c>
      <c r="D43" t="s">
        <v>39</v>
      </c>
      <c r="E43">
        <v>6</v>
      </c>
      <c r="F43">
        <v>159.9</v>
      </c>
      <c r="G43">
        <v>97.3</v>
      </c>
      <c r="H43">
        <v>6.6</v>
      </c>
      <c r="I43">
        <v>9</v>
      </c>
      <c r="J43">
        <v>8.35</v>
      </c>
      <c r="K43">
        <v>8.9700000000000006</v>
      </c>
      <c r="L43">
        <v>0</v>
      </c>
      <c r="M43" t="s">
        <v>34</v>
      </c>
      <c r="N43" t="s">
        <v>26</v>
      </c>
      <c r="O43">
        <v>18.91</v>
      </c>
      <c r="P43" t="s">
        <v>32</v>
      </c>
    </row>
    <row r="44" spans="1:16" x14ac:dyDescent="0.3">
      <c r="A44" t="s">
        <v>48</v>
      </c>
      <c r="B44" t="s">
        <v>33</v>
      </c>
      <c r="C44" t="s">
        <v>31</v>
      </c>
      <c r="D44" t="s">
        <v>19</v>
      </c>
      <c r="E44">
        <v>4</v>
      </c>
      <c r="F44">
        <v>168.8</v>
      </c>
      <c r="G44">
        <v>86.6</v>
      </c>
      <c r="H44">
        <v>3.5</v>
      </c>
      <c r="I44">
        <v>5</v>
      </c>
      <c r="J44">
        <v>4.29</v>
      </c>
      <c r="K44">
        <v>10</v>
      </c>
      <c r="L44">
        <v>1</v>
      </c>
      <c r="M44" t="s">
        <v>20</v>
      </c>
      <c r="N44" t="s">
        <v>21</v>
      </c>
      <c r="O44">
        <v>9.33</v>
      </c>
      <c r="P44" t="s">
        <v>36</v>
      </c>
    </row>
    <row r="45" spans="1:16" x14ac:dyDescent="0.3">
      <c r="A45" t="s">
        <v>48</v>
      </c>
      <c r="B45" t="s">
        <v>23</v>
      </c>
      <c r="C45" t="s">
        <v>24</v>
      </c>
      <c r="D45" t="s">
        <v>29</v>
      </c>
      <c r="E45">
        <v>1</v>
      </c>
      <c r="F45">
        <v>164.5</v>
      </c>
      <c r="G45">
        <v>98.2</v>
      </c>
      <c r="H45">
        <v>6.4</v>
      </c>
      <c r="I45">
        <v>5</v>
      </c>
      <c r="J45">
        <v>7.28</v>
      </c>
      <c r="K45">
        <v>8.16</v>
      </c>
      <c r="L45">
        <v>1</v>
      </c>
      <c r="M45" t="s">
        <v>20</v>
      </c>
      <c r="N45" t="s">
        <v>21</v>
      </c>
      <c r="O45">
        <v>16.309999999999999</v>
      </c>
      <c r="P45" t="s">
        <v>38</v>
      </c>
    </row>
    <row r="46" spans="1:16" x14ac:dyDescent="0.3">
      <c r="A46" t="s">
        <v>48</v>
      </c>
      <c r="B46" t="s">
        <v>27</v>
      </c>
      <c r="C46" t="s">
        <v>41</v>
      </c>
      <c r="D46" t="s">
        <v>29</v>
      </c>
      <c r="E46">
        <v>3</v>
      </c>
      <c r="F46">
        <v>163.9</v>
      </c>
      <c r="G46">
        <v>92.9</v>
      </c>
      <c r="H46">
        <v>5.6</v>
      </c>
      <c r="I46">
        <v>7</v>
      </c>
      <c r="J46">
        <v>10</v>
      </c>
      <c r="K46">
        <v>7.04</v>
      </c>
      <c r="L46">
        <v>0</v>
      </c>
      <c r="M46" t="s">
        <v>34</v>
      </c>
      <c r="N46" t="s">
        <v>21</v>
      </c>
      <c r="O46">
        <v>22.34</v>
      </c>
      <c r="P46" t="s">
        <v>40</v>
      </c>
    </row>
    <row r="47" spans="1:16" x14ac:dyDescent="0.3">
      <c r="A47" t="s">
        <v>48</v>
      </c>
      <c r="B47" t="s">
        <v>17</v>
      </c>
      <c r="C47" t="s">
        <v>18</v>
      </c>
      <c r="D47" t="s">
        <v>19</v>
      </c>
      <c r="E47">
        <v>1</v>
      </c>
      <c r="F47">
        <v>166.9</v>
      </c>
      <c r="G47">
        <v>83.3</v>
      </c>
      <c r="H47">
        <v>0.4</v>
      </c>
      <c r="I47">
        <v>11</v>
      </c>
      <c r="J47">
        <v>9.65</v>
      </c>
      <c r="K47">
        <v>6.3</v>
      </c>
      <c r="L47">
        <v>1</v>
      </c>
      <c r="M47" t="s">
        <v>34</v>
      </c>
      <c r="N47" t="s">
        <v>21</v>
      </c>
      <c r="O47">
        <v>10.89</v>
      </c>
      <c r="P47" t="s">
        <v>42</v>
      </c>
    </row>
    <row r="48" spans="1:16" x14ac:dyDescent="0.3">
      <c r="A48" t="s">
        <v>48</v>
      </c>
      <c r="B48" t="s">
        <v>23</v>
      </c>
      <c r="C48" t="s">
        <v>18</v>
      </c>
      <c r="D48" t="s">
        <v>29</v>
      </c>
      <c r="E48">
        <v>5</v>
      </c>
      <c r="F48">
        <v>156.5</v>
      </c>
      <c r="G48">
        <v>99.1</v>
      </c>
      <c r="H48">
        <v>7.6</v>
      </c>
      <c r="I48">
        <v>7</v>
      </c>
      <c r="K48">
        <v>4.88</v>
      </c>
      <c r="L48">
        <v>1</v>
      </c>
      <c r="M48" t="s">
        <v>20</v>
      </c>
      <c r="N48" t="s">
        <v>21</v>
      </c>
      <c r="O48">
        <v>11.51</v>
      </c>
      <c r="P48" t="s">
        <v>44</v>
      </c>
    </row>
    <row r="49" spans="1:16" x14ac:dyDescent="0.3">
      <c r="A49" t="s">
        <v>48</v>
      </c>
      <c r="B49" t="s">
        <v>27</v>
      </c>
      <c r="C49" t="s">
        <v>24</v>
      </c>
      <c r="D49" t="s">
        <v>39</v>
      </c>
      <c r="E49">
        <v>6</v>
      </c>
      <c r="F49">
        <v>155.9</v>
      </c>
      <c r="G49">
        <v>87.7</v>
      </c>
      <c r="H49">
        <v>6.6</v>
      </c>
      <c r="I49">
        <v>4</v>
      </c>
      <c r="J49">
        <v>5.25</v>
      </c>
      <c r="K49">
        <v>5.25</v>
      </c>
      <c r="L49">
        <v>1</v>
      </c>
      <c r="M49" t="s">
        <v>34</v>
      </c>
      <c r="N49" t="s">
        <v>35</v>
      </c>
      <c r="O49">
        <v>13.13</v>
      </c>
      <c r="P49" t="s">
        <v>45</v>
      </c>
    </row>
    <row r="50" spans="1:16" x14ac:dyDescent="0.3">
      <c r="A50" t="s">
        <v>49</v>
      </c>
      <c r="B50" t="s">
        <v>23</v>
      </c>
      <c r="C50" t="s">
        <v>41</v>
      </c>
      <c r="D50" t="s">
        <v>29</v>
      </c>
      <c r="E50">
        <v>5</v>
      </c>
      <c r="F50">
        <v>162.19999999999999</v>
      </c>
      <c r="G50">
        <v>97.2</v>
      </c>
      <c r="H50">
        <v>5.5</v>
      </c>
      <c r="I50">
        <v>9</v>
      </c>
      <c r="J50">
        <v>5.79</v>
      </c>
      <c r="K50">
        <v>10</v>
      </c>
      <c r="L50">
        <v>0</v>
      </c>
      <c r="M50" t="s">
        <v>34</v>
      </c>
      <c r="N50" t="s">
        <v>26</v>
      </c>
      <c r="O50">
        <v>17.309999999999999</v>
      </c>
      <c r="P50" t="s">
        <v>22</v>
      </c>
    </row>
    <row r="51" spans="1:16" x14ac:dyDescent="0.3">
      <c r="A51" t="s">
        <v>49</v>
      </c>
      <c r="B51" t="s">
        <v>27</v>
      </c>
      <c r="C51" t="s">
        <v>31</v>
      </c>
      <c r="D51" t="s">
        <v>29</v>
      </c>
      <c r="E51">
        <v>9</v>
      </c>
      <c r="F51">
        <v>152</v>
      </c>
      <c r="G51">
        <v>98.3</v>
      </c>
      <c r="H51">
        <v>6</v>
      </c>
      <c r="I51">
        <v>8</v>
      </c>
      <c r="K51">
        <v>6.62</v>
      </c>
      <c r="L51">
        <v>0</v>
      </c>
      <c r="M51" t="s">
        <v>20</v>
      </c>
      <c r="N51" t="s">
        <v>35</v>
      </c>
      <c r="O51">
        <v>16.45</v>
      </c>
      <c r="P51" t="s">
        <v>22</v>
      </c>
    </row>
    <row r="52" spans="1:16" x14ac:dyDescent="0.3">
      <c r="A52" t="s">
        <v>49</v>
      </c>
      <c r="B52" t="s">
        <v>23</v>
      </c>
      <c r="C52" t="s">
        <v>18</v>
      </c>
      <c r="D52" t="s">
        <v>29</v>
      </c>
      <c r="E52">
        <v>4</v>
      </c>
      <c r="F52">
        <v>168</v>
      </c>
      <c r="G52">
        <v>94.2</v>
      </c>
      <c r="H52">
        <v>7.2</v>
      </c>
      <c r="I52">
        <v>3</v>
      </c>
      <c r="J52">
        <v>4.7300000000000004</v>
      </c>
      <c r="K52">
        <v>5.4</v>
      </c>
      <c r="L52">
        <v>2</v>
      </c>
      <c r="M52" t="s">
        <v>34</v>
      </c>
      <c r="N52" t="s">
        <v>35</v>
      </c>
      <c r="O52">
        <v>11.63</v>
      </c>
      <c r="P52" t="s">
        <v>28</v>
      </c>
    </row>
    <row r="53" spans="1:16" x14ac:dyDescent="0.3">
      <c r="A53" t="s">
        <v>49</v>
      </c>
      <c r="B53" t="s">
        <v>33</v>
      </c>
      <c r="C53" t="s">
        <v>31</v>
      </c>
      <c r="D53" t="s">
        <v>39</v>
      </c>
      <c r="E53">
        <v>1</v>
      </c>
      <c r="F53">
        <v>149.4</v>
      </c>
      <c r="G53">
        <v>89.4</v>
      </c>
      <c r="H53">
        <v>2.2999999999999998</v>
      </c>
      <c r="I53">
        <v>9</v>
      </c>
      <c r="J53">
        <v>4.63</v>
      </c>
      <c r="K53">
        <v>3.93</v>
      </c>
      <c r="L53">
        <v>0</v>
      </c>
      <c r="M53" t="s">
        <v>20</v>
      </c>
      <c r="N53" t="s">
        <v>26</v>
      </c>
      <c r="O53">
        <v>26.28</v>
      </c>
      <c r="P53" t="s">
        <v>28</v>
      </c>
    </row>
    <row r="54" spans="1:16" x14ac:dyDescent="0.3">
      <c r="A54" t="s">
        <v>49</v>
      </c>
      <c r="B54" t="s">
        <v>17</v>
      </c>
      <c r="C54" t="s">
        <v>18</v>
      </c>
      <c r="D54" t="s">
        <v>29</v>
      </c>
      <c r="E54">
        <v>3</v>
      </c>
      <c r="F54">
        <v>156.6</v>
      </c>
      <c r="G54">
        <v>93.1</v>
      </c>
      <c r="H54">
        <v>2.2000000000000002</v>
      </c>
      <c r="I54">
        <v>3</v>
      </c>
      <c r="J54">
        <v>6.33</v>
      </c>
      <c r="K54">
        <v>8.8699999999999992</v>
      </c>
      <c r="L54">
        <v>0</v>
      </c>
      <c r="M54" t="s">
        <v>20</v>
      </c>
      <c r="N54" t="s">
        <v>26</v>
      </c>
      <c r="O54">
        <v>18.920000000000002</v>
      </c>
      <c r="P54" t="s">
        <v>30</v>
      </c>
    </row>
    <row r="55" spans="1:16" x14ac:dyDescent="0.3">
      <c r="A55" t="s">
        <v>49</v>
      </c>
      <c r="B55" t="s">
        <v>33</v>
      </c>
      <c r="C55" t="s">
        <v>18</v>
      </c>
      <c r="D55" t="s">
        <v>29</v>
      </c>
      <c r="E55">
        <v>7</v>
      </c>
      <c r="F55">
        <v>152.30000000000001</v>
      </c>
      <c r="G55">
        <v>91.9</v>
      </c>
      <c r="H55">
        <v>10.1</v>
      </c>
      <c r="I55">
        <v>12</v>
      </c>
      <c r="J55">
        <v>7.72</v>
      </c>
      <c r="K55">
        <v>5.79</v>
      </c>
      <c r="L55">
        <v>0</v>
      </c>
      <c r="M55" t="s">
        <v>25</v>
      </c>
      <c r="N55" t="s">
        <v>21</v>
      </c>
      <c r="O55">
        <v>13.69</v>
      </c>
      <c r="P55" t="s">
        <v>32</v>
      </c>
    </row>
    <row r="56" spans="1:16" x14ac:dyDescent="0.3">
      <c r="A56" t="s">
        <v>49</v>
      </c>
      <c r="B56" t="s">
        <v>27</v>
      </c>
      <c r="C56" t="s">
        <v>31</v>
      </c>
      <c r="D56" t="s">
        <v>29</v>
      </c>
      <c r="E56">
        <v>1</v>
      </c>
      <c r="F56">
        <v>163.30000000000001</v>
      </c>
      <c r="G56">
        <v>88.7</v>
      </c>
      <c r="H56">
        <v>6.8</v>
      </c>
      <c r="I56">
        <v>7</v>
      </c>
      <c r="J56">
        <v>7.22</v>
      </c>
      <c r="K56">
        <v>2.84</v>
      </c>
      <c r="L56">
        <v>0</v>
      </c>
      <c r="M56" t="s">
        <v>20</v>
      </c>
      <c r="N56" t="s">
        <v>21</v>
      </c>
      <c r="O56">
        <v>21</v>
      </c>
      <c r="P56" t="s">
        <v>36</v>
      </c>
    </row>
    <row r="57" spans="1:16" x14ac:dyDescent="0.3">
      <c r="A57" t="s">
        <v>49</v>
      </c>
      <c r="B57" t="s">
        <v>33</v>
      </c>
      <c r="C57" t="s">
        <v>31</v>
      </c>
      <c r="D57" t="s">
        <v>29</v>
      </c>
      <c r="E57">
        <v>4</v>
      </c>
      <c r="F57">
        <v>161.69999999999999</v>
      </c>
      <c r="G57">
        <v>90.1</v>
      </c>
      <c r="I57">
        <v>6</v>
      </c>
      <c r="J57">
        <v>8</v>
      </c>
      <c r="K57">
        <v>5</v>
      </c>
      <c r="L57">
        <v>0</v>
      </c>
      <c r="M57" t="s">
        <v>25</v>
      </c>
      <c r="N57" t="s">
        <v>35</v>
      </c>
      <c r="O57">
        <v>22.13</v>
      </c>
      <c r="P57" t="s">
        <v>38</v>
      </c>
    </row>
    <row r="58" spans="1:16" x14ac:dyDescent="0.3">
      <c r="A58" t="s">
        <v>49</v>
      </c>
      <c r="B58" t="s">
        <v>27</v>
      </c>
      <c r="C58" t="s">
        <v>18</v>
      </c>
      <c r="D58" t="s">
        <v>29</v>
      </c>
      <c r="E58">
        <v>2</v>
      </c>
      <c r="F58">
        <v>143.69999999999999</v>
      </c>
      <c r="G58">
        <v>97.8</v>
      </c>
      <c r="H58">
        <v>9</v>
      </c>
      <c r="I58">
        <v>2</v>
      </c>
      <c r="J58">
        <v>8.58</v>
      </c>
      <c r="K58">
        <v>7.51</v>
      </c>
      <c r="L58">
        <v>0</v>
      </c>
      <c r="M58" t="s">
        <v>34</v>
      </c>
      <c r="N58" t="s">
        <v>26</v>
      </c>
      <c r="O58">
        <v>18.5</v>
      </c>
      <c r="P58" t="s">
        <v>40</v>
      </c>
    </row>
    <row r="59" spans="1:16" x14ac:dyDescent="0.3">
      <c r="A59" t="s">
        <v>49</v>
      </c>
      <c r="B59" t="s">
        <v>17</v>
      </c>
      <c r="C59" t="s">
        <v>18</v>
      </c>
      <c r="D59" t="s">
        <v>29</v>
      </c>
      <c r="E59">
        <v>9</v>
      </c>
      <c r="F59">
        <v>187.6</v>
      </c>
      <c r="G59">
        <v>93.9</v>
      </c>
      <c r="H59">
        <v>4.4000000000000004</v>
      </c>
      <c r="I59">
        <v>5</v>
      </c>
      <c r="J59">
        <v>9.2100000000000009</v>
      </c>
      <c r="K59">
        <v>6.55</v>
      </c>
      <c r="L59">
        <v>1</v>
      </c>
      <c r="M59" t="s">
        <v>25</v>
      </c>
      <c r="N59" t="s">
        <v>35</v>
      </c>
      <c r="O59">
        <v>19.68</v>
      </c>
      <c r="P59" t="s">
        <v>42</v>
      </c>
    </row>
    <row r="60" spans="1:16" x14ac:dyDescent="0.3">
      <c r="A60" t="s">
        <v>49</v>
      </c>
      <c r="B60" t="s">
        <v>43</v>
      </c>
      <c r="C60" t="s">
        <v>31</v>
      </c>
      <c r="D60" t="s">
        <v>29</v>
      </c>
      <c r="E60">
        <v>7</v>
      </c>
      <c r="F60">
        <v>165.4</v>
      </c>
      <c r="G60">
        <v>95.7</v>
      </c>
      <c r="H60">
        <v>6</v>
      </c>
      <c r="I60">
        <v>4</v>
      </c>
      <c r="J60">
        <v>7.32</v>
      </c>
      <c r="K60">
        <v>7.47</v>
      </c>
      <c r="L60">
        <v>1</v>
      </c>
      <c r="M60" t="s">
        <v>20</v>
      </c>
      <c r="N60" t="s">
        <v>21</v>
      </c>
      <c r="O60">
        <v>14.7</v>
      </c>
      <c r="P60" t="s">
        <v>44</v>
      </c>
    </row>
    <row r="61" spans="1:16" x14ac:dyDescent="0.3">
      <c r="A61" t="s">
        <v>49</v>
      </c>
      <c r="B61" t="s">
        <v>23</v>
      </c>
      <c r="C61" t="s">
        <v>31</v>
      </c>
      <c r="D61" t="s">
        <v>29</v>
      </c>
      <c r="E61">
        <v>2</v>
      </c>
      <c r="F61">
        <v>155.19999999999999</v>
      </c>
      <c r="G61">
        <v>100</v>
      </c>
      <c r="H61">
        <v>2.5</v>
      </c>
      <c r="I61">
        <v>5</v>
      </c>
      <c r="J61">
        <v>5.51</v>
      </c>
      <c r="K61">
        <v>8.9700000000000006</v>
      </c>
      <c r="L61">
        <v>2</v>
      </c>
      <c r="M61" t="s">
        <v>20</v>
      </c>
      <c r="N61" t="s">
        <v>35</v>
      </c>
      <c r="O61">
        <v>10.55</v>
      </c>
      <c r="P61" t="s">
        <v>45</v>
      </c>
    </row>
    <row r="62" spans="1:16" x14ac:dyDescent="0.3">
      <c r="A62" t="s">
        <v>50</v>
      </c>
      <c r="B62" t="s">
        <v>43</v>
      </c>
      <c r="C62" t="s">
        <v>37</v>
      </c>
      <c r="D62" t="s">
        <v>39</v>
      </c>
      <c r="E62">
        <v>1</v>
      </c>
      <c r="F62">
        <v>159.30000000000001</v>
      </c>
      <c r="G62">
        <v>98.1</v>
      </c>
      <c r="I62">
        <v>11</v>
      </c>
      <c r="J62">
        <v>5.5</v>
      </c>
      <c r="K62">
        <v>7.86</v>
      </c>
      <c r="L62">
        <v>0</v>
      </c>
      <c r="M62" t="s">
        <v>34</v>
      </c>
      <c r="N62" t="s">
        <v>26</v>
      </c>
      <c r="O62">
        <v>15.64</v>
      </c>
      <c r="P62" t="s">
        <v>22</v>
      </c>
    </row>
    <row r="63" spans="1:16" x14ac:dyDescent="0.3">
      <c r="A63" t="s">
        <v>50</v>
      </c>
      <c r="B63" t="s">
        <v>27</v>
      </c>
      <c r="C63" t="s">
        <v>31</v>
      </c>
      <c r="D63" t="s">
        <v>29</v>
      </c>
      <c r="E63">
        <v>5</v>
      </c>
      <c r="F63">
        <v>140.5</v>
      </c>
      <c r="G63">
        <v>93.6</v>
      </c>
      <c r="H63">
        <v>5.7</v>
      </c>
      <c r="I63">
        <v>5</v>
      </c>
      <c r="K63">
        <v>9.7100000000000009</v>
      </c>
      <c r="L63">
        <v>1</v>
      </c>
      <c r="M63" t="s">
        <v>25</v>
      </c>
      <c r="N63" t="s">
        <v>35</v>
      </c>
      <c r="O63">
        <v>7.0000000000000007E-2</v>
      </c>
      <c r="P63" t="s">
        <v>22</v>
      </c>
    </row>
    <row r="64" spans="1:16" x14ac:dyDescent="0.3">
      <c r="A64" t="s">
        <v>50</v>
      </c>
      <c r="B64" t="s">
        <v>23</v>
      </c>
      <c r="C64" t="s">
        <v>18</v>
      </c>
      <c r="D64" t="s">
        <v>19</v>
      </c>
      <c r="E64">
        <v>8</v>
      </c>
      <c r="F64">
        <v>155.69999999999999</v>
      </c>
      <c r="G64">
        <v>93.5</v>
      </c>
      <c r="H64">
        <v>5.4</v>
      </c>
      <c r="I64">
        <v>5</v>
      </c>
      <c r="K64">
        <v>9.06</v>
      </c>
      <c r="L64">
        <v>1</v>
      </c>
      <c r="M64" t="s">
        <v>34</v>
      </c>
      <c r="N64" t="s">
        <v>26</v>
      </c>
      <c r="O64">
        <v>6.24</v>
      </c>
      <c r="P64" t="s">
        <v>28</v>
      </c>
    </row>
    <row r="65" spans="1:16" x14ac:dyDescent="0.3">
      <c r="A65" t="s">
        <v>50</v>
      </c>
      <c r="B65" t="s">
        <v>17</v>
      </c>
      <c r="C65" t="s">
        <v>37</v>
      </c>
      <c r="D65" t="s">
        <v>29</v>
      </c>
      <c r="E65">
        <v>10</v>
      </c>
      <c r="F65">
        <v>157.80000000000001</v>
      </c>
      <c r="G65">
        <v>100</v>
      </c>
      <c r="H65">
        <v>5.5</v>
      </c>
      <c r="I65">
        <v>0</v>
      </c>
      <c r="J65">
        <v>7.47</v>
      </c>
      <c r="K65">
        <v>6.12</v>
      </c>
      <c r="L65">
        <v>1</v>
      </c>
      <c r="M65" t="s">
        <v>25</v>
      </c>
      <c r="N65" t="s">
        <v>26</v>
      </c>
      <c r="O65">
        <v>7.16</v>
      </c>
      <c r="P65" t="s">
        <v>28</v>
      </c>
    </row>
    <row r="66" spans="1:16" x14ac:dyDescent="0.3">
      <c r="A66" t="s">
        <v>50</v>
      </c>
      <c r="B66" t="s">
        <v>43</v>
      </c>
      <c r="C66" t="s">
        <v>41</v>
      </c>
      <c r="D66" t="s">
        <v>19</v>
      </c>
      <c r="E66">
        <v>7</v>
      </c>
      <c r="F66">
        <v>186</v>
      </c>
      <c r="G66">
        <v>91.7</v>
      </c>
      <c r="H66">
        <v>3.6</v>
      </c>
      <c r="I66">
        <v>4</v>
      </c>
      <c r="J66">
        <v>5.22</v>
      </c>
      <c r="K66">
        <v>3.28</v>
      </c>
      <c r="L66">
        <v>1</v>
      </c>
      <c r="M66" t="s">
        <v>25</v>
      </c>
      <c r="N66" t="s">
        <v>21</v>
      </c>
      <c r="O66">
        <v>10.46</v>
      </c>
      <c r="P66" t="s">
        <v>30</v>
      </c>
    </row>
    <row r="67" spans="1:16" x14ac:dyDescent="0.3">
      <c r="A67" t="s">
        <v>50</v>
      </c>
      <c r="B67" t="s">
        <v>27</v>
      </c>
      <c r="C67" t="s">
        <v>18</v>
      </c>
      <c r="D67" t="s">
        <v>29</v>
      </c>
      <c r="E67">
        <v>2</v>
      </c>
      <c r="F67">
        <v>140.69999999999999</v>
      </c>
      <c r="G67">
        <v>89</v>
      </c>
      <c r="H67">
        <v>2.9</v>
      </c>
      <c r="I67">
        <v>8</v>
      </c>
      <c r="J67">
        <v>8.52</v>
      </c>
      <c r="K67">
        <v>7.33</v>
      </c>
      <c r="L67">
        <v>0</v>
      </c>
      <c r="M67" t="s">
        <v>25</v>
      </c>
      <c r="N67" t="s">
        <v>26</v>
      </c>
      <c r="O67">
        <v>15.72</v>
      </c>
      <c r="P67" t="s">
        <v>32</v>
      </c>
    </row>
    <row r="68" spans="1:16" x14ac:dyDescent="0.3">
      <c r="A68" t="s">
        <v>50</v>
      </c>
      <c r="B68" t="s">
        <v>17</v>
      </c>
      <c r="C68" t="s">
        <v>24</v>
      </c>
      <c r="D68" t="s">
        <v>39</v>
      </c>
      <c r="E68">
        <v>10</v>
      </c>
      <c r="F68">
        <v>158.69999999999999</v>
      </c>
      <c r="G68">
        <v>92.5</v>
      </c>
      <c r="I68">
        <v>7</v>
      </c>
      <c r="J68">
        <v>8.26</v>
      </c>
      <c r="K68">
        <v>10</v>
      </c>
      <c r="L68">
        <v>1</v>
      </c>
      <c r="M68" t="s">
        <v>25</v>
      </c>
      <c r="N68" t="s">
        <v>26</v>
      </c>
      <c r="O68">
        <v>11.15</v>
      </c>
      <c r="P68" t="s">
        <v>36</v>
      </c>
    </row>
    <row r="69" spans="1:16" x14ac:dyDescent="0.3">
      <c r="A69" t="s">
        <v>50</v>
      </c>
      <c r="B69" t="s">
        <v>23</v>
      </c>
      <c r="C69" t="s">
        <v>41</v>
      </c>
      <c r="D69" t="s">
        <v>19</v>
      </c>
      <c r="E69">
        <v>9</v>
      </c>
      <c r="F69">
        <v>175.5</v>
      </c>
      <c r="G69">
        <v>100</v>
      </c>
      <c r="H69">
        <v>3.8</v>
      </c>
      <c r="I69">
        <v>9</v>
      </c>
      <c r="J69">
        <v>6.92</v>
      </c>
      <c r="K69">
        <v>6.93</v>
      </c>
      <c r="L69">
        <v>0</v>
      </c>
      <c r="M69" t="s">
        <v>25</v>
      </c>
      <c r="N69" t="s">
        <v>26</v>
      </c>
      <c r="O69">
        <v>23.68</v>
      </c>
      <c r="P69" t="s">
        <v>38</v>
      </c>
    </row>
    <row r="70" spans="1:16" x14ac:dyDescent="0.3">
      <c r="A70" t="s">
        <v>50</v>
      </c>
      <c r="B70" t="s">
        <v>17</v>
      </c>
      <c r="C70" t="s">
        <v>31</v>
      </c>
      <c r="D70" t="s">
        <v>19</v>
      </c>
      <c r="E70">
        <v>5</v>
      </c>
      <c r="F70">
        <v>160.4</v>
      </c>
      <c r="G70">
        <v>100</v>
      </c>
      <c r="H70">
        <v>5.3</v>
      </c>
      <c r="I70">
        <v>8</v>
      </c>
      <c r="J70">
        <v>8.7899999999999991</v>
      </c>
      <c r="K70">
        <v>4.66</v>
      </c>
      <c r="L70">
        <v>1</v>
      </c>
      <c r="M70" t="s">
        <v>34</v>
      </c>
      <c r="N70" t="s">
        <v>26</v>
      </c>
      <c r="O70">
        <v>10.69</v>
      </c>
      <c r="P70" t="s">
        <v>40</v>
      </c>
    </row>
    <row r="71" spans="1:16" x14ac:dyDescent="0.3">
      <c r="A71" t="s">
        <v>50</v>
      </c>
      <c r="B71" t="s">
        <v>27</v>
      </c>
      <c r="C71" t="s">
        <v>37</v>
      </c>
      <c r="D71" t="s">
        <v>39</v>
      </c>
      <c r="E71">
        <v>4</v>
      </c>
      <c r="F71">
        <v>173.8</v>
      </c>
      <c r="G71">
        <v>98.2</v>
      </c>
      <c r="H71">
        <v>4.7</v>
      </c>
      <c r="I71">
        <v>6</v>
      </c>
      <c r="J71">
        <v>7.72</v>
      </c>
      <c r="K71">
        <v>8.64</v>
      </c>
      <c r="L71">
        <v>2</v>
      </c>
      <c r="M71" t="s">
        <v>25</v>
      </c>
      <c r="N71" t="s">
        <v>26</v>
      </c>
      <c r="O71">
        <v>6.7</v>
      </c>
      <c r="P71" t="s">
        <v>42</v>
      </c>
    </row>
    <row r="72" spans="1:16" x14ac:dyDescent="0.3">
      <c r="A72" t="s">
        <v>50</v>
      </c>
      <c r="B72" t="s">
        <v>33</v>
      </c>
      <c r="C72" t="s">
        <v>24</v>
      </c>
      <c r="D72" t="s">
        <v>39</v>
      </c>
      <c r="E72">
        <v>1</v>
      </c>
      <c r="F72">
        <v>157.19999999999999</v>
      </c>
      <c r="G72">
        <v>90.6</v>
      </c>
      <c r="H72">
        <v>4.2</v>
      </c>
      <c r="I72">
        <v>4</v>
      </c>
      <c r="J72">
        <v>6.49</v>
      </c>
      <c r="K72">
        <v>8.5399999999999991</v>
      </c>
      <c r="L72">
        <v>0</v>
      </c>
      <c r="M72" t="s">
        <v>20</v>
      </c>
      <c r="N72" t="s">
        <v>21</v>
      </c>
      <c r="O72">
        <v>15.97</v>
      </c>
      <c r="P72" t="s">
        <v>44</v>
      </c>
    </row>
    <row r="73" spans="1:16" x14ac:dyDescent="0.3">
      <c r="A73" t="s">
        <v>50</v>
      </c>
      <c r="B73" t="s">
        <v>33</v>
      </c>
      <c r="C73" t="s">
        <v>31</v>
      </c>
      <c r="D73" t="s">
        <v>39</v>
      </c>
      <c r="E73">
        <v>4</v>
      </c>
      <c r="F73">
        <v>158.1</v>
      </c>
      <c r="G73">
        <v>93</v>
      </c>
      <c r="H73">
        <v>4.3</v>
      </c>
      <c r="I73">
        <v>8</v>
      </c>
      <c r="J73">
        <v>7.76</v>
      </c>
      <c r="K73">
        <v>10</v>
      </c>
      <c r="L73">
        <v>1</v>
      </c>
      <c r="M73" t="s">
        <v>25</v>
      </c>
      <c r="N73" t="s">
        <v>21</v>
      </c>
      <c r="O73">
        <v>13.86</v>
      </c>
      <c r="P73" t="s">
        <v>45</v>
      </c>
    </row>
    <row r="74" spans="1:16" x14ac:dyDescent="0.3">
      <c r="A74" t="s">
        <v>51</v>
      </c>
      <c r="B74" t="s">
        <v>43</v>
      </c>
      <c r="C74" t="s">
        <v>41</v>
      </c>
      <c r="D74" t="s">
        <v>19</v>
      </c>
      <c r="E74">
        <v>10</v>
      </c>
      <c r="F74">
        <v>158.9</v>
      </c>
      <c r="G74">
        <v>88.9</v>
      </c>
      <c r="H74">
        <v>5.2</v>
      </c>
      <c r="I74">
        <v>8</v>
      </c>
      <c r="J74">
        <v>9.25</v>
      </c>
      <c r="K74">
        <v>7.86</v>
      </c>
      <c r="L74">
        <v>1</v>
      </c>
      <c r="M74" t="s">
        <v>25</v>
      </c>
      <c r="N74" t="s">
        <v>21</v>
      </c>
      <c r="O74">
        <v>15.29</v>
      </c>
      <c r="P74" t="s">
        <v>22</v>
      </c>
    </row>
    <row r="75" spans="1:16" x14ac:dyDescent="0.3">
      <c r="A75" t="s">
        <v>51</v>
      </c>
      <c r="B75" t="s">
        <v>27</v>
      </c>
      <c r="C75" t="s">
        <v>24</v>
      </c>
      <c r="D75" t="s">
        <v>19</v>
      </c>
      <c r="E75">
        <v>4</v>
      </c>
      <c r="F75">
        <v>144.69999999999999</v>
      </c>
      <c r="G75">
        <v>91.5</v>
      </c>
      <c r="H75">
        <v>4.9000000000000004</v>
      </c>
      <c r="I75">
        <v>3</v>
      </c>
      <c r="J75">
        <v>7.87</v>
      </c>
      <c r="K75">
        <v>4.5</v>
      </c>
      <c r="L75">
        <v>1</v>
      </c>
      <c r="M75" t="s">
        <v>20</v>
      </c>
      <c r="N75" t="s">
        <v>21</v>
      </c>
      <c r="O75">
        <v>19.52</v>
      </c>
      <c r="P75" t="s">
        <v>22</v>
      </c>
    </row>
    <row r="76" spans="1:16" x14ac:dyDescent="0.3">
      <c r="A76" t="s">
        <v>51</v>
      </c>
      <c r="B76" t="s">
        <v>33</v>
      </c>
      <c r="C76" t="s">
        <v>18</v>
      </c>
      <c r="D76" t="s">
        <v>29</v>
      </c>
      <c r="E76">
        <v>8</v>
      </c>
      <c r="F76">
        <v>155.80000000000001</v>
      </c>
      <c r="G76">
        <v>92.6</v>
      </c>
      <c r="H76">
        <v>8.3000000000000007</v>
      </c>
      <c r="I76">
        <v>5</v>
      </c>
      <c r="J76">
        <v>3.78</v>
      </c>
      <c r="K76">
        <v>10</v>
      </c>
      <c r="L76">
        <v>0</v>
      </c>
      <c r="M76" t="s">
        <v>20</v>
      </c>
      <c r="N76" t="s">
        <v>35</v>
      </c>
      <c r="O76">
        <v>21.06</v>
      </c>
      <c r="P76" t="s">
        <v>28</v>
      </c>
    </row>
    <row r="77" spans="1:16" x14ac:dyDescent="0.3">
      <c r="A77" t="s">
        <v>51</v>
      </c>
      <c r="B77" t="s">
        <v>23</v>
      </c>
      <c r="C77" t="s">
        <v>31</v>
      </c>
      <c r="D77" t="s">
        <v>19</v>
      </c>
      <c r="E77">
        <v>9</v>
      </c>
      <c r="F77">
        <v>159.6</v>
      </c>
      <c r="G77">
        <v>87.8</v>
      </c>
      <c r="H77">
        <v>5.3</v>
      </c>
      <c r="I77">
        <v>4</v>
      </c>
      <c r="J77">
        <v>6.48</v>
      </c>
      <c r="K77">
        <v>6.65</v>
      </c>
      <c r="L77">
        <v>0</v>
      </c>
      <c r="M77" t="s">
        <v>34</v>
      </c>
      <c r="N77" t="s">
        <v>35</v>
      </c>
      <c r="O77">
        <v>9.09</v>
      </c>
      <c r="P77" t="s">
        <v>28</v>
      </c>
    </row>
    <row r="78" spans="1:16" x14ac:dyDescent="0.3">
      <c r="A78" t="s">
        <v>51</v>
      </c>
      <c r="B78" t="s">
        <v>27</v>
      </c>
      <c r="C78" t="s">
        <v>41</v>
      </c>
      <c r="D78" t="s">
        <v>29</v>
      </c>
      <c r="E78">
        <v>6</v>
      </c>
      <c r="F78">
        <v>170.2</v>
      </c>
      <c r="G78">
        <v>89.5</v>
      </c>
      <c r="H78">
        <v>5.7</v>
      </c>
      <c r="I78">
        <v>2</v>
      </c>
      <c r="J78">
        <v>8.2200000000000006</v>
      </c>
      <c r="K78">
        <v>6.99</v>
      </c>
      <c r="L78">
        <v>0</v>
      </c>
      <c r="M78" t="s">
        <v>34</v>
      </c>
      <c r="N78" t="s">
        <v>26</v>
      </c>
      <c r="O78">
        <v>6.72</v>
      </c>
      <c r="P78" t="s">
        <v>30</v>
      </c>
    </row>
    <row r="79" spans="1:16" x14ac:dyDescent="0.3">
      <c r="A79" t="s">
        <v>51</v>
      </c>
      <c r="B79" t="s">
        <v>33</v>
      </c>
      <c r="C79" t="s">
        <v>18</v>
      </c>
      <c r="D79" t="s">
        <v>29</v>
      </c>
      <c r="E79">
        <v>4</v>
      </c>
      <c r="F79">
        <v>171.8</v>
      </c>
      <c r="G79">
        <v>91.7</v>
      </c>
      <c r="H79">
        <v>7</v>
      </c>
      <c r="I79">
        <v>5</v>
      </c>
      <c r="J79">
        <v>7.64</v>
      </c>
      <c r="K79">
        <v>8.84</v>
      </c>
      <c r="L79">
        <v>0</v>
      </c>
      <c r="M79" t="s">
        <v>20</v>
      </c>
      <c r="N79" t="s">
        <v>21</v>
      </c>
      <c r="O79">
        <v>16.309999999999999</v>
      </c>
      <c r="P79" t="s">
        <v>32</v>
      </c>
    </row>
    <row r="80" spans="1:16" x14ac:dyDescent="0.3">
      <c r="A80" t="s">
        <v>51</v>
      </c>
      <c r="B80" t="s">
        <v>17</v>
      </c>
      <c r="C80" t="s">
        <v>41</v>
      </c>
      <c r="D80" t="s">
        <v>29</v>
      </c>
      <c r="E80">
        <v>1</v>
      </c>
      <c r="F80">
        <v>162.1</v>
      </c>
      <c r="G80">
        <v>99.4</v>
      </c>
      <c r="H80">
        <v>8</v>
      </c>
      <c r="I80">
        <v>12</v>
      </c>
      <c r="J80">
        <v>9.7899999999999991</v>
      </c>
      <c r="K80">
        <v>6.56</v>
      </c>
      <c r="L80">
        <v>1</v>
      </c>
      <c r="M80" t="s">
        <v>20</v>
      </c>
      <c r="N80" t="s">
        <v>35</v>
      </c>
      <c r="O80">
        <v>9.56</v>
      </c>
      <c r="P80" t="s">
        <v>36</v>
      </c>
    </row>
    <row r="81" spans="1:16" x14ac:dyDescent="0.3">
      <c r="A81" t="s">
        <v>51</v>
      </c>
      <c r="B81" t="s">
        <v>27</v>
      </c>
      <c r="C81" t="s">
        <v>24</v>
      </c>
      <c r="D81" t="s">
        <v>19</v>
      </c>
      <c r="E81">
        <v>7</v>
      </c>
      <c r="F81">
        <v>157</v>
      </c>
      <c r="G81">
        <v>100</v>
      </c>
      <c r="H81">
        <v>1.9</v>
      </c>
      <c r="I81">
        <v>5</v>
      </c>
      <c r="J81">
        <v>9.08</v>
      </c>
      <c r="K81">
        <v>8.01</v>
      </c>
      <c r="L81">
        <v>0</v>
      </c>
      <c r="M81" t="s">
        <v>20</v>
      </c>
      <c r="N81" t="s">
        <v>21</v>
      </c>
      <c r="O81">
        <v>4.12</v>
      </c>
      <c r="P81" t="s">
        <v>38</v>
      </c>
    </row>
    <row r="82" spans="1:16" x14ac:dyDescent="0.3">
      <c r="A82" t="s">
        <v>51</v>
      </c>
      <c r="B82" t="s">
        <v>33</v>
      </c>
      <c r="C82" t="s">
        <v>41</v>
      </c>
      <c r="D82" t="s">
        <v>39</v>
      </c>
      <c r="E82">
        <v>10</v>
      </c>
      <c r="F82">
        <v>146.30000000000001</v>
      </c>
      <c r="G82">
        <v>92.6</v>
      </c>
      <c r="H82">
        <v>2.2999999999999998</v>
      </c>
      <c r="I82">
        <v>10</v>
      </c>
      <c r="K82">
        <v>6.18</v>
      </c>
      <c r="L82">
        <v>0</v>
      </c>
      <c r="M82" t="s">
        <v>20</v>
      </c>
      <c r="N82" t="s">
        <v>21</v>
      </c>
      <c r="O82">
        <v>14.35</v>
      </c>
      <c r="P82" t="s">
        <v>40</v>
      </c>
    </row>
    <row r="83" spans="1:16" x14ac:dyDescent="0.3">
      <c r="A83" t="s">
        <v>51</v>
      </c>
      <c r="B83" t="s">
        <v>17</v>
      </c>
      <c r="C83" t="s">
        <v>31</v>
      </c>
      <c r="D83" t="s">
        <v>39</v>
      </c>
      <c r="E83">
        <v>4</v>
      </c>
      <c r="F83">
        <v>143.69999999999999</v>
      </c>
      <c r="G83">
        <v>92.1</v>
      </c>
      <c r="H83">
        <v>6.6</v>
      </c>
      <c r="I83">
        <v>7</v>
      </c>
      <c r="J83">
        <v>7.77</v>
      </c>
      <c r="K83">
        <v>7.65</v>
      </c>
      <c r="L83">
        <v>0</v>
      </c>
      <c r="M83" t="s">
        <v>25</v>
      </c>
      <c r="N83" t="s">
        <v>21</v>
      </c>
      <c r="O83">
        <v>12.33</v>
      </c>
      <c r="P83" t="s">
        <v>42</v>
      </c>
    </row>
    <row r="84" spans="1:16" x14ac:dyDescent="0.3">
      <c r="A84" t="s">
        <v>51</v>
      </c>
      <c r="B84" t="s">
        <v>33</v>
      </c>
      <c r="C84" t="s">
        <v>24</v>
      </c>
      <c r="D84" t="s">
        <v>19</v>
      </c>
      <c r="E84">
        <v>6</v>
      </c>
      <c r="F84">
        <v>158.4</v>
      </c>
      <c r="G84">
        <v>100</v>
      </c>
      <c r="H84">
        <v>0.5</v>
      </c>
      <c r="I84">
        <v>6</v>
      </c>
      <c r="J84">
        <v>7.85</v>
      </c>
      <c r="K84">
        <v>6.06</v>
      </c>
      <c r="L84">
        <v>2</v>
      </c>
      <c r="M84" t="s">
        <v>20</v>
      </c>
      <c r="N84" t="s">
        <v>21</v>
      </c>
      <c r="O84">
        <v>15.37</v>
      </c>
      <c r="P84" t="s">
        <v>44</v>
      </c>
    </row>
    <row r="85" spans="1:16" x14ac:dyDescent="0.3">
      <c r="A85" t="s">
        <v>51</v>
      </c>
      <c r="B85" t="s">
        <v>43</v>
      </c>
      <c r="C85" t="s">
        <v>41</v>
      </c>
      <c r="D85" t="s">
        <v>19</v>
      </c>
      <c r="E85">
        <v>10</v>
      </c>
      <c r="F85">
        <v>139</v>
      </c>
      <c r="G85">
        <v>96.3</v>
      </c>
      <c r="H85">
        <v>4.5</v>
      </c>
      <c r="I85">
        <v>5</v>
      </c>
      <c r="J85">
        <v>9.35</v>
      </c>
      <c r="K85">
        <v>8.69</v>
      </c>
      <c r="L85">
        <v>0</v>
      </c>
      <c r="M85" t="s">
        <v>20</v>
      </c>
      <c r="N85" t="s">
        <v>26</v>
      </c>
      <c r="O85">
        <v>20.39</v>
      </c>
      <c r="P85" t="s">
        <v>45</v>
      </c>
    </row>
    <row r="86" spans="1:16" x14ac:dyDescent="0.3">
      <c r="A86" t="s">
        <v>52</v>
      </c>
      <c r="B86" t="s">
        <v>17</v>
      </c>
      <c r="C86" t="s">
        <v>18</v>
      </c>
      <c r="D86" t="s">
        <v>29</v>
      </c>
      <c r="E86">
        <v>1</v>
      </c>
      <c r="F86">
        <v>155.30000000000001</v>
      </c>
      <c r="G86">
        <v>100</v>
      </c>
      <c r="H86">
        <v>5.3</v>
      </c>
      <c r="I86">
        <v>3</v>
      </c>
      <c r="J86">
        <v>9.1300000000000008</v>
      </c>
      <c r="K86">
        <v>4.53</v>
      </c>
      <c r="L86">
        <v>0</v>
      </c>
      <c r="M86" t="s">
        <v>34</v>
      </c>
      <c r="N86" t="s">
        <v>21</v>
      </c>
      <c r="O86">
        <v>16.38</v>
      </c>
      <c r="P86" t="s">
        <v>22</v>
      </c>
    </row>
    <row r="87" spans="1:16" x14ac:dyDescent="0.3">
      <c r="A87" t="s">
        <v>52</v>
      </c>
      <c r="B87" t="s">
        <v>27</v>
      </c>
      <c r="C87" t="s">
        <v>18</v>
      </c>
      <c r="D87" t="s">
        <v>39</v>
      </c>
      <c r="E87">
        <v>5</v>
      </c>
      <c r="F87">
        <v>161.9</v>
      </c>
      <c r="G87">
        <v>90.5</v>
      </c>
      <c r="H87">
        <v>3.2</v>
      </c>
      <c r="I87">
        <v>3</v>
      </c>
      <c r="J87">
        <v>9.92</v>
      </c>
      <c r="K87">
        <v>7.14</v>
      </c>
      <c r="L87">
        <v>0</v>
      </c>
      <c r="M87" t="s">
        <v>34</v>
      </c>
      <c r="N87" t="s">
        <v>26</v>
      </c>
      <c r="O87">
        <v>14.79</v>
      </c>
      <c r="P87" t="s">
        <v>22</v>
      </c>
    </row>
    <row r="88" spans="1:16" x14ac:dyDescent="0.3">
      <c r="A88" t="s">
        <v>52</v>
      </c>
      <c r="B88" t="s">
        <v>23</v>
      </c>
      <c r="C88" t="s">
        <v>31</v>
      </c>
      <c r="D88" t="s">
        <v>29</v>
      </c>
      <c r="E88">
        <v>2</v>
      </c>
      <c r="F88">
        <v>164.3</v>
      </c>
      <c r="G88">
        <v>84.6</v>
      </c>
      <c r="H88">
        <v>3.5</v>
      </c>
      <c r="I88">
        <v>5</v>
      </c>
      <c r="J88">
        <v>8.26</v>
      </c>
      <c r="K88">
        <v>6.79</v>
      </c>
      <c r="L88">
        <v>0</v>
      </c>
      <c r="M88" t="s">
        <v>25</v>
      </c>
      <c r="N88" t="s">
        <v>35</v>
      </c>
      <c r="O88">
        <v>12.03</v>
      </c>
      <c r="P88" t="s">
        <v>28</v>
      </c>
    </row>
    <row r="89" spans="1:16" x14ac:dyDescent="0.3">
      <c r="A89" t="s">
        <v>52</v>
      </c>
      <c r="B89" t="s">
        <v>33</v>
      </c>
      <c r="C89" t="s">
        <v>18</v>
      </c>
      <c r="D89" t="s">
        <v>39</v>
      </c>
      <c r="E89">
        <v>10</v>
      </c>
      <c r="F89">
        <v>162</v>
      </c>
      <c r="G89">
        <v>100</v>
      </c>
      <c r="H89">
        <v>7.2</v>
      </c>
      <c r="I89">
        <v>7</v>
      </c>
      <c r="J89">
        <v>9.2799999999999994</v>
      </c>
      <c r="K89">
        <v>6.87</v>
      </c>
      <c r="L89">
        <v>1</v>
      </c>
      <c r="M89" t="s">
        <v>25</v>
      </c>
      <c r="N89" t="s">
        <v>26</v>
      </c>
      <c r="O89">
        <v>16.690000000000001</v>
      </c>
      <c r="P89" t="s">
        <v>28</v>
      </c>
    </row>
    <row r="90" spans="1:16" x14ac:dyDescent="0.3">
      <c r="A90" t="s">
        <v>52</v>
      </c>
      <c r="B90" t="s">
        <v>23</v>
      </c>
      <c r="C90" t="s">
        <v>18</v>
      </c>
      <c r="D90" t="s">
        <v>39</v>
      </c>
      <c r="E90">
        <v>9</v>
      </c>
      <c r="F90">
        <v>157.4</v>
      </c>
      <c r="G90">
        <v>92.5</v>
      </c>
      <c r="H90">
        <v>5.6</v>
      </c>
      <c r="I90">
        <v>10</v>
      </c>
      <c r="J90">
        <v>6.32</v>
      </c>
      <c r="K90">
        <v>9.68</v>
      </c>
      <c r="L90">
        <v>0</v>
      </c>
      <c r="M90" t="s">
        <v>34</v>
      </c>
      <c r="N90" t="s">
        <v>35</v>
      </c>
      <c r="O90">
        <v>22.59</v>
      </c>
      <c r="P90" t="s">
        <v>30</v>
      </c>
    </row>
    <row r="91" spans="1:16" x14ac:dyDescent="0.3">
      <c r="A91" t="s">
        <v>52</v>
      </c>
      <c r="B91" t="s">
        <v>27</v>
      </c>
      <c r="C91" t="s">
        <v>24</v>
      </c>
      <c r="D91" t="s">
        <v>29</v>
      </c>
      <c r="E91">
        <v>3</v>
      </c>
      <c r="F91">
        <v>150.1</v>
      </c>
      <c r="G91">
        <v>84.2</v>
      </c>
      <c r="H91">
        <v>3.7</v>
      </c>
      <c r="I91">
        <v>5</v>
      </c>
      <c r="J91">
        <v>5.52</v>
      </c>
      <c r="K91">
        <v>8.9600000000000009</v>
      </c>
      <c r="L91">
        <v>0</v>
      </c>
      <c r="M91" t="s">
        <v>25</v>
      </c>
      <c r="N91" t="s">
        <v>21</v>
      </c>
      <c r="O91">
        <v>10.49</v>
      </c>
      <c r="P91" t="s">
        <v>32</v>
      </c>
    </row>
    <row r="92" spans="1:16" x14ac:dyDescent="0.3">
      <c r="A92" t="s">
        <v>52</v>
      </c>
      <c r="B92" t="s">
        <v>43</v>
      </c>
      <c r="C92" t="s">
        <v>18</v>
      </c>
      <c r="D92" t="s">
        <v>29</v>
      </c>
      <c r="E92">
        <v>6</v>
      </c>
      <c r="F92">
        <v>143.69999999999999</v>
      </c>
      <c r="G92">
        <v>95.9</v>
      </c>
      <c r="H92">
        <v>0.2</v>
      </c>
      <c r="I92">
        <v>9</v>
      </c>
      <c r="J92">
        <v>6.7</v>
      </c>
      <c r="K92">
        <v>4.57</v>
      </c>
      <c r="L92">
        <v>0</v>
      </c>
      <c r="M92" t="s">
        <v>34</v>
      </c>
      <c r="N92" t="s">
        <v>35</v>
      </c>
      <c r="O92">
        <v>10.98</v>
      </c>
      <c r="P92" t="s">
        <v>36</v>
      </c>
    </row>
    <row r="93" spans="1:16" x14ac:dyDescent="0.3">
      <c r="A93" t="s">
        <v>52</v>
      </c>
      <c r="B93" t="s">
        <v>43</v>
      </c>
      <c r="C93" t="s">
        <v>24</v>
      </c>
      <c r="D93" t="s">
        <v>39</v>
      </c>
      <c r="E93">
        <v>3</v>
      </c>
      <c r="F93">
        <v>159.69999999999999</v>
      </c>
      <c r="G93">
        <v>90.2</v>
      </c>
      <c r="H93">
        <v>3.3</v>
      </c>
      <c r="I93">
        <v>7</v>
      </c>
      <c r="J93">
        <v>6.02</v>
      </c>
      <c r="K93">
        <v>6.73</v>
      </c>
      <c r="L93">
        <v>1</v>
      </c>
      <c r="M93" t="s">
        <v>25</v>
      </c>
      <c r="N93" t="s">
        <v>26</v>
      </c>
      <c r="O93">
        <v>12.02</v>
      </c>
      <c r="P93" t="s">
        <v>38</v>
      </c>
    </row>
    <row r="94" spans="1:16" x14ac:dyDescent="0.3">
      <c r="A94" t="s">
        <v>52</v>
      </c>
      <c r="B94" t="s">
        <v>17</v>
      </c>
      <c r="C94" t="s">
        <v>31</v>
      </c>
      <c r="D94" t="s">
        <v>29</v>
      </c>
      <c r="E94">
        <v>10</v>
      </c>
      <c r="F94">
        <v>154.6</v>
      </c>
      <c r="G94">
        <v>97.6</v>
      </c>
      <c r="H94">
        <v>6.9</v>
      </c>
      <c r="I94">
        <v>5</v>
      </c>
      <c r="J94">
        <v>6.51</v>
      </c>
      <c r="K94">
        <v>5</v>
      </c>
      <c r="L94">
        <v>0</v>
      </c>
      <c r="M94" t="s">
        <v>20</v>
      </c>
      <c r="N94" t="s">
        <v>21</v>
      </c>
      <c r="O94">
        <v>14.01</v>
      </c>
      <c r="P94" t="s">
        <v>40</v>
      </c>
    </row>
    <row r="95" spans="1:16" x14ac:dyDescent="0.3">
      <c r="A95" t="s">
        <v>52</v>
      </c>
      <c r="B95" t="s">
        <v>23</v>
      </c>
      <c r="C95" t="s">
        <v>31</v>
      </c>
      <c r="D95" t="s">
        <v>39</v>
      </c>
      <c r="E95">
        <v>6</v>
      </c>
      <c r="F95">
        <v>160.5</v>
      </c>
      <c r="G95">
        <v>95.2</v>
      </c>
      <c r="H95">
        <v>3.6</v>
      </c>
      <c r="I95">
        <v>9</v>
      </c>
      <c r="J95">
        <v>6.51</v>
      </c>
      <c r="K95">
        <v>5.65</v>
      </c>
      <c r="L95">
        <v>0</v>
      </c>
      <c r="M95" t="s">
        <v>20</v>
      </c>
      <c r="N95" t="s">
        <v>21</v>
      </c>
      <c r="O95">
        <v>15.2</v>
      </c>
      <c r="P95" t="s">
        <v>42</v>
      </c>
    </row>
    <row r="96" spans="1:16" x14ac:dyDescent="0.3">
      <c r="A96" t="s">
        <v>52</v>
      </c>
      <c r="B96" t="s">
        <v>23</v>
      </c>
      <c r="C96" t="s">
        <v>18</v>
      </c>
      <c r="D96" t="s">
        <v>19</v>
      </c>
      <c r="E96">
        <v>1</v>
      </c>
      <c r="F96">
        <v>148.6</v>
      </c>
      <c r="G96">
        <v>93.7</v>
      </c>
      <c r="H96">
        <v>6</v>
      </c>
      <c r="I96">
        <v>5</v>
      </c>
      <c r="J96">
        <v>6.96</v>
      </c>
      <c r="K96">
        <v>4.3499999999999996</v>
      </c>
      <c r="L96">
        <v>0</v>
      </c>
      <c r="M96" t="s">
        <v>25</v>
      </c>
      <c r="N96" t="s">
        <v>35</v>
      </c>
      <c r="O96">
        <v>16.48</v>
      </c>
      <c r="P96" t="s">
        <v>44</v>
      </c>
    </row>
    <row r="97" spans="1:16" x14ac:dyDescent="0.3">
      <c r="A97" t="s">
        <v>52</v>
      </c>
      <c r="B97" t="s">
        <v>33</v>
      </c>
      <c r="C97" t="s">
        <v>37</v>
      </c>
      <c r="D97" t="s">
        <v>29</v>
      </c>
      <c r="E97">
        <v>9</v>
      </c>
      <c r="F97">
        <v>163.1</v>
      </c>
      <c r="G97">
        <v>95</v>
      </c>
      <c r="H97">
        <v>5.8</v>
      </c>
      <c r="I97">
        <v>6</v>
      </c>
      <c r="J97">
        <v>6.34</v>
      </c>
      <c r="K97">
        <v>8.14</v>
      </c>
      <c r="L97">
        <v>0</v>
      </c>
      <c r="M97" t="s">
        <v>20</v>
      </c>
      <c r="N97" t="s">
        <v>35</v>
      </c>
      <c r="O97">
        <v>22.05</v>
      </c>
      <c r="P97" t="s">
        <v>45</v>
      </c>
    </row>
    <row r="98" spans="1:16" x14ac:dyDescent="0.3">
      <c r="A98" t="s">
        <v>53</v>
      </c>
      <c r="B98" t="s">
        <v>27</v>
      </c>
      <c r="C98" t="s">
        <v>31</v>
      </c>
      <c r="D98" t="s">
        <v>19</v>
      </c>
      <c r="E98">
        <v>4</v>
      </c>
      <c r="F98">
        <v>154.19999999999999</v>
      </c>
      <c r="G98">
        <v>89.9</v>
      </c>
      <c r="H98">
        <v>3.7</v>
      </c>
      <c r="I98">
        <v>2</v>
      </c>
      <c r="J98">
        <v>5.66</v>
      </c>
      <c r="K98">
        <v>5.76</v>
      </c>
      <c r="L98">
        <v>0</v>
      </c>
      <c r="M98" t="s">
        <v>34</v>
      </c>
      <c r="N98" t="s">
        <v>35</v>
      </c>
      <c r="O98">
        <v>15.18</v>
      </c>
      <c r="P98" t="s">
        <v>22</v>
      </c>
    </row>
    <row r="99" spans="1:16" x14ac:dyDescent="0.3">
      <c r="A99" t="s">
        <v>53</v>
      </c>
      <c r="B99" t="s">
        <v>17</v>
      </c>
      <c r="C99" t="s">
        <v>18</v>
      </c>
      <c r="D99" t="s">
        <v>39</v>
      </c>
      <c r="E99">
        <v>6</v>
      </c>
      <c r="F99">
        <v>176.9</v>
      </c>
      <c r="G99">
        <v>99.4</v>
      </c>
      <c r="H99">
        <v>4.5</v>
      </c>
      <c r="I99">
        <v>3</v>
      </c>
      <c r="J99">
        <v>5.19</v>
      </c>
      <c r="K99">
        <v>6.98</v>
      </c>
      <c r="L99">
        <v>0</v>
      </c>
      <c r="M99" t="s">
        <v>25</v>
      </c>
      <c r="N99" t="s">
        <v>26</v>
      </c>
      <c r="O99">
        <v>13.68</v>
      </c>
      <c r="P99" t="s">
        <v>22</v>
      </c>
    </row>
    <row r="100" spans="1:16" x14ac:dyDescent="0.3">
      <c r="A100" t="s">
        <v>53</v>
      </c>
      <c r="B100" t="s">
        <v>33</v>
      </c>
      <c r="C100" t="s">
        <v>18</v>
      </c>
      <c r="D100" t="s">
        <v>29</v>
      </c>
      <c r="E100">
        <v>6</v>
      </c>
      <c r="F100">
        <v>165.6</v>
      </c>
      <c r="G100">
        <v>95.4</v>
      </c>
      <c r="I100">
        <v>5</v>
      </c>
      <c r="J100">
        <v>6.12</v>
      </c>
      <c r="K100">
        <v>9.18</v>
      </c>
      <c r="L100">
        <v>1</v>
      </c>
      <c r="M100" t="s">
        <v>34</v>
      </c>
      <c r="N100" t="s">
        <v>35</v>
      </c>
      <c r="O100">
        <v>16.79</v>
      </c>
      <c r="P100" t="s">
        <v>28</v>
      </c>
    </row>
    <row r="101" spans="1:16" x14ac:dyDescent="0.3">
      <c r="A101" t="s">
        <v>53</v>
      </c>
      <c r="B101" t="s">
        <v>33</v>
      </c>
      <c r="C101" t="s">
        <v>37</v>
      </c>
      <c r="D101" t="s">
        <v>39</v>
      </c>
      <c r="E101">
        <v>7</v>
      </c>
      <c r="F101">
        <v>149.1</v>
      </c>
      <c r="G101">
        <v>93.4</v>
      </c>
      <c r="H101">
        <v>7.4</v>
      </c>
      <c r="I101">
        <v>5</v>
      </c>
      <c r="J101">
        <v>7.71</v>
      </c>
      <c r="K101">
        <v>8.42</v>
      </c>
      <c r="L101">
        <v>0</v>
      </c>
      <c r="M101" t="s">
        <v>34</v>
      </c>
      <c r="N101" t="s">
        <v>26</v>
      </c>
      <c r="O101">
        <v>18.64</v>
      </c>
      <c r="P101" t="s">
        <v>28</v>
      </c>
    </row>
    <row r="102" spans="1:16" x14ac:dyDescent="0.3">
      <c r="A102" t="s">
        <v>53</v>
      </c>
      <c r="B102" t="s">
        <v>17</v>
      </c>
      <c r="C102" t="s">
        <v>31</v>
      </c>
      <c r="D102" t="s">
        <v>19</v>
      </c>
      <c r="E102">
        <v>1</v>
      </c>
      <c r="F102">
        <v>153.19999999999999</v>
      </c>
      <c r="G102">
        <v>89.1</v>
      </c>
      <c r="H102">
        <v>1.9</v>
      </c>
      <c r="I102">
        <v>8</v>
      </c>
      <c r="J102">
        <v>5.71</v>
      </c>
      <c r="K102">
        <v>3.01</v>
      </c>
      <c r="L102">
        <v>0</v>
      </c>
      <c r="M102" t="s">
        <v>25</v>
      </c>
      <c r="N102" t="s">
        <v>35</v>
      </c>
      <c r="O102">
        <v>18.16</v>
      </c>
      <c r="P102" t="s">
        <v>30</v>
      </c>
    </row>
    <row r="103" spans="1:16" x14ac:dyDescent="0.3">
      <c r="A103" t="s">
        <v>53</v>
      </c>
      <c r="B103" t="s">
        <v>17</v>
      </c>
      <c r="C103" t="s">
        <v>31</v>
      </c>
      <c r="D103" t="s">
        <v>29</v>
      </c>
      <c r="E103">
        <v>1</v>
      </c>
      <c r="F103">
        <v>160.80000000000001</v>
      </c>
      <c r="G103">
        <v>94.5</v>
      </c>
      <c r="H103">
        <v>6.8</v>
      </c>
      <c r="I103">
        <v>6</v>
      </c>
      <c r="J103">
        <v>7.06</v>
      </c>
      <c r="K103">
        <v>4.93</v>
      </c>
      <c r="L103">
        <v>2</v>
      </c>
      <c r="M103" t="s">
        <v>34</v>
      </c>
      <c r="N103" t="s">
        <v>26</v>
      </c>
      <c r="O103">
        <v>19.75</v>
      </c>
      <c r="P103" t="s">
        <v>32</v>
      </c>
    </row>
    <row r="104" spans="1:16" x14ac:dyDescent="0.3">
      <c r="A104" t="s">
        <v>53</v>
      </c>
      <c r="B104" t="s">
        <v>23</v>
      </c>
      <c r="C104" t="s">
        <v>37</v>
      </c>
      <c r="D104" t="s">
        <v>39</v>
      </c>
      <c r="E104">
        <v>10</v>
      </c>
      <c r="F104">
        <v>157.69999999999999</v>
      </c>
      <c r="G104">
        <v>96</v>
      </c>
      <c r="H104">
        <v>9.9</v>
      </c>
      <c r="I104">
        <v>5</v>
      </c>
      <c r="J104">
        <v>7.05</v>
      </c>
      <c r="K104">
        <v>8.02</v>
      </c>
      <c r="L104">
        <v>0</v>
      </c>
      <c r="M104" t="s">
        <v>25</v>
      </c>
      <c r="N104" t="s">
        <v>26</v>
      </c>
      <c r="O104">
        <v>14.62</v>
      </c>
      <c r="P104" t="s">
        <v>36</v>
      </c>
    </row>
    <row r="105" spans="1:16" x14ac:dyDescent="0.3">
      <c r="A105" t="s">
        <v>53</v>
      </c>
      <c r="B105" t="s">
        <v>33</v>
      </c>
      <c r="C105" t="s">
        <v>41</v>
      </c>
      <c r="D105" t="s">
        <v>39</v>
      </c>
      <c r="E105">
        <v>4</v>
      </c>
      <c r="F105">
        <v>150.6</v>
      </c>
      <c r="G105">
        <v>94.3</v>
      </c>
      <c r="H105">
        <v>2.6</v>
      </c>
      <c r="I105">
        <v>5</v>
      </c>
      <c r="J105">
        <v>8.4</v>
      </c>
      <c r="K105">
        <v>7.3</v>
      </c>
      <c r="L105">
        <v>2</v>
      </c>
      <c r="M105" t="s">
        <v>34</v>
      </c>
      <c r="N105" t="s">
        <v>21</v>
      </c>
      <c r="O105">
        <v>11.56</v>
      </c>
      <c r="P105" t="s">
        <v>38</v>
      </c>
    </row>
    <row r="106" spans="1:16" x14ac:dyDescent="0.3">
      <c r="A106" t="s">
        <v>53</v>
      </c>
      <c r="B106" t="s">
        <v>33</v>
      </c>
      <c r="C106" t="s">
        <v>41</v>
      </c>
      <c r="D106" t="s">
        <v>39</v>
      </c>
      <c r="E106">
        <v>3</v>
      </c>
      <c r="F106">
        <v>152.9</v>
      </c>
      <c r="G106">
        <v>99.3</v>
      </c>
      <c r="H106">
        <v>6.1</v>
      </c>
      <c r="I106">
        <v>5</v>
      </c>
      <c r="J106">
        <v>6.12</v>
      </c>
      <c r="K106">
        <v>8.9</v>
      </c>
      <c r="L106">
        <v>1</v>
      </c>
      <c r="M106" t="s">
        <v>34</v>
      </c>
      <c r="N106" t="s">
        <v>35</v>
      </c>
      <c r="O106">
        <v>16.07</v>
      </c>
      <c r="P106" t="s">
        <v>40</v>
      </c>
    </row>
    <row r="107" spans="1:16" x14ac:dyDescent="0.3">
      <c r="A107" t="s">
        <v>53</v>
      </c>
      <c r="B107" t="s">
        <v>33</v>
      </c>
      <c r="C107" t="s">
        <v>31</v>
      </c>
      <c r="D107" t="s">
        <v>19</v>
      </c>
      <c r="E107">
        <v>5</v>
      </c>
      <c r="F107">
        <v>158.69999999999999</v>
      </c>
      <c r="G107">
        <v>99.9</v>
      </c>
      <c r="H107">
        <v>4</v>
      </c>
      <c r="I107">
        <v>4</v>
      </c>
      <c r="J107">
        <v>5.74</v>
      </c>
      <c r="K107">
        <v>5.85</v>
      </c>
      <c r="L107">
        <v>0</v>
      </c>
      <c r="M107" t="s">
        <v>20</v>
      </c>
      <c r="N107" t="s">
        <v>26</v>
      </c>
      <c r="O107">
        <v>0.23</v>
      </c>
      <c r="P107" t="s">
        <v>42</v>
      </c>
    </row>
    <row r="108" spans="1:16" x14ac:dyDescent="0.3">
      <c r="A108" t="s">
        <v>53</v>
      </c>
      <c r="B108" t="s">
        <v>23</v>
      </c>
      <c r="C108" t="s">
        <v>24</v>
      </c>
      <c r="D108" t="s">
        <v>39</v>
      </c>
      <c r="E108">
        <v>5</v>
      </c>
      <c r="F108">
        <v>154.5</v>
      </c>
      <c r="G108">
        <v>97</v>
      </c>
      <c r="H108">
        <v>2</v>
      </c>
      <c r="I108">
        <v>3</v>
      </c>
      <c r="J108">
        <v>7.78</v>
      </c>
      <c r="K108">
        <v>6.97</v>
      </c>
      <c r="L108">
        <v>0</v>
      </c>
      <c r="M108" t="s">
        <v>34</v>
      </c>
      <c r="N108" t="s">
        <v>35</v>
      </c>
      <c r="O108">
        <v>15.86</v>
      </c>
      <c r="P108" t="s">
        <v>44</v>
      </c>
    </row>
    <row r="109" spans="1:16" x14ac:dyDescent="0.3">
      <c r="A109" t="s">
        <v>53</v>
      </c>
      <c r="B109" t="s">
        <v>23</v>
      </c>
      <c r="C109" t="s">
        <v>41</v>
      </c>
      <c r="D109" t="s">
        <v>19</v>
      </c>
      <c r="E109">
        <v>5</v>
      </c>
      <c r="F109">
        <v>148.1</v>
      </c>
      <c r="G109">
        <v>94.8</v>
      </c>
      <c r="H109">
        <v>7.3</v>
      </c>
      <c r="I109">
        <v>10</v>
      </c>
      <c r="J109">
        <v>6.21</v>
      </c>
      <c r="K109">
        <v>8.36</v>
      </c>
      <c r="L109">
        <v>0</v>
      </c>
      <c r="M109" t="s">
        <v>20</v>
      </c>
      <c r="N109" t="s">
        <v>35</v>
      </c>
      <c r="O109">
        <v>12.21</v>
      </c>
      <c r="P109" t="s">
        <v>45</v>
      </c>
    </row>
    <row r="110" spans="1:16" x14ac:dyDescent="0.3">
      <c r="A110" t="s">
        <v>54</v>
      </c>
      <c r="B110" t="s">
        <v>27</v>
      </c>
      <c r="C110" t="s">
        <v>18</v>
      </c>
      <c r="D110" t="s">
        <v>39</v>
      </c>
      <c r="E110">
        <v>8</v>
      </c>
      <c r="F110">
        <v>181.6</v>
      </c>
      <c r="G110">
        <v>92</v>
      </c>
      <c r="H110">
        <v>6.5</v>
      </c>
      <c r="I110">
        <v>4</v>
      </c>
      <c r="J110">
        <v>7.95</v>
      </c>
      <c r="K110">
        <v>7.18</v>
      </c>
      <c r="L110">
        <v>1</v>
      </c>
      <c r="M110" t="s">
        <v>20</v>
      </c>
      <c r="N110" t="s">
        <v>21</v>
      </c>
      <c r="O110">
        <v>21.93</v>
      </c>
      <c r="P110" t="s">
        <v>22</v>
      </c>
    </row>
    <row r="111" spans="1:16" x14ac:dyDescent="0.3">
      <c r="A111" t="s">
        <v>54</v>
      </c>
      <c r="B111" t="s">
        <v>43</v>
      </c>
      <c r="C111" t="s">
        <v>41</v>
      </c>
      <c r="D111" t="s">
        <v>19</v>
      </c>
      <c r="E111">
        <v>8</v>
      </c>
      <c r="F111">
        <v>162.4</v>
      </c>
      <c r="G111">
        <v>92.7</v>
      </c>
      <c r="H111">
        <v>3.4</v>
      </c>
      <c r="I111">
        <v>5</v>
      </c>
      <c r="J111">
        <v>9.4499999999999993</v>
      </c>
      <c r="K111">
        <v>7.57</v>
      </c>
      <c r="L111">
        <v>1</v>
      </c>
      <c r="M111" t="s">
        <v>34</v>
      </c>
      <c r="N111" t="s">
        <v>35</v>
      </c>
      <c r="O111">
        <v>10.02</v>
      </c>
      <c r="P111" t="s">
        <v>22</v>
      </c>
    </row>
    <row r="112" spans="1:16" x14ac:dyDescent="0.3">
      <c r="A112" t="s">
        <v>54</v>
      </c>
      <c r="B112" t="s">
        <v>43</v>
      </c>
      <c r="C112" t="s">
        <v>31</v>
      </c>
      <c r="D112" t="s">
        <v>39</v>
      </c>
      <c r="E112">
        <v>10</v>
      </c>
      <c r="F112">
        <v>166.1</v>
      </c>
      <c r="G112">
        <v>100</v>
      </c>
      <c r="H112">
        <v>2.5</v>
      </c>
      <c r="I112">
        <v>5</v>
      </c>
      <c r="J112">
        <v>6.75</v>
      </c>
      <c r="K112">
        <v>9.91</v>
      </c>
      <c r="L112">
        <v>1</v>
      </c>
      <c r="M112" t="s">
        <v>34</v>
      </c>
      <c r="N112" t="s">
        <v>21</v>
      </c>
      <c r="O112">
        <v>23.24</v>
      </c>
      <c r="P112" t="s">
        <v>28</v>
      </c>
    </row>
    <row r="113" spans="1:16" x14ac:dyDescent="0.3">
      <c r="A113" t="s">
        <v>54</v>
      </c>
      <c r="B113" t="s">
        <v>27</v>
      </c>
      <c r="C113" t="s">
        <v>31</v>
      </c>
      <c r="D113" t="s">
        <v>19</v>
      </c>
      <c r="E113">
        <v>2</v>
      </c>
      <c r="F113">
        <v>156.4</v>
      </c>
      <c r="G113">
        <v>90.8</v>
      </c>
      <c r="H113">
        <v>2.9</v>
      </c>
      <c r="I113">
        <v>5</v>
      </c>
      <c r="J113">
        <v>4.55</v>
      </c>
      <c r="K113">
        <v>7.61</v>
      </c>
      <c r="L113">
        <v>0</v>
      </c>
      <c r="M113" t="s">
        <v>25</v>
      </c>
      <c r="N113" t="s">
        <v>26</v>
      </c>
      <c r="O113">
        <v>16.37</v>
      </c>
      <c r="P113" t="s">
        <v>28</v>
      </c>
    </row>
    <row r="114" spans="1:16" x14ac:dyDescent="0.3">
      <c r="A114" t="s">
        <v>54</v>
      </c>
      <c r="B114" t="s">
        <v>17</v>
      </c>
      <c r="C114" t="s">
        <v>37</v>
      </c>
      <c r="D114" t="s">
        <v>19</v>
      </c>
      <c r="E114">
        <v>7</v>
      </c>
      <c r="F114">
        <v>156.5</v>
      </c>
      <c r="G114">
        <v>97.7</v>
      </c>
      <c r="H114">
        <v>9.3000000000000007</v>
      </c>
      <c r="I114">
        <v>5</v>
      </c>
      <c r="J114">
        <v>8.5299999999999994</v>
      </c>
      <c r="K114">
        <v>9.25</v>
      </c>
      <c r="L114">
        <v>0</v>
      </c>
      <c r="M114" t="s">
        <v>34</v>
      </c>
      <c r="N114" t="s">
        <v>26</v>
      </c>
      <c r="O114">
        <v>10.72</v>
      </c>
      <c r="P114" t="s">
        <v>30</v>
      </c>
    </row>
    <row r="115" spans="1:16" x14ac:dyDescent="0.3">
      <c r="A115" t="s">
        <v>54</v>
      </c>
      <c r="B115" t="s">
        <v>27</v>
      </c>
      <c r="C115" t="s">
        <v>37</v>
      </c>
      <c r="D115" t="s">
        <v>29</v>
      </c>
      <c r="E115">
        <v>2</v>
      </c>
      <c r="F115">
        <v>163.19999999999999</v>
      </c>
      <c r="G115">
        <v>91.6</v>
      </c>
      <c r="H115">
        <v>2.6</v>
      </c>
      <c r="I115">
        <v>6</v>
      </c>
      <c r="J115">
        <v>7.44</v>
      </c>
      <c r="K115">
        <v>7.33</v>
      </c>
      <c r="L115">
        <v>1</v>
      </c>
      <c r="M115" t="s">
        <v>25</v>
      </c>
      <c r="N115" t="s">
        <v>26</v>
      </c>
      <c r="O115">
        <v>8.65</v>
      </c>
      <c r="P115" t="s">
        <v>32</v>
      </c>
    </row>
    <row r="116" spans="1:16" x14ac:dyDescent="0.3">
      <c r="A116" t="s">
        <v>54</v>
      </c>
      <c r="B116" t="s">
        <v>33</v>
      </c>
      <c r="C116" t="s">
        <v>24</v>
      </c>
      <c r="D116" t="s">
        <v>29</v>
      </c>
      <c r="E116">
        <v>5</v>
      </c>
      <c r="F116">
        <v>158.6</v>
      </c>
      <c r="G116">
        <v>88.9</v>
      </c>
      <c r="H116">
        <v>4.5999999999999996</v>
      </c>
      <c r="I116">
        <v>7</v>
      </c>
      <c r="J116">
        <v>6.22</v>
      </c>
      <c r="K116">
        <v>6.73</v>
      </c>
      <c r="L116">
        <v>1</v>
      </c>
      <c r="M116" t="s">
        <v>25</v>
      </c>
      <c r="N116" t="s">
        <v>21</v>
      </c>
      <c r="O116">
        <v>13.01</v>
      </c>
      <c r="P116" t="s">
        <v>36</v>
      </c>
    </row>
    <row r="117" spans="1:16" x14ac:dyDescent="0.3">
      <c r="A117" t="s">
        <v>54</v>
      </c>
      <c r="B117" t="s">
        <v>17</v>
      </c>
      <c r="C117" t="s">
        <v>24</v>
      </c>
      <c r="D117" t="s">
        <v>39</v>
      </c>
      <c r="E117">
        <v>6</v>
      </c>
      <c r="F117">
        <v>168.3</v>
      </c>
      <c r="G117">
        <v>99</v>
      </c>
      <c r="H117">
        <v>7.3</v>
      </c>
      <c r="I117">
        <v>7</v>
      </c>
      <c r="J117">
        <v>8.68</v>
      </c>
      <c r="K117">
        <v>7.79</v>
      </c>
      <c r="L117">
        <v>0</v>
      </c>
      <c r="M117" t="s">
        <v>34</v>
      </c>
      <c r="N117" t="s">
        <v>21</v>
      </c>
      <c r="O117">
        <v>10.42</v>
      </c>
      <c r="P117" t="s">
        <v>38</v>
      </c>
    </row>
    <row r="118" spans="1:16" x14ac:dyDescent="0.3">
      <c r="A118" t="s">
        <v>54</v>
      </c>
      <c r="B118" t="s">
        <v>43</v>
      </c>
      <c r="C118" t="s">
        <v>31</v>
      </c>
      <c r="D118" t="s">
        <v>19</v>
      </c>
      <c r="E118">
        <v>7</v>
      </c>
      <c r="F118">
        <v>171.7</v>
      </c>
      <c r="G118">
        <v>92.1</v>
      </c>
      <c r="H118">
        <v>5.4</v>
      </c>
      <c r="I118">
        <v>6</v>
      </c>
      <c r="J118">
        <v>6.25</v>
      </c>
      <c r="K118">
        <v>9.0500000000000007</v>
      </c>
      <c r="L118">
        <v>0</v>
      </c>
      <c r="M118" t="s">
        <v>34</v>
      </c>
      <c r="N118" t="s">
        <v>21</v>
      </c>
      <c r="O118">
        <v>16.559999999999999</v>
      </c>
      <c r="P118" t="s">
        <v>40</v>
      </c>
    </row>
    <row r="119" spans="1:16" x14ac:dyDescent="0.3">
      <c r="A119" t="s">
        <v>54</v>
      </c>
      <c r="B119" t="s">
        <v>43</v>
      </c>
      <c r="C119" t="s">
        <v>31</v>
      </c>
      <c r="D119" t="s">
        <v>39</v>
      </c>
      <c r="E119">
        <v>3</v>
      </c>
      <c r="F119">
        <v>151.80000000000001</v>
      </c>
      <c r="G119">
        <v>95</v>
      </c>
      <c r="H119">
        <v>4.7</v>
      </c>
      <c r="I119">
        <v>7</v>
      </c>
      <c r="J119">
        <v>6.82</v>
      </c>
      <c r="K119">
        <v>6.83</v>
      </c>
      <c r="L119">
        <v>0</v>
      </c>
      <c r="M119" t="s">
        <v>25</v>
      </c>
      <c r="N119" t="s">
        <v>21</v>
      </c>
      <c r="O119">
        <v>12.95</v>
      </c>
      <c r="P119" t="s">
        <v>42</v>
      </c>
    </row>
    <row r="120" spans="1:16" x14ac:dyDescent="0.3">
      <c r="A120" t="s">
        <v>54</v>
      </c>
      <c r="B120" t="s">
        <v>17</v>
      </c>
      <c r="C120" t="s">
        <v>18</v>
      </c>
      <c r="D120" t="s">
        <v>39</v>
      </c>
      <c r="E120">
        <v>9</v>
      </c>
      <c r="F120">
        <v>161.9</v>
      </c>
      <c r="G120">
        <v>97.9</v>
      </c>
      <c r="H120">
        <v>8.6999999999999993</v>
      </c>
      <c r="I120">
        <v>7</v>
      </c>
      <c r="J120">
        <v>5.88</v>
      </c>
      <c r="K120">
        <v>4.18</v>
      </c>
      <c r="L120">
        <v>0</v>
      </c>
      <c r="M120" t="s">
        <v>25</v>
      </c>
      <c r="N120" t="s">
        <v>21</v>
      </c>
      <c r="O120">
        <v>8.15</v>
      </c>
      <c r="P120" t="s">
        <v>44</v>
      </c>
    </row>
    <row r="121" spans="1:16" x14ac:dyDescent="0.3">
      <c r="A121" t="s">
        <v>54</v>
      </c>
      <c r="B121" t="s">
        <v>27</v>
      </c>
      <c r="C121" t="s">
        <v>31</v>
      </c>
      <c r="D121" t="s">
        <v>29</v>
      </c>
      <c r="E121">
        <v>1</v>
      </c>
      <c r="F121">
        <v>176.9</v>
      </c>
      <c r="G121">
        <v>100</v>
      </c>
      <c r="H121">
        <v>5.9</v>
      </c>
      <c r="I121">
        <v>5</v>
      </c>
      <c r="J121">
        <v>7.8</v>
      </c>
      <c r="K121">
        <v>1.57</v>
      </c>
      <c r="L121">
        <v>1</v>
      </c>
      <c r="M121" t="s">
        <v>34</v>
      </c>
      <c r="N121" t="s">
        <v>21</v>
      </c>
      <c r="O121">
        <v>9.0399999999999991</v>
      </c>
      <c r="P121" t="s">
        <v>45</v>
      </c>
    </row>
    <row r="122" spans="1:16" x14ac:dyDescent="0.3">
      <c r="A122" t="s">
        <v>55</v>
      </c>
      <c r="B122" t="s">
        <v>17</v>
      </c>
      <c r="C122" t="s">
        <v>31</v>
      </c>
      <c r="D122" t="s">
        <v>29</v>
      </c>
      <c r="E122">
        <v>4</v>
      </c>
      <c r="F122">
        <v>159.69999999999999</v>
      </c>
      <c r="G122">
        <v>100</v>
      </c>
      <c r="H122">
        <v>8.3000000000000007</v>
      </c>
      <c r="I122">
        <v>7</v>
      </c>
      <c r="J122">
        <v>6.81</v>
      </c>
      <c r="K122">
        <v>6.8</v>
      </c>
      <c r="L122">
        <v>0</v>
      </c>
      <c r="M122" t="s">
        <v>20</v>
      </c>
      <c r="N122" t="s">
        <v>26</v>
      </c>
      <c r="O122">
        <v>13.46</v>
      </c>
      <c r="P122" t="s">
        <v>22</v>
      </c>
    </row>
    <row r="123" spans="1:16" x14ac:dyDescent="0.3">
      <c r="A123" t="s">
        <v>55</v>
      </c>
      <c r="B123" t="s">
        <v>27</v>
      </c>
      <c r="C123" t="s">
        <v>41</v>
      </c>
      <c r="D123" t="s">
        <v>19</v>
      </c>
      <c r="E123">
        <v>3</v>
      </c>
      <c r="F123">
        <v>168.9</v>
      </c>
      <c r="G123">
        <v>91.5</v>
      </c>
      <c r="H123">
        <v>4.9000000000000004</v>
      </c>
      <c r="I123">
        <v>5</v>
      </c>
      <c r="J123">
        <v>7.87</v>
      </c>
      <c r="K123">
        <v>9.11</v>
      </c>
      <c r="L123">
        <v>0</v>
      </c>
      <c r="M123" t="s">
        <v>20</v>
      </c>
      <c r="N123" t="s">
        <v>35</v>
      </c>
      <c r="O123">
        <v>23.5</v>
      </c>
      <c r="P123" t="s">
        <v>22</v>
      </c>
    </row>
    <row r="124" spans="1:16" x14ac:dyDescent="0.3">
      <c r="A124" t="s">
        <v>55</v>
      </c>
      <c r="B124" t="s">
        <v>27</v>
      </c>
      <c r="C124" t="s">
        <v>41</v>
      </c>
      <c r="D124" t="s">
        <v>39</v>
      </c>
      <c r="E124">
        <v>2</v>
      </c>
      <c r="F124">
        <v>142.4</v>
      </c>
      <c r="G124">
        <v>89.9</v>
      </c>
      <c r="H124">
        <v>5.5</v>
      </c>
      <c r="I124">
        <v>5</v>
      </c>
      <c r="J124">
        <v>7.63</v>
      </c>
      <c r="K124">
        <v>4.78</v>
      </c>
      <c r="L124">
        <v>0</v>
      </c>
      <c r="M124" t="s">
        <v>34</v>
      </c>
      <c r="N124" t="s">
        <v>35</v>
      </c>
      <c r="O124">
        <v>15.33</v>
      </c>
      <c r="P124" t="s">
        <v>28</v>
      </c>
    </row>
    <row r="125" spans="1:16" x14ac:dyDescent="0.3">
      <c r="A125" t="s">
        <v>55</v>
      </c>
      <c r="B125" t="s">
        <v>23</v>
      </c>
      <c r="C125" t="s">
        <v>31</v>
      </c>
      <c r="D125" t="s">
        <v>39</v>
      </c>
      <c r="E125">
        <v>3</v>
      </c>
      <c r="F125">
        <v>163.1</v>
      </c>
      <c r="G125">
        <v>94.3</v>
      </c>
      <c r="H125">
        <v>3.4</v>
      </c>
      <c r="I125">
        <v>9</v>
      </c>
      <c r="J125">
        <v>7.25</v>
      </c>
      <c r="K125">
        <v>6.53</v>
      </c>
      <c r="L125">
        <v>0</v>
      </c>
      <c r="M125" t="s">
        <v>20</v>
      </c>
      <c r="N125" t="s">
        <v>21</v>
      </c>
      <c r="O125">
        <v>19.54</v>
      </c>
      <c r="P125" t="s">
        <v>28</v>
      </c>
    </row>
    <row r="126" spans="1:16" x14ac:dyDescent="0.3">
      <c r="A126" t="s">
        <v>55</v>
      </c>
      <c r="B126" t="s">
        <v>33</v>
      </c>
      <c r="C126" t="s">
        <v>41</v>
      </c>
      <c r="D126" t="s">
        <v>39</v>
      </c>
      <c r="E126">
        <v>6</v>
      </c>
      <c r="F126">
        <v>164.4</v>
      </c>
      <c r="G126">
        <v>99.5</v>
      </c>
      <c r="H126">
        <v>0.3</v>
      </c>
      <c r="I126">
        <v>6</v>
      </c>
      <c r="J126">
        <v>5.99</v>
      </c>
      <c r="K126">
        <v>5.74</v>
      </c>
      <c r="L126">
        <v>0</v>
      </c>
      <c r="M126" t="s">
        <v>34</v>
      </c>
      <c r="N126" t="s">
        <v>21</v>
      </c>
      <c r="O126">
        <v>16.25</v>
      </c>
      <c r="P126" t="s">
        <v>30</v>
      </c>
    </row>
    <row r="127" spans="1:16" x14ac:dyDescent="0.3">
      <c r="A127" t="s">
        <v>55</v>
      </c>
      <c r="B127" t="s">
        <v>33</v>
      </c>
      <c r="C127" t="s">
        <v>31</v>
      </c>
      <c r="D127" t="s">
        <v>29</v>
      </c>
      <c r="E127">
        <v>4</v>
      </c>
      <c r="F127">
        <v>175.8</v>
      </c>
      <c r="G127">
        <v>96.4</v>
      </c>
      <c r="H127">
        <v>5.7</v>
      </c>
      <c r="I127">
        <v>7</v>
      </c>
      <c r="J127">
        <v>6.24</v>
      </c>
      <c r="K127">
        <v>4.43</v>
      </c>
      <c r="L127">
        <v>0</v>
      </c>
      <c r="M127" t="s">
        <v>34</v>
      </c>
      <c r="N127" t="s">
        <v>35</v>
      </c>
      <c r="O127">
        <v>8.8000000000000007</v>
      </c>
      <c r="P127" t="s">
        <v>32</v>
      </c>
    </row>
    <row r="128" spans="1:16" x14ac:dyDescent="0.3">
      <c r="A128" t="s">
        <v>55</v>
      </c>
      <c r="B128" t="s">
        <v>23</v>
      </c>
      <c r="C128" t="s">
        <v>37</v>
      </c>
      <c r="D128" t="s">
        <v>39</v>
      </c>
      <c r="E128">
        <v>3</v>
      </c>
      <c r="F128">
        <v>163</v>
      </c>
      <c r="G128">
        <v>91.2</v>
      </c>
      <c r="H128">
        <v>4.0999999999999996</v>
      </c>
      <c r="I128">
        <v>9</v>
      </c>
      <c r="J128">
        <v>9.2200000000000006</v>
      </c>
      <c r="K128">
        <v>7.14</v>
      </c>
      <c r="L128">
        <v>0</v>
      </c>
      <c r="M128" t="s">
        <v>20</v>
      </c>
      <c r="N128" t="s">
        <v>26</v>
      </c>
      <c r="O128">
        <v>18.21</v>
      </c>
      <c r="P128" t="s">
        <v>36</v>
      </c>
    </row>
    <row r="129" spans="1:16" x14ac:dyDescent="0.3">
      <c r="A129" t="s">
        <v>55</v>
      </c>
      <c r="B129" t="s">
        <v>17</v>
      </c>
      <c r="C129" t="s">
        <v>24</v>
      </c>
      <c r="D129" t="s">
        <v>29</v>
      </c>
      <c r="E129">
        <v>4</v>
      </c>
      <c r="F129">
        <v>147.69999999999999</v>
      </c>
      <c r="G129">
        <v>96.1</v>
      </c>
      <c r="H129">
        <v>1.9</v>
      </c>
      <c r="I129">
        <v>4</v>
      </c>
      <c r="J129">
        <v>9.4499999999999993</v>
      </c>
      <c r="K129">
        <v>9.7100000000000009</v>
      </c>
      <c r="L129">
        <v>1</v>
      </c>
      <c r="M129" t="s">
        <v>25</v>
      </c>
      <c r="N129" t="s">
        <v>35</v>
      </c>
      <c r="O129">
        <v>9.69</v>
      </c>
      <c r="P129" t="s">
        <v>38</v>
      </c>
    </row>
    <row r="130" spans="1:16" x14ac:dyDescent="0.3">
      <c r="A130" t="s">
        <v>55</v>
      </c>
      <c r="B130" t="s">
        <v>23</v>
      </c>
      <c r="C130" t="s">
        <v>24</v>
      </c>
      <c r="D130" t="s">
        <v>29</v>
      </c>
      <c r="E130">
        <v>5</v>
      </c>
      <c r="F130">
        <v>180.6</v>
      </c>
      <c r="G130">
        <v>89.7</v>
      </c>
      <c r="H130">
        <v>5</v>
      </c>
      <c r="I130">
        <v>8</v>
      </c>
      <c r="J130">
        <v>9.6199999999999992</v>
      </c>
      <c r="K130">
        <v>7.07</v>
      </c>
      <c r="L130">
        <v>0</v>
      </c>
      <c r="M130" t="s">
        <v>20</v>
      </c>
      <c r="N130" t="s">
        <v>35</v>
      </c>
      <c r="O130">
        <v>12.49</v>
      </c>
      <c r="P130" t="s">
        <v>40</v>
      </c>
    </row>
    <row r="131" spans="1:16" x14ac:dyDescent="0.3">
      <c r="A131" t="s">
        <v>55</v>
      </c>
      <c r="B131" t="s">
        <v>33</v>
      </c>
      <c r="C131" t="s">
        <v>41</v>
      </c>
      <c r="D131" t="s">
        <v>39</v>
      </c>
      <c r="E131">
        <v>9</v>
      </c>
      <c r="F131">
        <v>155</v>
      </c>
      <c r="G131">
        <v>97.8</v>
      </c>
      <c r="H131">
        <v>5.6</v>
      </c>
      <c r="I131">
        <v>8</v>
      </c>
      <c r="J131">
        <v>7.39</v>
      </c>
      <c r="K131">
        <v>8.4700000000000006</v>
      </c>
      <c r="L131">
        <v>1</v>
      </c>
      <c r="M131" t="s">
        <v>20</v>
      </c>
      <c r="N131" t="s">
        <v>21</v>
      </c>
      <c r="O131">
        <v>11.93</v>
      </c>
      <c r="P131" t="s">
        <v>42</v>
      </c>
    </row>
    <row r="132" spans="1:16" x14ac:dyDescent="0.3">
      <c r="A132" t="s">
        <v>55</v>
      </c>
      <c r="B132" t="s">
        <v>23</v>
      </c>
      <c r="C132" t="s">
        <v>31</v>
      </c>
      <c r="D132" t="s">
        <v>39</v>
      </c>
      <c r="E132">
        <v>10</v>
      </c>
      <c r="F132">
        <v>155.4</v>
      </c>
      <c r="G132">
        <v>93.5</v>
      </c>
      <c r="H132">
        <v>5.5</v>
      </c>
      <c r="I132">
        <v>10</v>
      </c>
      <c r="J132">
        <v>6.81</v>
      </c>
      <c r="K132">
        <v>6.36</v>
      </c>
      <c r="L132">
        <v>0</v>
      </c>
      <c r="M132" t="s">
        <v>34</v>
      </c>
      <c r="N132" t="s">
        <v>26</v>
      </c>
      <c r="O132">
        <v>11</v>
      </c>
      <c r="P132" t="s">
        <v>44</v>
      </c>
    </row>
    <row r="133" spans="1:16" x14ac:dyDescent="0.3">
      <c r="A133" t="s">
        <v>55</v>
      </c>
      <c r="B133" t="s">
        <v>17</v>
      </c>
      <c r="C133" t="s">
        <v>41</v>
      </c>
      <c r="D133" t="s">
        <v>39</v>
      </c>
      <c r="E133">
        <v>7</v>
      </c>
      <c r="F133">
        <v>164.7</v>
      </c>
      <c r="G133">
        <v>90</v>
      </c>
      <c r="H133">
        <v>4.5999999999999996</v>
      </c>
      <c r="I133">
        <v>5</v>
      </c>
      <c r="J133">
        <v>6.61</v>
      </c>
      <c r="K133">
        <v>7.69</v>
      </c>
      <c r="L133">
        <v>0</v>
      </c>
      <c r="M133" t="s">
        <v>20</v>
      </c>
      <c r="N133" t="s">
        <v>21</v>
      </c>
      <c r="O133">
        <v>14.05</v>
      </c>
      <c r="P133" t="s">
        <v>45</v>
      </c>
    </row>
    <row r="134" spans="1:16" x14ac:dyDescent="0.3">
      <c r="A134" t="s">
        <v>56</v>
      </c>
      <c r="B134" t="s">
        <v>33</v>
      </c>
      <c r="C134" t="s">
        <v>37</v>
      </c>
      <c r="D134" t="s">
        <v>39</v>
      </c>
      <c r="E134">
        <v>9</v>
      </c>
      <c r="F134">
        <v>166.3</v>
      </c>
      <c r="G134">
        <v>100</v>
      </c>
      <c r="H134">
        <v>5.8</v>
      </c>
      <c r="I134">
        <v>7</v>
      </c>
      <c r="J134">
        <v>7.14</v>
      </c>
      <c r="K134">
        <v>5.93</v>
      </c>
      <c r="L134">
        <v>1</v>
      </c>
      <c r="M134" t="s">
        <v>20</v>
      </c>
      <c r="N134" t="s">
        <v>26</v>
      </c>
      <c r="O134">
        <v>13.94</v>
      </c>
      <c r="P134" t="s">
        <v>22</v>
      </c>
    </row>
    <row r="135" spans="1:16" x14ac:dyDescent="0.3">
      <c r="A135" t="s">
        <v>56</v>
      </c>
      <c r="B135" t="s">
        <v>27</v>
      </c>
      <c r="C135" t="s">
        <v>41</v>
      </c>
      <c r="D135" t="s">
        <v>29</v>
      </c>
      <c r="E135">
        <v>10</v>
      </c>
      <c r="F135">
        <v>165.4</v>
      </c>
      <c r="G135">
        <v>99.4</v>
      </c>
      <c r="H135">
        <v>7</v>
      </c>
      <c r="I135">
        <v>6</v>
      </c>
      <c r="J135">
        <v>10</v>
      </c>
      <c r="K135">
        <v>3.6</v>
      </c>
      <c r="L135">
        <v>1</v>
      </c>
      <c r="M135" t="s">
        <v>20</v>
      </c>
      <c r="N135" t="s">
        <v>21</v>
      </c>
      <c r="O135">
        <v>17.02</v>
      </c>
      <c r="P135" t="s">
        <v>22</v>
      </c>
    </row>
    <row r="136" spans="1:16" x14ac:dyDescent="0.3">
      <c r="A136" t="s">
        <v>56</v>
      </c>
      <c r="B136" t="s">
        <v>33</v>
      </c>
      <c r="C136" t="s">
        <v>31</v>
      </c>
      <c r="D136" t="s">
        <v>39</v>
      </c>
      <c r="E136">
        <v>5</v>
      </c>
      <c r="F136">
        <v>149.5</v>
      </c>
      <c r="G136">
        <v>89.7</v>
      </c>
      <c r="H136">
        <v>6.9</v>
      </c>
      <c r="I136">
        <v>5</v>
      </c>
      <c r="J136">
        <v>10</v>
      </c>
      <c r="K136">
        <v>7.14</v>
      </c>
      <c r="L136">
        <v>0</v>
      </c>
      <c r="M136" t="s">
        <v>25</v>
      </c>
      <c r="N136" t="s">
        <v>35</v>
      </c>
      <c r="O136">
        <v>19.29</v>
      </c>
      <c r="P136" t="s">
        <v>28</v>
      </c>
    </row>
    <row r="137" spans="1:16" x14ac:dyDescent="0.3">
      <c r="A137" t="s">
        <v>56</v>
      </c>
      <c r="B137" t="s">
        <v>33</v>
      </c>
      <c r="C137" t="s">
        <v>31</v>
      </c>
      <c r="D137" t="s">
        <v>19</v>
      </c>
      <c r="E137">
        <v>4</v>
      </c>
      <c r="F137">
        <v>159.4</v>
      </c>
      <c r="G137">
        <v>87.4</v>
      </c>
      <c r="H137">
        <v>5.4</v>
      </c>
      <c r="I137">
        <v>2</v>
      </c>
      <c r="J137">
        <v>10</v>
      </c>
      <c r="K137">
        <v>5.96</v>
      </c>
      <c r="L137">
        <v>1</v>
      </c>
      <c r="M137" t="s">
        <v>25</v>
      </c>
      <c r="N137" t="s">
        <v>35</v>
      </c>
      <c r="O137">
        <v>13.48</v>
      </c>
      <c r="P137" t="s">
        <v>28</v>
      </c>
    </row>
    <row r="138" spans="1:16" x14ac:dyDescent="0.3">
      <c r="A138" t="s">
        <v>56</v>
      </c>
      <c r="B138" t="s">
        <v>23</v>
      </c>
      <c r="C138" t="s">
        <v>41</v>
      </c>
      <c r="D138" t="s">
        <v>19</v>
      </c>
      <c r="E138">
        <v>9</v>
      </c>
      <c r="F138">
        <v>150.1</v>
      </c>
      <c r="G138">
        <v>92.7</v>
      </c>
      <c r="H138">
        <v>7.9</v>
      </c>
      <c r="I138">
        <v>7</v>
      </c>
      <c r="J138">
        <v>7.09</v>
      </c>
      <c r="K138">
        <v>7.71</v>
      </c>
      <c r="L138">
        <v>0</v>
      </c>
      <c r="M138" t="s">
        <v>25</v>
      </c>
      <c r="N138" t="s">
        <v>35</v>
      </c>
      <c r="O138">
        <v>14.02</v>
      </c>
      <c r="P138" t="s">
        <v>30</v>
      </c>
    </row>
    <row r="139" spans="1:16" x14ac:dyDescent="0.3">
      <c r="A139" t="s">
        <v>56</v>
      </c>
      <c r="B139" t="s">
        <v>27</v>
      </c>
      <c r="C139" t="s">
        <v>41</v>
      </c>
      <c r="D139" t="s">
        <v>19</v>
      </c>
      <c r="E139">
        <v>6</v>
      </c>
      <c r="F139">
        <v>158.9</v>
      </c>
      <c r="G139">
        <v>94.1</v>
      </c>
      <c r="H139">
        <v>4.0999999999999996</v>
      </c>
      <c r="I139">
        <v>2</v>
      </c>
      <c r="J139">
        <v>4.1900000000000004</v>
      </c>
      <c r="K139">
        <v>4.1900000000000004</v>
      </c>
      <c r="L139">
        <v>0</v>
      </c>
      <c r="M139" t="s">
        <v>25</v>
      </c>
      <c r="N139" t="s">
        <v>21</v>
      </c>
      <c r="O139">
        <v>11.36</v>
      </c>
      <c r="P139" t="s">
        <v>32</v>
      </c>
    </row>
    <row r="140" spans="1:16" x14ac:dyDescent="0.3">
      <c r="A140" t="s">
        <v>56</v>
      </c>
      <c r="B140" t="s">
        <v>43</v>
      </c>
      <c r="C140" t="s">
        <v>24</v>
      </c>
      <c r="D140" t="s">
        <v>39</v>
      </c>
      <c r="E140">
        <v>4</v>
      </c>
      <c r="F140">
        <v>160.80000000000001</v>
      </c>
      <c r="G140">
        <v>87.7</v>
      </c>
      <c r="H140">
        <v>4.4000000000000004</v>
      </c>
      <c r="I140">
        <v>6</v>
      </c>
      <c r="J140">
        <v>6.37</v>
      </c>
      <c r="K140">
        <v>5.23</v>
      </c>
      <c r="L140">
        <v>0</v>
      </c>
      <c r="M140" t="s">
        <v>25</v>
      </c>
      <c r="N140" t="s">
        <v>21</v>
      </c>
      <c r="O140">
        <v>13.69</v>
      </c>
      <c r="P140" t="s">
        <v>36</v>
      </c>
    </row>
    <row r="141" spans="1:16" x14ac:dyDescent="0.3">
      <c r="A141" t="s">
        <v>56</v>
      </c>
      <c r="B141" t="s">
        <v>33</v>
      </c>
      <c r="C141" t="s">
        <v>31</v>
      </c>
      <c r="D141" t="s">
        <v>39</v>
      </c>
      <c r="E141">
        <v>7</v>
      </c>
      <c r="F141">
        <v>155.6</v>
      </c>
      <c r="G141">
        <v>95.3</v>
      </c>
      <c r="H141">
        <v>4.4000000000000004</v>
      </c>
      <c r="I141">
        <v>8</v>
      </c>
      <c r="J141">
        <v>7.67</v>
      </c>
      <c r="K141">
        <v>9.1</v>
      </c>
      <c r="L141">
        <v>1</v>
      </c>
      <c r="M141" t="s">
        <v>25</v>
      </c>
      <c r="N141" t="s">
        <v>35</v>
      </c>
      <c r="O141">
        <v>9.5500000000000007</v>
      </c>
      <c r="P141" t="s">
        <v>38</v>
      </c>
    </row>
    <row r="142" spans="1:16" x14ac:dyDescent="0.3">
      <c r="A142" t="s">
        <v>56</v>
      </c>
      <c r="B142" t="s">
        <v>33</v>
      </c>
      <c r="C142" t="s">
        <v>37</v>
      </c>
      <c r="D142" t="s">
        <v>39</v>
      </c>
      <c r="E142">
        <v>5</v>
      </c>
      <c r="F142">
        <v>161.4</v>
      </c>
      <c r="G142">
        <v>91.9</v>
      </c>
      <c r="H142">
        <v>3.6</v>
      </c>
      <c r="I142">
        <v>5</v>
      </c>
      <c r="J142">
        <v>8.01</v>
      </c>
      <c r="K142">
        <v>8.02</v>
      </c>
      <c r="L142">
        <v>1</v>
      </c>
      <c r="M142" t="s">
        <v>20</v>
      </c>
      <c r="N142" t="s">
        <v>35</v>
      </c>
      <c r="O142">
        <v>12.37</v>
      </c>
      <c r="P142" t="s">
        <v>40</v>
      </c>
    </row>
    <row r="143" spans="1:16" x14ac:dyDescent="0.3">
      <c r="A143" t="s">
        <v>56</v>
      </c>
      <c r="B143" t="s">
        <v>33</v>
      </c>
      <c r="C143" t="s">
        <v>18</v>
      </c>
      <c r="D143" t="s">
        <v>39</v>
      </c>
      <c r="E143">
        <v>9</v>
      </c>
      <c r="F143">
        <v>168.1</v>
      </c>
      <c r="G143">
        <v>96.5</v>
      </c>
      <c r="H143">
        <v>5.0999999999999996</v>
      </c>
      <c r="I143">
        <v>3</v>
      </c>
      <c r="J143">
        <v>10</v>
      </c>
      <c r="K143">
        <v>9.66</v>
      </c>
      <c r="L143">
        <v>0</v>
      </c>
      <c r="M143" t="s">
        <v>25</v>
      </c>
      <c r="N143" t="s">
        <v>26</v>
      </c>
      <c r="O143">
        <v>17.97</v>
      </c>
      <c r="P143" t="s">
        <v>42</v>
      </c>
    </row>
    <row r="144" spans="1:16" x14ac:dyDescent="0.3">
      <c r="A144" t="s">
        <v>56</v>
      </c>
      <c r="B144" t="s">
        <v>27</v>
      </c>
      <c r="C144" t="s">
        <v>18</v>
      </c>
      <c r="D144" t="s">
        <v>39</v>
      </c>
      <c r="E144">
        <v>3</v>
      </c>
      <c r="F144">
        <v>148.6</v>
      </c>
      <c r="G144">
        <v>95.5</v>
      </c>
      <c r="H144">
        <v>4.9000000000000004</v>
      </c>
      <c r="I144">
        <v>4</v>
      </c>
      <c r="J144">
        <v>7.19</v>
      </c>
      <c r="K144">
        <v>3.08</v>
      </c>
      <c r="L144">
        <v>1</v>
      </c>
      <c r="M144" t="s">
        <v>25</v>
      </c>
      <c r="N144" t="s">
        <v>26</v>
      </c>
      <c r="O144">
        <v>16.2</v>
      </c>
      <c r="P144" t="s">
        <v>44</v>
      </c>
    </row>
    <row r="145" spans="1:16" x14ac:dyDescent="0.3">
      <c r="A145" t="s">
        <v>56</v>
      </c>
      <c r="B145" t="s">
        <v>17</v>
      </c>
      <c r="C145" t="s">
        <v>18</v>
      </c>
      <c r="D145" t="s">
        <v>29</v>
      </c>
      <c r="E145">
        <v>9</v>
      </c>
      <c r="F145">
        <v>158.30000000000001</v>
      </c>
      <c r="G145">
        <v>91.8</v>
      </c>
      <c r="H145">
        <v>4.4000000000000004</v>
      </c>
      <c r="I145">
        <v>5</v>
      </c>
      <c r="J145">
        <v>9.1300000000000008</v>
      </c>
      <c r="K145">
        <v>10</v>
      </c>
      <c r="L145">
        <v>1</v>
      </c>
      <c r="M145" t="s">
        <v>25</v>
      </c>
      <c r="N145" t="s">
        <v>21</v>
      </c>
      <c r="O145">
        <v>7.04</v>
      </c>
      <c r="P145" t="s">
        <v>45</v>
      </c>
    </row>
    <row r="146" spans="1:16" x14ac:dyDescent="0.3">
      <c r="A146" t="s">
        <v>57</v>
      </c>
      <c r="B146" t="s">
        <v>17</v>
      </c>
      <c r="C146" t="s">
        <v>41</v>
      </c>
      <c r="D146" t="s">
        <v>29</v>
      </c>
      <c r="E146">
        <v>7</v>
      </c>
      <c r="F146">
        <v>167.9</v>
      </c>
      <c r="G146">
        <v>86.3</v>
      </c>
      <c r="H146">
        <v>7.6</v>
      </c>
      <c r="I146">
        <v>5</v>
      </c>
      <c r="J146">
        <v>5.01</v>
      </c>
      <c r="K146">
        <v>6.38</v>
      </c>
      <c r="L146">
        <v>0</v>
      </c>
      <c r="M146" t="s">
        <v>25</v>
      </c>
      <c r="N146" t="s">
        <v>21</v>
      </c>
      <c r="O146">
        <v>16.34</v>
      </c>
      <c r="P146" t="s">
        <v>22</v>
      </c>
    </row>
    <row r="147" spans="1:16" x14ac:dyDescent="0.3">
      <c r="A147" t="s">
        <v>57</v>
      </c>
      <c r="B147" t="s">
        <v>43</v>
      </c>
      <c r="C147" t="s">
        <v>18</v>
      </c>
      <c r="D147" t="s">
        <v>19</v>
      </c>
      <c r="E147">
        <v>10</v>
      </c>
      <c r="F147">
        <v>173.1</v>
      </c>
      <c r="G147">
        <v>100</v>
      </c>
      <c r="H147">
        <v>3.9</v>
      </c>
      <c r="I147">
        <v>7</v>
      </c>
      <c r="J147">
        <v>7.19</v>
      </c>
      <c r="K147">
        <v>5.38</v>
      </c>
      <c r="L147">
        <v>0</v>
      </c>
      <c r="M147" t="s">
        <v>25</v>
      </c>
      <c r="N147" t="s">
        <v>35</v>
      </c>
      <c r="O147">
        <v>16.29</v>
      </c>
      <c r="P147" t="s">
        <v>22</v>
      </c>
    </row>
    <row r="148" spans="1:16" x14ac:dyDescent="0.3">
      <c r="A148" t="s">
        <v>57</v>
      </c>
      <c r="B148" t="s">
        <v>33</v>
      </c>
      <c r="C148" t="s">
        <v>37</v>
      </c>
      <c r="D148" t="s">
        <v>29</v>
      </c>
      <c r="E148">
        <v>8</v>
      </c>
      <c r="F148">
        <v>160.30000000000001</v>
      </c>
      <c r="G148">
        <v>97.1</v>
      </c>
      <c r="H148">
        <v>1.5</v>
      </c>
      <c r="I148">
        <v>4</v>
      </c>
      <c r="J148">
        <v>5.32</v>
      </c>
      <c r="K148">
        <v>4.1900000000000004</v>
      </c>
      <c r="L148">
        <v>0</v>
      </c>
      <c r="M148" t="s">
        <v>34</v>
      </c>
      <c r="N148" t="s">
        <v>26</v>
      </c>
      <c r="O148">
        <v>5.22</v>
      </c>
      <c r="P148" t="s">
        <v>28</v>
      </c>
    </row>
    <row r="149" spans="1:16" x14ac:dyDescent="0.3">
      <c r="A149" t="s">
        <v>57</v>
      </c>
      <c r="B149" t="s">
        <v>17</v>
      </c>
      <c r="C149" t="s">
        <v>24</v>
      </c>
      <c r="D149" t="s">
        <v>39</v>
      </c>
      <c r="E149">
        <v>6</v>
      </c>
      <c r="F149">
        <v>171.7</v>
      </c>
      <c r="G149">
        <v>96.8</v>
      </c>
      <c r="H149">
        <v>4.8</v>
      </c>
      <c r="I149">
        <v>7</v>
      </c>
      <c r="J149">
        <v>8.17</v>
      </c>
      <c r="K149">
        <v>3.4</v>
      </c>
      <c r="L149">
        <v>0</v>
      </c>
      <c r="M149" t="s">
        <v>25</v>
      </c>
      <c r="N149" t="s">
        <v>26</v>
      </c>
      <c r="O149">
        <v>10.89</v>
      </c>
      <c r="P149" t="s">
        <v>28</v>
      </c>
    </row>
    <row r="150" spans="1:16" x14ac:dyDescent="0.3">
      <c r="A150" t="s">
        <v>57</v>
      </c>
      <c r="B150" t="s">
        <v>17</v>
      </c>
      <c r="C150" t="s">
        <v>37</v>
      </c>
      <c r="D150" t="s">
        <v>19</v>
      </c>
      <c r="E150">
        <v>3</v>
      </c>
      <c r="F150">
        <v>160.30000000000001</v>
      </c>
      <c r="G150">
        <v>88.4</v>
      </c>
      <c r="H150">
        <v>2.8</v>
      </c>
      <c r="I150">
        <v>7</v>
      </c>
      <c r="J150">
        <v>8.6199999999999992</v>
      </c>
      <c r="K150">
        <v>8.42</v>
      </c>
      <c r="L150">
        <v>0</v>
      </c>
      <c r="M150" t="s">
        <v>34</v>
      </c>
      <c r="N150" t="s">
        <v>35</v>
      </c>
      <c r="O150">
        <v>17.5</v>
      </c>
      <c r="P150" t="s">
        <v>30</v>
      </c>
    </row>
    <row r="151" spans="1:16" x14ac:dyDescent="0.3">
      <c r="A151" t="s">
        <v>57</v>
      </c>
      <c r="B151" t="s">
        <v>43</v>
      </c>
      <c r="C151" t="s">
        <v>24</v>
      </c>
      <c r="D151" t="s">
        <v>29</v>
      </c>
      <c r="E151">
        <v>6</v>
      </c>
      <c r="F151">
        <v>179.6</v>
      </c>
      <c r="G151">
        <v>100</v>
      </c>
      <c r="H151">
        <v>4.0999999999999996</v>
      </c>
      <c r="I151">
        <v>3</v>
      </c>
      <c r="K151">
        <v>7.53</v>
      </c>
      <c r="L151">
        <v>1</v>
      </c>
      <c r="M151" t="s">
        <v>34</v>
      </c>
      <c r="N151" t="s">
        <v>26</v>
      </c>
      <c r="O151">
        <v>22.12</v>
      </c>
      <c r="P151" t="s">
        <v>32</v>
      </c>
    </row>
    <row r="152" spans="1:16" x14ac:dyDescent="0.3">
      <c r="A152" t="s">
        <v>57</v>
      </c>
      <c r="B152" t="s">
        <v>23</v>
      </c>
      <c r="C152" t="s">
        <v>18</v>
      </c>
      <c r="D152" t="s">
        <v>19</v>
      </c>
      <c r="E152">
        <v>5</v>
      </c>
      <c r="F152">
        <v>163.30000000000001</v>
      </c>
      <c r="G152">
        <v>100</v>
      </c>
      <c r="H152">
        <v>5.3</v>
      </c>
      <c r="I152">
        <v>5</v>
      </c>
      <c r="J152">
        <v>6.91</v>
      </c>
      <c r="K152">
        <v>6.9</v>
      </c>
      <c r="L152">
        <v>0</v>
      </c>
      <c r="M152" t="s">
        <v>20</v>
      </c>
      <c r="N152" t="s">
        <v>26</v>
      </c>
      <c r="O152">
        <v>22.06</v>
      </c>
      <c r="P152" t="s">
        <v>36</v>
      </c>
    </row>
    <row r="153" spans="1:16" x14ac:dyDescent="0.3">
      <c r="A153" t="s">
        <v>57</v>
      </c>
      <c r="B153" t="s">
        <v>27</v>
      </c>
      <c r="C153" t="s">
        <v>18</v>
      </c>
      <c r="D153" t="s">
        <v>19</v>
      </c>
      <c r="E153">
        <v>4</v>
      </c>
      <c r="F153">
        <v>150.9</v>
      </c>
      <c r="G153">
        <v>91.7</v>
      </c>
      <c r="H153">
        <v>3.8</v>
      </c>
      <c r="I153">
        <v>11</v>
      </c>
      <c r="J153">
        <v>9.56</v>
      </c>
      <c r="K153">
        <v>6.61</v>
      </c>
      <c r="L153">
        <v>1</v>
      </c>
      <c r="M153" t="s">
        <v>25</v>
      </c>
      <c r="N153" t="s">
        <v>35</v>
      </c>
      <c r="O153">
        <v>20.05</v>
      </c>
      <c r="P153" t="s">
        <v>38</v>
      </c>
    </row>
    <row r="154" spans="1:16" x14ac:dyDescent="0.3">
      <c r="A154" t="s">
        <v>57</v>
      </c>
      <c r="B154" t="s">
        <v>27</v>
      </c>
      <c r="C154" t="s">
        <v>31</v>
      </c>
      <c r="D154" t="s">
        <v>19</v>
      </c>
      <c r="E154">
        <v>8</v>
      </c>
      <c r="F154">
        <v>165.9</v>
      </c>
      <c r="G154">
        <v>80.3</v>
      </c>
      <c r="H154">
        <v>6.3</v>
      </c>
      <c r="I154">
        <v>5</v>
      </c>
      <c r="J154">
        <v>7.79</v>
      </c>
      <c r="K154">
        <v>5.0599999999999996</v>
      </c>
      <c r="L154">
        <v>1</v>
      </c>
      <c r="M154" t="s">
        <v>20</v>
      </c>
      <c r="N154" t="s">
        <v>21</v>
      </c>
      <c r="O154">
        <v>5.09</v>
      </c>
      <c r="P154" t="s">
        <v>40</v>
      </c>
    </row>
    <row r="155" spans="1:16" x14ac:dyDescent="0.3">
      <c r="A155" t="s">
        <v>57</v>
      </c>
      <c r="B155" t="s">
        <v>27</v>
      </c>
      <c r="C155" t="s">
        <v>37</v>
      </c>
      <c r="D155" t="s">
        <v>29</v>
      </c>
      <c r="E155">
        <v>8</v>
      </c>
      <c r="F155">
        <v>162.1</v>
      </c>
      <c r="G155">
        <v>100</v>
      </c>
      <c r="H155">
        <v>4.8</v>
      </c>
      <c r="I155">
        <v>2</v>
      </c>
      <c r="J155">
        <v>6.97</v>
      </c>
      <c r="K155">
        <v>7.36</v>
      </c>
      <c r="L155">
        <v>1</v>
      </c>
      <c r="M155" t="s">
        <v>20</v>
      </c>
      <c r="N155" t="s">
        <v>35</v>
      </c>
      <c r="O155">
        <v>14.15</v>
      </c>
      <c r="P155" t="s">
        <v>42</v>
      </c>
    </row>
    <row r="156" spans="1:16" x14ac:dyDescent="0.3">
      <c r="A156" t="s">
        <v>57</v>
      </c>
      <c r="B156" t="s">
        <v>17</v>
      </c>
      <c r="C156" t="s">
        <v>31</v>
      </c>
      <c r="D156" t="s">
        <v>39</v>
      </c>
      <c r="E156">
        <v>8</v>
      </c>
      <c r="F156">
        <v>175.4</v>
      </c>
      <c r="G156">
        <v>91.5</v>
      </c>
      <c r="H156">
        <v>6.9</v>
      </c>
      <c r="I156">
        <v>4</v>
      </c>
      <c r="J156">
        <v>5.81</v>
      </c>
      <c r="K156">
        <v>5.57</v>
      </c>
      <c r="L156">
        <v>1</v>
      </c>
      <c r="M156" t="s">
        <v>34</v>
      </c>
      <c r="N156" t="s">
        <v>35</v>
      </c>
      <c r="O156">
        <v>14.43</v>
      </c>
      <c r="P156" t="s">
        <v>44</v>
      </c>
    </row>
    <row r="157" spans="1:16" x14ac:dyDescent="0.3">
      <c r="A157" t="s">
        <v>57</v>
      </c>
      <c r="B157" t="s">
        <v>23</v>
      </c>
      <c r="C157" t="s">
        <v>31</v>
      </c>
      <c r="D157" t="s">
        <v>29</v>
      </c>
      <c r="E157">
        <v>6</v>
      </c>
      <c r="F157">
        <v>143.9</v>
      </c>
      <c r="G157">
        <v>91.2</v>
      </c>
      <c r="H157">
        <v>3.5</v>
      </c>
      <c r="I157">
        <v>10</v>
      </c>
      <c r="J157">
        <v>6.09</v>
      </c>
      <c r="K157">
        <v>5.29</v>
      </c>
      <c r="L157">
        <v>1</v>
      </c>
      <c r="M157" t="s">
        <v>34</v>
      </c>
      <c r="N157" t="s">
        <v>26</v>
      </c>
      <c r="O157">
        <v>15.15</v>
      </c>
      <c r="P157" t="s">
        <v>45</v>
      </c>
    </row>
    <row r="158" spans="1:16" x14ac:dyDescent="0.3">
      <c r="A158" t="s">
        <v>58</v>
      </c>
      <c r="B158" t="s">
        <v>33</v>
      </c>
      <c r="C158" t="s">
        <v>41</v>
      </c>
      <c r="D158" t="s">
        <v>19</v>
      </c>
      <c r="E158">
        <v>7</v>
      </c>
      <c r="F158">
        <v>158.6</v>
      </c>
      <c r="G158">
        <v>100</v>
      </c>
      <c r="H158">
        <v>5.4</v>
      </c>
      <c r="I158">
        <v>6</v>
      </c>
      <c r="J158">
        <v>9.43</v>
      </c>
      <c r="K158">
        <v>5.61</v>
      </c>
      <c r="L158">
        <v>0</v>
      </c>
      <c r="M158" t="s">
        <v>20</v>
      </c>
      <c r="N158" t="s">
        <v>35</v>
      </c>
      <c r="O158">
        <v>22.14</v>
      </c>
      <c r="P158" t="s">
        <v>22</v>
      </c>
    </row>
    <row r="159" spans="1:16" x14ac:dyDescent="0.3">
      <c r="A159" t="s">
        <v>58</v>
      </c>
      <c r="B159" t="s">
        <v>43</v>
      </c>
      <c r="C159" t="s">
        <v>41</v>
      </c>
      <c r="D159" t="s">
        <v>39</v>
      </c>
      <c r="E159">
        <v>2</v>
      </c>
      <c r="F159">
        <v>163.4</v>
      </c>
      <c r="G159">
        <v>90.3</v>
      </c>
      <c r="I159">
        <v>4</v>
      </c>
      <c r="J159">
        <v>7.52</v>
      </c>
      <c r="K159">
        <v>8.65</v>
      </c>
      <c r="L159">
        <v>0</v>
      </c>
      <c r="M159" t="s">
        <v>20</v>
      </c>
      <c r="N159" t="s">
        <v>21</v>
      </c>
      <c r="O159">
        <v>8.39</v>
      </c>
      <c r="P159" t="s">
        <v>22</v>
      </c>
    </row>
    <row r="160" spans="1:16" x14ac:dyDescent="0.3">
      <c r="A160" t="s">
        <v>58</v>
      </c>
      <c r="B160" t="s">
        <v>17</v>
      </c>
      <c r="C160" t="s">
        <v>37</v>
      </c>
      <c r="D160" t="s">
        <v>39</v>
      </c>
      <c r="E160">
        <v>9</v>
      </c>
      <c r="F160">
        <v>146.5</v>
      </c>
      <c r="G160">
        <v>90.9</v>
      </c>
      <c r="H160">
        <v>4</v>
      </c>
      <c r="I160">
        <v>9</v>
      </c>
      <c r="J160">
        <v>8.81</v>
      </c>
      <c r="K160">
        <v>9.85</v>
      </c>
      <c r="L160">
        <v>0</v>
      </c>
      <c r="M160" t="s">
        <v>25</v>
      </c>
      <c r="N160" t="s">
        <v>35</v>
      </c>
      <c r="O160">
        <v>19.170000000000002</v>
      </c>
      <c r="P160" t="s">
        <v>28</v>
      </c>
    </row>
    <row r="161" spans="1:16" x14ac:dyDescent="0.3">
      <c r="A161" t="s">
        <v>58</v>
      </c>
      <c r="B161" t="s">
        <v>27</v>
      </c>
      <c r="C161" t="s">
        <v>41</v>
      </c>
      <c r="D161" t="s">
        <v>19</v>
      </c>
      <c r="E161">
        <v>7</v>
      </c>
      <c r="F161">
        <v>165.5</v>
      </c>
      <c r="G161">
        <v>93.2</v>
      </c>
      <c r="H161">
        <v>3.8</v>
      </c>
      <c r="I161">
        <v>7</v>
      </c>
      <c r="J161">
        <v>6.25</v>
      </c>
      <c r="K161">
        <v>2.15</v>
      </c>
      <c r="L161">
        <v>1</v>
      </c>
      <c r="M161" t="s">
        <v>20</v>
      </c>
      <c r="N161" t="s">
        <v>35</v>
      </c>
      <c r="O161">
        <v>12.56</v>
      </c>
      <c r="P161" t="s">
        <v>28</v>
      </c>
    </row>
    <row r="162" spans="1:16" x14ac:dyDescent="0.3">
      <c r="A162" t="s">
        <v>58</v>
      </c>
      <c r="B162" t="s">
        <v>17</v>
      </c>
      <c r="C162" t="s">
        <v>31</v>
      </c>
      <c r="D162" t="s">
        <v>39</v>
      </c>
      <c r="E162">
        <v>3</v>
      </c>
      <c r="F162">
        <v>145.6</v>
      </c>
      <c r="G162">
        <v>94</v>
      </c>
      <c r="H162">
        <v>2.2000000000000002</v>
      </c>
      <c r="I162">
        <v>6</v>
      </c>
      <c r="J162">
        <v>5.38</v>
      </c>
      <c r="K162">
        <v>9.08</v>
      </c>
      <c r="L162">
        <v>0</v>
      </c>
      <c r="M162" t="s">
        <v>25</v>
      </c>
      <c r="N162" t="s">
        <v>35</v>
      </c>
      <c r="O162">
        <v>12.75</v>
      </c>
      <c r="P162" t="s">
        <v>30</v>
      </c>
    </row>
    <row r="163" spans="1:16" x14ac:dyDescent="0.3">
      <c r="A163" t="s">
        <v>58</v>
      </c>
      <c r="B163" t="s">
        <v>23</v>
      </c>
      <c r="C163" t="s">
        <v>37</v>
      </c>
      <c r="D163" t="s">
        <v>39</v>
      </c>
      <c r="E163">
        <v>7</v>
      </c>
      <c r="F163">
        <v>144.5</v>
      </c>
      <c r="G163">
        <v>99.1</v>
      </c>
      <c r="H163">
        <v>5.8</v>
      </c>
      <c r="I163">
        <v>7</v>
      </c>
      <c r="J163">
        <v>6.15</v>
      </c>
      <c r="K163">
        <v>5.91</v>
      </c>
      <c r="L163">
        <v>0</v>
      </c>
      <c r="M163" t="s">
        <v>20</v>
      </c>
      <c r="N163" t="s">
        <v>35</v>
      </c>
      <c r="O163">
        <v>13.23</v>
      </c>
      <c r="P163" t="s">
        <v>32</v>
      </c>
    </row>
    <row r="164" spans="1:16" x14ac:dyDescent="0.3">
      <c r="A164" t="s">
        <v>58</v>
      </c>
      <c r="B164" t="s">
        <v>27</v>
      </c>
      <c r="C164" t="s">
        <v>37</v>
      </c>
      <c r="D164" t="s">
        <v>19</v>
      </c>
      <c r="E164">
        <v>10</v>
      </c>
      <c r="F164">
        <v>150.69999999999999</v>
      </c>
      <c r="G164">
        <v>95.5</v>
      </c>
      <c r="H164">
        <v>2.8</v>
      </c>
      <c r="I164">
        <v>8</v>
      </c>
      <c r="J164">
        <v>8.68</v>
      </c>
      <c r="K164">
        <v>8.23</v>
      </c>
      <c r="L164">
        <v>0</v>
      </c>
      <c r="M164" t="s">
        <v>25</v>
      </c>
      <c r="N164" t="s">
        <v>26</v>
      </c>
      <c r="O164">
        <v>16.309999999999999</v>
      </c>
      <c r="P164" t="s">
        <v>36</v>
      </c>
    </row>
    <row r="165" spans="1:16" x14ac:dyDescent="0.3">
      <c r="A165" t="s">
        <v>58</v>
      </c>
      <c r="B165" t="s">
        <v>23</v>
      </c>
      <c r="C165" t="s">
        <v>18</v>
      </c>
      <c r="D165" t="s">
        <v>29</v>
      </c>
      <c r="E165">
        <v>10</v>
      </c>
      <c r="F165">
        <v>148.19999999999999</v>
      </c>
      <c r="G165">
        <v>100</v>
      </c>
      <c r="H165">
        <v>6.4</v>
      </c>
      <c r="I165">
        <v>3</v>
      </c>
      <c r="J165">
        <v>8.58</v>
      </c>
      <c r="K165">
        <v>8.35</v>
      </c>
      <c r="L165">
        <v>0</v>
      </c>
      <c r="M165" t="s">
        <v>34</v>
      </c>
      <c r="N165" t="s">
        <v>35</v>
      </c>
      <c r="O165">
        <v>17.239999999999998</v>
      </c>
      <c r="P165" t="s">
        <v>38</v>
      </c>
    </row>
    <row r="166" spans="1:16" x14ac:dyDescent="0.3">
      <c r="A166" t="s">
        <v>58</v>
      </c>
      <c r="B166" t="s">
        <v>43</v>
      </c>
      <c r="C166" t="s">
        <v>41</v>
      </c>
      <c r="D166" t="s">
        <v>29</v>
      </c>
      <c r="E166">
        <v>6</v>
      </c>
      <c r="F166">
        <v>141.1</v>
      </c>
      <c r="G166">
        <v>91.4</v>
      </c>
      <c r="H166">
        <v>7.5</v>
      </c>
      <c r="I166">
        <v>11</v>
      </c>
      <c r="J166">
        <v>6.26</v>
      </c>
      <c r="K166">
        <v>6.06</v>
      </c>
      <c r="L166">
        <v>1</v>
      </c>
      <c r="M166" t="s">
        <v>34</v>
      </c>
      <c r="N166" t="s">
        <v>35</v>
      </c>
      <c r="O166">
        <v>12.25</v>
      </c>
      <c r="P166" t="s">
        <v>40</v>
      </c>
    </row>
    <row r="167" spans="1:16" x14ac:dyDescent="0.3">
      <c r="A167" t="s">
        <v>58</v>
      </c>
      <c r="B167" t="s">
        <v>43</v>
      </c>
      <c r="C167" t="s">
        <v>31</v>
      </c>
      <c r="D167" t="s">
        <v>29</v>
      </c>
      <c r="E167">
        <v>9</v>
      </c>
      <c r="F167">
        <v>161.5</v>
      </c>
      <c r="G167">
        <v>98.2</v>
      </c>
      <c r="H167">
        <v>3.6</v>
      </c>
      <c r="I167">
        <v>9</v>
      </c>
      <c r="K167">
        <v>8.5399999999999991</v>
      </c>
      <c r="L167">
        <v>1</v>
      </c>
      <c r="M167" t="s">
        <v>25</v>
      </c>
      <c r="N167" t="s">
        <v>35</v>
      </c>
      <c r="O167">
        <v>22.06</v>
      </c>
      <c r="P167" t="s">
        <v>42</v>
      </c>
    </row>
    <row r="168" spans="1:16" x14ac:dyDescent="0.3">
      <c r="A168" t="s">
        <v>58</v>
      </c>
      <c r="B168" t="s">
        <v>23</v>
      </c>
      <c r="C168" t="s">
        <v>31</v>
      </c>
      <c r="D168" t="s">
        <v>19</v>
      </c>
      <c r="E168">
        <v>9</v>
      </c>
      <c r="F168">
        <v>163.9</v>
      </c>
      <c r="G168">
        <v>100</v>
      </c>
      <c r="H168">
        <v>5.7</v>
      </c>
      <c r="I168">
        <v>7</v>
      </c>
      <c r="J168">
        <v>6.95</v>
      </c>
      <c r="K168">
        <v>7.66</v>
      </c>
      <c r="L168">
        <v>0</v>
      </c>
      <c r="M168" t="s">
        <v>25</v>
      </c>
      <c r="N168" t="s">
        <v>35</v>
      </c>
      <c r="O168">
        <v>17.71</v>
      </c>
      <c r="P168" t="s">
        <v>44</v>
      </c>
    </row>
    <row r="169" spans="1:16" x14ac:dyDescent="0.3">
      <c r="A169" t="s">
        <v>58</v>
      </c>
      <c r="B169" t="s">
        <v>27</v>
      </c>
      <c r="C169" t="s">
        <v>37</v>
      </c>
      <c r="D169" t="s">
        <v>39</v>
      </c>
      <c r="E169">
        <v>1</v>
      </c>
      <c r="F169">
        <v>160</v>
      </c>
      <c r="G169">
        <v>98.9</v>
      </c>
      <c r="H169">
        <v>1.6</v>
      </c>
      <c r="I169">
        <v>11</v>
      </c>
      <c r="K169">
        <v>8.91</v>
      </c>
      <c r="L169">
        <v>1</v>
      </c>
      <c r="M169" t="s">
        <v>34</v>
      </c>
      <c r="N169" t="s">
        <v>26</v>
      </c>
      <c r="O169">
        <v>14.37</v>
      </c>
      <c r="P169" t="s">
        <v>45</v>
      </c>
    </row>
    <row r="170" spans="1:16" x14ac:dyDescent="0.3">
      <c r="A170" t="s">
        <v>59</v>
      </c>
      <c r="B170" t="s">
        <v>33</v>
      </c>
      <c r="C170" t="s">
        <v>31</v>
      </c>
      <c r="D170" t="s">
        <v>19</v>
      </c>
      <c r="E170">
        <v>1</v>
      </c>
      <c r="F170">
        <v>155.69999999999999</v>
      </c>
      <c r="G170">
        <v>97.9</v>
      </c>
      <c r="H170">
        <v>1.8</v>
      </c>
      <c r="I170">
        <v>5</v>
      </c>
      <c r="J170">
        <v>8.19</v>
      </c>
      <c r="K170">
        <v>7.85</v>
      </c>
      <c r="L170">
        <v>1</v>
      </c>
      <c r="M170" t="s">
        <v>34</v>
      </c>
      <c r="N170" t="s">
        <v>35</v>
      </c>
      <c r="O170">
        <v>13.53</v>
      </c>
      <c r="P170" t="s">
        <v>22</v>
      </c>
    </row>
    <row r="171" spans="1:16" x14ac:dyDescent="0.3">
      <c r="A171" t="s">
        <v>59</v>
      </c>
      <c r="B171" t="s">
        <v>33</v>
      </c>
      <c r="C171" t="s">
        <v>31</v>
      </c>
      <c r="D171" t="s">
        <v>39</v>
      </c>
      <c r="E171">
        <v>10</v>
      </c>
      <c r="F171">
        <v>178</v>
      </c>
      <c r="G171">
        <v>94</v>
      </c>
      <c r="H171">
        <v>6.4</v>
      </c>
      <c r="I171">
        <v>5</v>
      </c>
      <c r="K171">
        <v>4.5</v>
      </c>
      <c r="L171">
        <v>0</v>
      </c>
      <c r="M171" t="s">
        <v>20</v>
      </c>
      <c r="N171" t="s">
        <v>35</v>
      </c>
      <c r="O171">
        <v>16.079999999999998</v>
      </c>
      <c r="P171" t="s">
        <v>22</v>
      </c>
    </row>
    <row r="172" spans="1:16" x14ac:dyDescent="0.3">
      <c r="A172" t="s">
        <v>59</v>
      </c>
      <c r="B172" t="s">
        <v>23</v>
      </c>
      <c r="C172" t="s">
        <v>18</v>
      </c>
      <c r="D172" t="s">
        <v>19</v>
      </c>
      <c r="E172">
        <v>2</v>
      </c>
      <c r="F172">
        <v>173.9</v>
      </c>
      <c r="G172">
        <v>95.3</v>
      </c>
      <c r="I172">
        <v>2</v>
      </c>
      <c r="J172">
        <v>6.27</v>
      </c>
      <c r="K172">
        <v>10</v>
      </c>
      <c r="L172">
        <v>0</v>
      </c>
      <c r="M172" t="s">
        <v>25</v>
      </c>
      <c r="N172" t="s">
        <v>35</v>
      </c>
      <c r="O172">
        <v>5.49</v>
      </c>
      <c r="P172" t="s">
        <v>28</v>
      </c>
    </row>
    <row r="173" spans="1:16" x14ac:dyDescent="0.3">
      <c r="A173" t="s">
        <v>59</v>
      </c>
      <c r="B173" t="s">
        <v>17</v>
      </c>
      <c r="C173" t="s">
        <v>41</v>
      </c>
      <c r="D173" t="s">
        <v>19</v>
      </c>
      <c r="E173">
        <v>3</v>
      </c>
      <c r="F173">
        <v>174.2</v>
      </c>
      <c r="G173">
        <v>92</v>
      </c>
      <c r="I173">
        <v>6</v>
      </c>
      <c r="J173">
        <v>9.01</v>
      </c>
      <c r="K173">
        <v>3.95</v>
      </c>
      <c r="L173">
        <v>0</v>
      </c>
      <c r="M173" t="s">
        <v>25</v>
      </c>
      <c r="N173" t="s">
        <v>21</v>
      </c>
      <c r="O173">
        <v>12.78</v>
      </c>
      <c r="P173" t="s">
        <v>28</v>
      </c>
    </row>
    <row r="174" spans="1:16" x14ac:dyDescent="0.3">
      <c r="A174" t="s">
        <v>59</v>
      </c>
      <c r="B174" t="s">
        <v>23</v>
      </c>
      <c r="C174" t="s">
        <v>31</v>
      </c>
      <c r="D174" t="s">
        <v>39</v>
      </c>
      <c r="E174">
        <v>10</v>
      </c>
      <c r="F174">
        <v>149.1</v>
      </c>
      <c r="G174">
        <v>98.5</v>
      </c>
      <c r="H174">
        <v>8.4</v>
      </c>
      <c r="I174">
        <v>8</v>
      </c>
      <c r="J174">
        <v>6.71</v>
      </c>
      <c r="K174">
        <v>8.32</v>
      </c>
      <c r="L174">
        <v>1</v>
      </c>
      <c r="M174" t="s">
        <v>34</v>
      </c>
      <c r="N174" t="s">
        <v>26</v>
      </c>
      <c r="O174">
        <v>17.739999999999998</v>
      </c>
      <c r="P174" t="s">
        <v>30</v>
      </c>
    </row>
    <row r="175" spans="1:16" x14ac:dyDescent="0.3">
      <c r="A175" t="s">
        <v>59</v>
      </c>
      <c r="B175" t="s">
        <v>27</v>
      </c>
      <c r="C175" t="s">
        <v>41</v>
      </c>
      <c r="D175" t="s">
        <v>39</v>
      </c>
      <c r="E175">
        <v>2</v>
      </c>
      <c r="F175">
        <v>164.1</v>
      </c>
      <c r="G175">
        <v>88.4</v>
      </c>
      <c r="I175">
        <v>3</v>
      </c>
      <c r="J175">
        <v>5.96</v>
      </c>
      <c r="K175">
        <v>7.02</v>
      </c>
      <c r="L175">
        <v>0</v>
      </c>
      <c r="M175" t="s">
        <v>25</v>
      </c>
      <c r="N175" t="s">
        <v>21</v>
      </c>
      <c r="O175">
        <v>15.42</v>
      </c>
      <c r="P175" t="s">
        <v>32</v>
      </c>
    </row>
    <row r="176" spans="1:16" x14ac:dyDescent="0.3">
      <c r="A176" t="s">
        <v>59</v>
      </c>
      <c r="B176" t="s">
        <v>33</v>
      </c>
      <c r="C176" t="s">
        <v>24</v>
      </c>
      <c r="D176" t="s">
        <v>39</v>
      </c>
      <c r="E176">
        <v>8</v>
      </c>
      <c r="F176">
        <v>169</v>
      </c>
      <c r="G176">
        <v>98.7</v>
      </c>
      <c r="H176">
        <v>7.1</v>
      </c>
      <c r="I176">
        <v>5</v>
      </c>
      <c r="J176">
        <v>6.78</v>
      </c>
      <c r="K176">
        <v>10</v>
      </c>
      <c r="L176">
        <v>0</v>
      </c>
      <c r="M176" t="s">
        <v>25</v>
      </c>
      <c r="N176" t="s">
        <v>35</v>
      </c>
      <c r="O176">
        <v>26.67</v>
      </c>
      <c r="P176" t="s">
        <v>36</v>
      </c>
    </row>
    <row r="177" spans="1:16" x14ac:dyDescent="0.3">
      <c r="A177" t="s">
        <v>59</v>
      </c>
      <c r="B177" t="s">
        <v>17</v>
      </c>
      <c r="C177" t="s">
        <v>41</v>
      </c>
      <c r="D177" t="s">
        <v>29</v>
      </c>
      <c r="E177">
        <v>6</v>
      </c>
      <c r="F177">
        <v>173.7</v>
      </c>
      <c r="G177">
        <v>90.8</v>
      </c>
      <c r="I177">
        <v>3</v>
      </c>
      <c r="J177">
        <v>6.62</v>
      </c>
      <c r="K177">
        <v>5.81</v>
      </c>
      <c r="L177">
        <v>1</v>
      </c>
      <c r="M177" t="s">
        <v>20</v>
      </c>
      <c r="N177" t="s">
        <v>21</v>
      </c>
      <c r="O177">
        <v>7.4</v>
      </c>
      <c r="P177" t="s">
        <v>38</v>
      </c>
    </row>
    <row r="178" spans="1:16" x14ac:dyDescent="0.3">
      <c r="A178" t="s">
        <v>59</v>
      </c>
      <c r="B178" t="s">
        <v>17</v>
      </c>
      <c r="C178" t="s">
        <v>41</v>
      </c>
      <c r="D178" t="s">
        <v>39</v>
      </c>
      <c r="E178">
        <v>4</v>
      </c>
      <c r="F178">
        <v>166.7</v>
      </c>
      <c r="G178">
        <v>97.3</v>
      </c>
      <c r="H178">
        <v>1.5</v>
      </c>
      <c r="I178">
        <v>10</v>
      </c>
      <c r="J178">
        <v>6.48</v>
      </c>
      <c r="K178">
        <v>5.8</v>
      </c>
      <c r="L178">
        <v>0</v>
      </c>
      <c r="M178" t="s">
        <v>34</v>
      </c>
      <c r="N178" t="s">
        <v>21</v>
      </c>
      <c r="O178">
        <v>15.07</v>
      </c>
      <c r="P178" t="s">
        <v>40</v>
      </c>
    </row>
    <row r="179" spans="1:16" x14ac:dyDescent="0.3">
      <c r="A179" t="s">
        <v>59</v>
      </c>
      <c r="B179" t="s">
        <v>43</v>
      </c>
      <c r="C179" t="s">
        <v>18</v>
      </c>
      <c r="D179" t="s">
        <v>29</v>
      </c>
      <c r="E179">
        <v>10</v>
      </c>
      <c r="F179">
        <v>142.5</v>
      </c>
      <c r="G179">
        <v>95.7</v>
      </c>
      <c r="H179">
        <v>4.4000000000000004</v>
      </c>
      <c r="I179">
        <v>7</v>
      </c>
      <c r="K179">
        <v>6.9</v>
      </c>
      <c r="L179">
        <v>0</v>
      </c>
      <c r="M179" t="s">
        <v>34</v>
      </c>
      <c r="N179" t="s">
        <v>35</v>
      </c>
      <c r="O179">
        <v>16.68</v>
      </c>
      <c r="P179" t="s">
        <v>42</v>
      </c>
    </row>
    <row r="180" spans="1:16" x14ac:dyDescent="0.3">
      <c r="A180" t="s">
        <v>59</v>
      </c>
      <c r="B180" t="s">
        <v>43</v>
      </c>
      <c r="C180" t="s">
        <v>31</v>
      </c>
      <c r="D180" t="s">
        <v>39</v>
      </c>
      <c r="E180">
        <v>7</v>
      </c>
      <c r="F180">
        <v>168.2</v>
      </c>
      <c r="G180">
        <v>94.6</v>
      </c>
      <c r="H180">
        <v>7.2</v>
      </c>
      <c r="I180">
        <v>9</v>
      </c>
      <c r="J180">
        <v>8.89</v>
      </c>
      <c r="K180">
        <v>8.27</v>
      </c>
      <c r="L180">
        <v>0</v>
      </c>
      <c r="M180" t="s">
        <v>20</v>
      </c>
      <c r="N180" t="s">
        <v>21</v>
      </c>
      <c r="O180">
        <v>15.34</v>
      </c>
      <c r="P180" t="s">
        <v>44</v>
      </c>
    </row>
    <row r="181" spans="1:16" x14ac:dyDescent="0.3">
      <c r="A181" t="s">
        <v>59</v>
      </c>
      <c r="B181" t="s">
        <v>17</v>
      </c>
      <c r="C181" t="s">
        <v>37</v>
      </c>
      <c r="D181" t="s">
        <v>39</v>
      </c>
      <c r="E181">
        <v>3</v>
      </c>
      <c r="F181">
        <v>172.9</v>
      </c>
      <c r="G181">
        <v>78.099999999999994</v>
      </c>
      <c r="H181">
        <v>6.6</v>
      </c>
      <c r="I181">
        <v>2</v>
      </c>
      <c r="J181">
        <v>7.17</v>
      </c>
      <c r="K181">
        <v>7.97</v>
      </c>
      <c r="L181">
        <v>1</v>
      </c>
      <c r="M181" t="s">
        <v>25</v>
      </c>
      <c r="N181" t="s">
        <v>21</v>
      </c>
      <c r="O181">
        <v>17.53</v>
      </c>
      <c r="P181" t="s">
        <v>45</v>
      </c>
    </row>
    <row r="182" spans="1:16" x14ac:dyDescent="0.3">
      <c r="A182" t="s">
        <v>60</v>
      </c>
      <c r="B182" t="s">
        <v>43</v>
      </c>
      <c r="C182" t="s">
        <v>31</v>
      </c>
      <c r="D182" t="s">
        <v>29</v>
      </c>
      <c r="E182">
        <v>7</v>
      </c>
      <c r="F182">
        <v>167.7</v>
      </c>
      <c r="G182">
        <v>90</v>
      </c>
      <c r="H182">
        <v>5.4</v>
      </c>
      <c r="I182">
        <v>6</v>
      </c>
      <c r="J182">
        <v>9.48</v>
      </c>
      <c r="K182">
        <v>2.69</v>
      </c>
      <c r="L182">
        <v>0</v>
      </c>
      <c r="M182" t="s">
        <v>34</v>
      </c>
      <c r="N182" t="s">
        <v>26</v>
      </c>
      <c r="O182">
        <v>18.399999999999999</v>
      </c>
      <c r="P182" t="s">
        <v>22</v>
      </c>
    </row>
    <row r="183" spans="1:16" x14ac:dyDescent="0.3">
      <c r="A183" t="s">
        <v>60</v>
      </c>
      <c r="B183" t="s">
        <v>17</v>
      </c>
      <c r="C183" t="s">
        <v>24</v>
      </c>
      <c r="D183" t="s">
        <v>29</v>
      </c>
      <c r="E183">
        <v>10</v>
      </c>
      <c r="F183">
        <v>165.8</v>
      </c>
      <c r="G183">
        <v>100</v>
      </c>
      <c r="I183">
        <v>8</v>
      </c>
      <c r="J183">
        <v>9.02</v>
      </c>
      <c r="K183">
        <v>6.22</v>
      </c>
      <c r="L183">
        <v>0</v>
      </c>
      <c r="M183" t="s">
        <v>34</v>
      </c>
      <c r="N183" t="s">
        <v>35</v>
      </c>
      <c r="O183">
        <v>12.48</v>
      </c>
      <c r="P183" t="s">
        <v>22</v>
      </c>
    </row>
    <row r="184" spans="1:16" x14ac:dyDescent="0.3">
      <c r="A184" t="s">
        <v>60</v>
      </c>
      <c r="B184" t="s">
        <v>17</v>
      </c>
      <c r="C184" t="s">
        <v>24</v>
      </c>
      <c r="D184" t="s">
        <v>29</v>
      </c>
      <c r="E184">
        <v>5</v>
      </c>
      <c r="F184">
        <v>149.69999999999999</v>
      </c>
      <c r="G184">
        <v>88.2</v>
      </c>
      <c r="H184">
        <v>2</v>
      </c>
      <c r="I184">
        <v>5</v>
      </c>
      <c r="J184">
        <v>9.17</v>
      </c>
      <c r="K184">
        <v>4.7699999999999996</v>
      </c>
      <c r="L184">
        <v>0</v>
      </c>
      <c r="M184" t="s">
        <v>34</v>
      </c>
      <c r="N184" t="s">
        <v>35</v>
      </c>
      <c r="O184">
        <v>18.54</v>
      </c>
      <c r="P184" t="s">
        <v>28</v>
      </c>
    </row>
    <row r="185" spans="1:16" x14ac:dyDescent="0.3">
      <c r="A185" t="s">
        <v>60</v>
      </c>
      <c r="B185" t="s">
        <v>27</v>
      </c>
      <c r="C185" t="s">
        <v>41</v>
      </c>
      <c r="D185" t="s">
        <v>19</v>
      </c>
      <c r="E185">
        <v>7</v>
      </c>
      <c r="F185">
        <v>161.6</v>
      </c>
      <c r="G185">
        <v>97.5</v>
      </c>
      <c r="H185">
        <v>7.2</v>
      </c>
      <c r="I185">
        <v>4</v>
      </c>
      <c r="J185">
        <v>9.67</v>
      </c>
      <c r="K185">
        <v>5.99</v>
      </c>
      <c r="L185">
        <v>2</v>
      </c>
      <c r="M185" t="s">
        <v>25</v>
      </c>
      <c r="N185" t="s">
        <v>26</v>
      </c>
      <c r="O185">
        <v>5.63</v>
      </c>
      <c r="P185" t="s">
        <v>28</v>
      </c>
    </row>
    <row r="186" spans="1:16" x14ac:dyDescent="0.3">
      <c r="A186" t="s">
        <v>60</v>
      </c>
      <c r="B186" t="s">
        <v>43</v>
      </c>
      <c r="C186" t="s">
        <v>31</v>
      </c>
      <c r="D186" t="s">
        <v>39</v>
      </c>
      <c r="E186">
        <v>10</v>
      </c>
      <c r="F186">
        <v>164</v>
      </c>
      <c r="G186">
        <v>94.8</v>
      </c>
      <c r="H186">
        <v>5.2</v>
      </c>
      <c r="I186">
        <v>6</v>
      </c>
      <c r="J186">
        <v>6.09</v>
      </c>
      <c r="K186">
        <v>7.78</v>
      </c>
      <c r="L186">
        <v>1</v>
      </c>
      <c r="M186" t="s">
        <v>20</v>
      </c>
      <c r="N186" t="s">
        <v>26</v>
      </c>
      <c r="O186">
        <v>26.05</v>
      </c>
      <c r="P186" t="s">
        <v>30</v>
      </c>
    </row>
    <row r="187" spans="1:16" x14ac:dyDescent="0.3">
      <c r="A187" t="s">
        <v>60</v>
      </c>
      <c r="B187" t="s">
        <v>43</v>
      </c>
      <c r="C187" t="s">
        <v>37</v>
      </c>
      <c r="D187" t="s">
        <v>19</v>
      </c>
      <c r="E187">
        <v>2</v>
      </c>
      <c r="F187">
        <v>169.5</v>
      </c>
      <c r="G187">
        <v>88.6</v>
      </c>
      <c r="H187">
        <v>5.2</v>
      </c>
      <c r="I187">
        <v>3</v>
      </c>
      <c r="J187">
        <v>8.09</v>
      </c>
      <c r="K187">
        <v>7.39</v>
      </c>
      <c r="L187">
        <v>0</v>
      </c>
      <c r="M187" t="s">
        <v>34</v>
      </c>
      <c r="N187" t="s">
        <v>21</v>
      </c>
      <c r="O187">
        <v>8.33</v>
      </c>
      <c r="P187" t="s">
        <v>32</v>
      </c>
    </row>
    <row r="188" spans="1:16" x14ac:dyDescent="0.3">
      <c r="A188" t="s">
        <v>60</v>
      </c>
      <c r="B188" t="s">
        <v>27</v>
      </c>
      <c r="C188" t="s">
        <v>18</v>
      </c>
      <c r="D188" t="s">
        <v>29</v>
      </c>
      <c r="E188">
        <v>2</v>
      </c>
      <c r="F188">
        <v>171.9</v>
      </c>
      <c r="G188">
        <v>100</v>
      </c>
      <c r="I188">
        <v>5</v>
      </c>
      <c r="J188">
        <v>8.89</v>
      </c>
      <c r="K188">
        <v>6.57</v>
      </c>
      <c r="L188">
        <v>0</v>
      </c>
      <c r="M188" t="s">
        <v>34</v>
      </c>
      <c r="N188" t="s">
        <v>21</v>
      </c>
      <c r="O188">
        <v>14.99</v>
      </c>
      <c r="P188" t="s">
        <v>36</v>
      </c>
    </row>
    <row r="189" spans="1:16" x14ac:dyDescent="0.3">
      <c r="A189" t="s">
        <v>60</v>
      </c>
      <c r="B189" t="s">
        <v>33</v>
      </c>
      <c r="C189" t="s">
        <v>18</v>
      </c>
      <c r="D189" t="s">
        <v>29</v>
      </c>
      <c r="E189">
        <v>2</v>
      </c>
      <c r="F189">
        <v>155</v>
      </c>
      <c r="G189">
        <v>94.3</v>
      </c>
      <c r="H189">
        <v>2.2000000000000002</v>
      </c>
      <c r="I189">
        <v>9</v>
      </c>
      <c r="J189">
        <v>9.81</v>
      </c>
      <c r="K189">
        <v>5.33</v>
      </c>
      <c r="L189">
        <v>1</v>
      </c>
      <c r="M189" t="s">
        <v>25</v>
      </c>
      <c r="N189" t="s">
        <v>21</v>
      </c>
      <c r="O189">
        <v>19.68</v>
      </c>
      <c r="P189" t="s">
        <v>38</v>
      </c>
    </row>
    <row r="190" spans="1:16" x14ac:dyDescent="0.3">
      <c r="A190" t="s">
        <v>60</v>
      </c>
      <c r="B190" t="s">
        <v>27</v>
      </c>
      <c r="C190" t="s">
        <v>18</v>
      </c>
      <c r="D190" t="s">
        <v>29</v>
      </c>
      <c r="E190">
        <v>5</v>
      </c>
      <c r="F190">
        <v>158.69999999999999</v>
      </c>
      <c r="G190">
        <v>99.1</v>
      </c>
      <c r="H190">
        <v>4.0999999999999996</v>
      </c>
      <c r="I190">
        <v>3</v>
      </c>
      <c r="J190">
        <v>5.09</v>
      </c>
      <c r="K190">
        <v>4.42</v>
      </c>
      <c r="L190">
        <v>1</v>
      </c>
      <c r="M190" t="s">
        <v>25</v>
      </c>
      <c r="N190" t="s">
        <v>35</v>
      </c>
      <c r="O190">
        <v>16.05</v>
      </c>
      <c r="P190" t="s">
        <v>40</v>
      </c>
    </row>
    <row r="191" spans="1:16" x14ac:dyDescent="0.3">
      <c r="A191" t="s">
        <v>60</v>
      </c>
      <c r="B191" t="s">
        <v>43</v>
      </c>
      <c r="C191" t="s">
        <v>41</v>
      </c>
      <c r="D191" t="s">
        <v>39</v>
      </c>
      <c r="E191">
        <v>8</v>
      </c>
      <c r="F191">
        <v>170.6</v>
      </c>
      <c r="G191">
        <v>97.6</v>
      </c>
      <c r="H191">
        <v>4.9000000000000004</v>
      </c>
      <c r="I191">
        <v>1</v>
      </c>
      <c r="J191">
        <v>7.14</v>
      </c>
      <c r="K191">
        <v>6.51</v>
      </c>
      <c r="L191">
        <v>0</v>
      </c>
      <c r="M191" t="s">
        <v>20</v>
      </c>
      <c r="N191" t="s">
        <v>21</v>
      </c>
      <c r="O191">
        <v>16.38</v>
      </c>
      <c r="P191" t="s">
        <v>42</v>
      </c>
    </row>
    <row r="192" spans="1:16" x14ac:dyDescent="0.3">
      <c r="A192" t="s">
        <v>60</v>
      </c>
      <c r="B192" t="s">
        <v>23</v>
      </c>
      <c r="C192" t="s">
        <v>37</v>
      </c>
      <c r="D192" t="s">
        <v>19</v>
      </c>
      <c r="E192">
        <v>10</v>
      </c>
      <c r="F192">
        <v>176</v>
      </c>
      <c r="G192">
        <v>100</v>
      </c>
      <c r="H192">
        <v>2</v>
      </c>
      <c r="I192">
        <v>7</v>
      </c>
      <c r="J192">
        <v>5.8</v>
      </c>
      <c r="K192">
        <v>6.21</v>
      </c>
      <c r="L192">
        <v>0</v>
      </c>
      <c r="M192" t="s">
        <v>20</v>
      </c>
      <c r="N192" t="s">
        <v>26</v>
      </c>
      <c r="O192">
        <v>21.26</v>
      </c>
      <c r="P192" t="s">
        <v>44</v>
      </c>
    </row>
    <row r="193" spans="1:16" x14ac:dyDescent="0.3">
      <c r="A193" t="s">
        <v>60</v>
      </c>
      <c r="B193" t="s">
        <v>43</v>
      </c>
      <c r="C193" t="s">
        <v>18</v>
      </c>
      <c r="D193" t="s">
        <v>19</v>
      </c>
      <c r="E193">
        <v>9</v>
      </c>
      <c r="F193">
        <v>168.5</v>
      </c>
      <c r="G193">
        <v>93.1</v>
      </c>
      <c r="H193">
        <v>7</v>
      </c>
      <c r="I193">
        <v>9</v>
      </c>
      <c r="J193">
        <v>7.14</v>
      </c>
      <c r="K193">
        <v>7.79</v>
      </c>
      <c r="L193">
        <v>0</v>
      </c>
      <c r="M193" t="s">
        <v>25</v>
      </c>
      <c r="N193" t="s">
        <v>35</v>
      </c>
      <c r="O193">
        <v>7.93</v>
      </c>
      <c r="P193" t="s">
        <v>45</v>
      </c>
    </row>
    <row r="194" spans="1:16" x14ac:dyDescent="0.3">
      <c r="A194" t="s">
        <v>61</v>
      </c>
      <c r="B194" t="s">
        <v>27</v>
      </c>
      <c r="C194" t="s">
        <v>24</v>
      </c>
      <c r="D194" t="s">
        <v>39</v>
      </c>
      <c r="E194">
        <v>6</v>
      </c>
      <c r="F194">
        <v>169.8</v>
      </c>
      <c r="G194">
        <v>90</v>
      </c>
      <c r="H194">
        <v>4.9000000000000004</v>
      </c>
      <c r="I194">
        <v>10</v>
      </c>
      <c r="J194">
        <v>7.27</v>
      </c>
      <c r="K194">
        <v>6.79</v>
      </c>
      <c r="L194">
        <v>0</v>
      </c>
      <c r="M194" t="s">
        <v>25</v>
      </c>
      <c r="N194" t="s">
        <v>26</v>
      </c>
      <c r="O194">
        <v>17.8</v>
      </c>
      <c r="P194" t="s">
        <v>22</v>
      </c>
    </row>
    <row r="195" spans="1:16" x14ac:dyDescent="0.3">
      <c r="A195" t="s">
        <v>61</v>
      </c>
      <c r="B195" t="s">
        <v>23</v>
      </c>
      <c r="C195" t="s">
        <v>24</v>
      </c>
      <c r="D195" t="s">
        <v>39</v>
      </c>
      <c r="E195">
        <v>9</v>
      </c>
      <c r="F195">
        <v>146.5</v>
      </c>
      <c r="G195">
        <v>88.4</v>
      </c>
      <c r="H195">
        <v>6</v>
      </c>
      <c r="I195">
        <v>8</v>
      </c>
      <c r="J195">
        <v>8.32</v>
      </c>
      <c r="K195">
        <v>9.1300000000000008</v>
      </c>
      <c r="L195">
        <v>0</v>
      </c>
      <c r="M195" t="s">
        <v>25</v>
      </c>
      <c r="N195" t="s">
        <v>21</v>
      </c>
      <c r="O195">
        <v>3.4</v>
      </c>
      <c r="P195" t="s">
        <v>22</v>
      </c>
    </row>
    <row r="196" spans="1:16" x14ac:dyDescent="0.3">
      <c r="A196" t="s">
        <v>61</v>
      </c>
      <c r="B196" t="s">
        <v>17</v>
      </c>
      <c r="C196" t="s">
        <v>24</v>
      </c>
      <c r="D196" t="s">
        <v>39</v>
      </c>
      <c r="E196">
        <v>6</v>
      </c>
      <c r="F196">
        <v>174.5</v>
      </c>
      <c r="G196">
        <v>95.5</v>
      </c>
      <c r="H196">
        <v>4.4000000000000004</v>
      </c>
      <c r="I196">
        <v>3</v>
      </c>
      <c r="J196">
        <v>8.6999999999999993</v>
      </c>
      <c r="K196">
        <v>2.36</v>
      </c>
      <c r="L196">
        <v>1</v>
      </c>
      <c r="M196" t="s">
        <v>34</v>
      </c>
      <c r="N196" t="s">
        <v>26</v>
      </c>
      <c r="O196">
        <v>7.22</v>
      </c>
      <c r="P196" t="s">
        <v>28</v>
      </c>
    </row>
    <row r="197" spans="1:16" x14ac:dyDescent="0.3">
      <c r="A197" t="s">
        <v>61</v>
      </c>
      <c r="B197" t="s">
        <v>27</v>
      </c>
      <c r="C197" t="s">
        <v>37</v>
      </c>
      <c r="D197" t="s">
        <v>39</v>
      </c>
      <c r="E197">
        <v>4</v>
      </c>
      <c r="F197">
        <v>155.80000000000001</v>
      </c>
      <c r="G197">
        <v>93.5</v>
      </c>
      <c r="H197">
        <v>7</v>
      </c>
      <c r="I197">
        <v>3</v>
      </c>
      <c r="J197">
        <v>8.8800000000000008</v>
      </c>
      <c r="K197">
        <v>5.58</v>
      </c>
      <c r="L197">
        <v>0</v>
      </c>
      <c r="M197" t="s">
        <v>25</v>
      </c>
      <c r="N197" t="s">
        <v>35</v>
      </c>
      <c r="O197">
        <v>6.72</v>
      </c>
      <c r="P197" t="s">
        <v>28</v>
      </c>
    </row>
    <row r="198" spans="1:16" x14ac:dyDescent="0.3">
      <c r="A198" t="s">
        <v>61</v>
      </c>
      <c r="B198" t="s">
        <v>33</v>
      </c>
      <c r="C198" t="s">
        <v>31</v>
      </c>
      <c r="D198" t="s">
        <v>39</v>
      </c>
      <c r="E198">
        <v>4</v>
      </c>
      <c r="F198">
        <v>157.5</v>
      </c>
      <c r="G198">
        <v>93.3</v>
      </c>
      <c r="H198">
        <v>3.2</v>
      </c>
      <c r="I198">
        <v>9</v>
      </c>
      <c r="J198">
        <v>6.74</v>
      </c>
      <c r="K198">
        <v>9.98</v>
      </c>
      <c r="L198">
        <v>0</v>
      </c>
      <c r="M198" t="s">
        <v>34</v>
      </c>
      <c r="N198" t="s">
        <v>26</v>
      </c>
      <c r="O198">
        <v>11.57</v>
      </c>
      <c r="P198" t="s">
        <v>30</v>
      </c>
    </row>
    <row r="199" spans="1:16" x14ac:dyDescent="0.3">
      <c r="A199" t="s">
        <v>61</v>
      </c>
      <c r="B199" t="s">
        <v>43</v>
      </c>
      <c r="C199" t="s">
        <v>31</v>
      </c>
      <c r="D199" t="s">
        <v>29</v>
      </c>
      <c r="E199">
        <v>2</v>
      </c>
      <c r="F199">
        <v>170.2</v>
      </c>
      <c r="G199">
        <v>93.8</v>
      </c>
      <c r="H199">
        <v>6.1</v>
      </c>
      <c r="I199">
        <v>4</v>
      </c>
      <c r="J199">
        <v>10</v>
      </c>
      <c r="K199">
        <v>5.01</v>
      </c>
      <c r="L199">
        <v>0</v>
      </c>
      <c r="M199" t="s">
        <v>34</v>
      </c>
      <c r="N199" t="s">
        <v>21</v>
      </c>
      <c r="O199">
        <v>16.399999999999999</v>
      </c>
      <c r="P199" t="s">
        <v>32</v>
      </c>
    </row>
    <row r="200" spans="1:16" x14ac:dyDescent="0.3">
      <c r="A200" t="s">
        <v>61</v>
      </c>
      <c r="B200" t="s">
        <v>43</v>
      </c>
      <c r="C200" t="s">
        <v>37</v>
      </c>
      <c r="D200" t="s">
        <v>19</v>
      </c>
      <c r="E200">
        <v>1</v>
      </c>
      <c r="F200">
        <v>170.9</v>
      </c>
      <c r="G200">
        <v>98.6</v>
      </c>
      <c r="H200">
        <v>7.1</v>
      </c>
      <c r="I200">
        <v>11</v>
      </c>
      <c r="J200">
        <v>7.98</v>
      </c>
      <c r="K200">
        <v>6.22</v>
      </c>
      <c r="L200">
        <v>0</v>
      </c>
      <c r="M200" t="s">
        <v>20</v>
      </c>
      <c r="N200" t="s">
        <v>21</v>
      </c>
      <c r="O200">
        <v>11.58</v>
      </c>
      <c r="P200" t="s">
        <v>36</v>
      </c>
    </row>
    <row r="201" spans="1:16" x14ac:dyDescent="0.3">
      <c r="A201" t="s">
        <v>61</v>
      </c>
      <c r="B201" t="s">
        <v>17</v>
      </c>
      <c r="C201" t="s">
        <v>24</v>
      </c>
      <c r="D201" t="s">
        <v>19</v>
      </c>
      <c r="E201">
        <v>3</v>
      </c>
      <c r="F201">
        <v>156.4</v>
      </c>
      <c r="G201">
        <v>100</v>
      </c>
      <c r="H201">
        <v>4.3</v>
      </c>
      <c r="I201">
        <v>3</v>
      </c>
      <c r="J201">
        <v>7.48</v>
      </c>
      <c r="K201">
        <v>4.32</v>
      </c>
      <c r="L201">
        <v>1</v>
      </c>
      <c r="M201" t="s">
        <v>34</v>
      </c>
      <c r="N201" t="s">
        <v>26</v>
      </c>
      <c r="O201">
        <v>12.52</v>
      </c>
      <c r="P201" t="s">
        <v>38</v>
      </c>
    </row>
    <row r="202" spans="1:16" x14ac:dyDescent="0.3">
      <c r="A202" t="s">
        <v>61</v>
      </c>
      <c r="B202" t="s">
        <v>17</v>
      </c>
      <c r="C202" t="s">
        <v>37</v>
      </c>
      <c r="D202" t="s">
        <v>19</v>
      </c>
      <c r="E202">
        <v>4</v>
      </c>
      <c r="F202">
        <v>153.9</v>
      </c>
      <c r="G202">
        <v>96.1</v>
      </c>
      <c r="I202">
        <v>6</v>
      </c>
      <c r="J202">
        <v>6.76</v>
      </c>
      <c r="K202">
        <v>6.63</v>
      </c>
      <c r="L202">
        <v>0</v>
      </c>
      <c r="M202" t="s">
        <v>25</v>
      </c>
      <c r="N202" t="s">
        <v>21</v>
      </c>
      <c r="O202">
        <v>10.67</v>
      </c>
      <c r="P202" t="s">
        <v>40</v>
      </c>
    </row>
    <row r="203" spans="1:16" x14ac:dyDescent="0.3">
      <c r="A203" t="s">
        <v>61</v>
      </c>
      <c r="B203" t="s">
        <v>43</v>
      </c>
      <c r="C203" t="s">
        <v>41</v>
      </c>
      <c r="D203" t="s">
        <v>19</v>
      </c>
      <c r="E203">
        <v>4</v>
      </c>
      <c r="F203">
        <v>158.69999999999999</v>
      </c>
      <c r="G203">
        <v>93</v>
      </c>
      <c r="H203">
        <v>4.5999999999999996</v>
      </c>
      <c r="I203">
        <v>5</v>
      </c>
      <c r="J203">
        <v>8.48</v>
      </c>
      <c r="K203">
        <v>7.21</v>
      </c>
      <c r="L203">
        <v>0</v>
      </c>
      <c r="M203" t="s">
        <v>20</v>
      </c>
      <c r="N203" t="s">
        <v>35</v>
      </c>
      <c r="O203">
        <v>10.42</v>
      </c>
      <c r="P203" t="s">
        <v>42</v>
      </c>
    </row>
    <row r="204" spans="1:16" x14ac:dyDescent="0.3">
      <c r="A204" t="s">
        <v>61</v>
      </c>
      <c r="B204" t="s">
        <v>23</v>
      </c>
      <c r="C204" t="s">
        <v>41</v>
      </c>
      <c r="D204" t="s">
        <v>39</v>
      </c>
      <c r="E204">
        <v>10</v>
      </c>
      <c r="F204">
        <v>167</v>
      </c>
      <c r="G204">
        <v>98.9</v>
      </c>
      <c r="H204">
        <v>5.2</v>
      </c>
      <c r="I204">
        <v>5</v>
      </c>
      <c r="J204">
        <v>9.6199999999999992</v>
      </c>
      <c r="K204">
        <v>7.59</v>
      </c>
      <c r="L204">
        <v>1</v>
      </c>
      <c r="M204" t="s">
        <v>34</v>
      </c>
      <c r="N204" t="s">
        <v>35</v>
      </c>
      <c r="O204">
        <v>16.809999999999999</v>
      </c>
      <c r="P204" t="s">
        <v>44</v>
      </c>
    </row>
    <row r="205" spans="1:16" x14ac:dyDescent="0.3">
      <c r="A205" t="s">
        <v>61</v>
      </c>
      <c r="B205" t="s">
        <v>17</v>
      </c>
      <c r="C205" t="s">
        <v>31</v>
      </c>
      <c r="D205" t="s">
        <v>39</v>
      </c>
      <c r="E205">
        <v>7</v>
      </c>
      <c r="F205">
        <v>147.4</v>
      </c>
      <c r="G205">
        <v>100</v>
      </c>
      <c r="H205">
        <v>6.1</v>
      </c>
      <c r="I205">
        <v>7</v>
      </c>
      <c r="J205">
        <v>8.1199999999999992</v>
      </c>
      <c r="K205">
        <v>9.07</v>
      </c>
      <c r="L205">
        <v>1</v>
      </c>
      <c r="M205" t="s">
        <v>20</v>
      </c>
      <c r="N205" t="s">
        <v>35</v>
      </c>
      <c r="O205">
        <v>16.36</v>
      </c>
      <c r="P205" t="s">
        <v>45</v>
      </c>
    </row>
    <row r="206" spans="1:16" x14ac:dyDescent="0.3">
      <c r="A206" t="s">
        <v>62</v>
      </c>
      <c r="B206" t="s">
        <v>33</v>
      </c>
      <c r="C206" t="s">
        <v>18</v>
      </c>
      <c r="D206" t="s">
        <v>29</v>
      </c>
      <c r="E206">
        <v>10</v>
      </c>
      <c r="F206">
        <v>146.30000000000001</v>
      </c>
      <c r="G206">
        <v>95.2</v>
      </c>
      <c r="H206">
        <v>5.4</v>
      </c>
      <c r="I206">
        <v>9</v>
      </c>
      <c r="J206">
        <v>6.78</v>
      </c>
      <c r="K206">
        <v>5.37</v>
      </c>
      <c r="L206">
        <v>1</v>
      </c>
      <c r="M206" t="s">
        <v>20</v>
      </c>
      <c r="N206" t="s">
        <v>35</v>
      </c>
      <c r="O206">
        <v>11.13</v>
      </c>
      <c r="P206" t="s">
        <v>22</v>
      </c>
    </row>
    <row r="207" spans="1:16" x14ac:dyDescent="0.3">
      <c r="A207" t="s">
        <v>62</v>
      </c>
      <c r="B207" t="s">
        <v>43</v>
      </c>
      <c r="C207" t="s">
        <v>37</v>
      </c>
      <c r="D207" t="s">
        <v>19</v>
      </c>
      <c r="E207">
        <v>4</v>
      </c>
      <c r="F207">
        <v>166.1</v>
      </c>
      <c r="G207">
        <v>97.6</v>
      </c>
      <c r="H207">
        <v>5.7</v>
      </c>
      <c r="I207">
        <v>6</v>
      </c>
      <c r="J207">
        <v>7.46</v>
      </c>
      <c r="K207">
        <v>8.8699999999999992</v>
      </c>
      <c r="L207">
        <v>1</v>
      </c>
      <c r="M207" t="s">
        <v>20</v>
      </c>
      <c r="N207" t="s">
        <v>26</v>
      </c>
      <c r="O207">
        <v>13.16</v>
      </c>
      <c r="P207" t="s">
        <v>22</v>
      </c>
    </row>
    <row r="208" spans="1:16" x14ac:dyDescent="0.3">
      <c r="A208" t="s">
        <v>62</v>
      </c>
      <c r="B208" t="s">
        <v>17</v>
      </c>
      <c r="C208" t="s">
        <v>31</v>
      </c>
      <c r="D208" t="s">
        <v>29</v>
      </c>
      <c r="E208">
        <v>8</v>
      </c>
      <c r="F208">
        <v>163.69999999999999</v>
      </c>
      <c r="G208">
        <v>97.4</v>
      </c>
      <c r="H208">
        <v>2.2999999999999998</v>
      </c>
      <c r="I208">
        <v>12</v>
      </c>
      <c r="J208">
        <v>7.02</v>
      </c>
      <c r="K208">
        <v>10</v>
      </c>
      <c r="L208">
        <v>0</v>
      </c>
      <c r="M208" t="s">
        <v>20</v>
      </c>
      <c r="N208" t="s">
        <v>35</v>
      </c>
      <c r="O208">
        <v>9.43</v>
      </c>
      <c r="P208" t="s">
        <v>28</v>
      </c>
    </row>
    <row r="209" spans="1:16" x14ac:dyDescent="0.3">
      <c r="A209" t="s">
        <v>62</v>
      </c>
      <c r="B209" t="s">
        <v>33</v>
      </c>
      <c r="C209" t="s">
        <v>18</v>
      </c>
      <c r="D209" t="s">
        <v>39</v>
      </c>
      <c r="E209">
        <v>1</v>
      </c>
      <c r="F209">
        <v>157</v>
      </c>
      <c r="G209">
        <v>100</v>
      </c>
      <c r="I209">
        <v>2</v>
      </c>
      <c r="J209">
        <v>9.17</v>
      </c>
      <c r="K209">
        <v>6.74</v>
      </c>
      <c r="L209">
        <v>0</v>
      </c>
      <c r="M209" t="s">
        <v>34</v>
      </c>
      <c r="N209" t="s">
        <v>21</v>
      </c>
      <c r="O209">
        <v>16.43</v>
      </c>
      <c r="P209" t="s">
        <v>28</v>
      </c>
    </row>
    <row r="210" spans="1:16" x14ac:dyDescent="0.3">
      <c r="A210" t="s">
        <v>62</v>
      </c>
      <c r="B210" t="s">
        <v>27</v>
      </c>
      <c r="C210" t="s">
        <v>31</v>
      </c>
      <c r="D210" t="s">
        <v>39</v>
      </c>
      <c r="E210">
        <v>3</v>
      </c>
      <c r="F210">
        <v>161.4</v>
      </c>
      <c r="G210">
        <v>95.1</v>
      </c>
      <c r="H210">
        <v>4.3</v>
      </c>
      <c r="I210">
        <v>8</v>
      </c>
      <c r="J210">
        <v>9.85</v>
      </c>
      <c r="K210">
        <v>9.24</v>
      </c>
      <c r="L210">
        <v>1</v>
      </c>
      <c r="M210" t="s">
        <v>25</v>
      </c>
      <c r="N210" t="s">
        <v>21</v>
      </c>
      <c r="O210">
        <v>17.3</v>
      </c>
      <c r="P210" t="s">
        <v>30</v>
      </c>
    </row>
    <row r="211" spans="1:16" x14ac:dyDescent="0.3">
      <c r="A211" t="s">
        <v>62</v>
      </c>
      <c r="B211" t="s">
        <v>27</v>
      </c>
      <c r="C211" t="s">
        <v>37</v>
      </c>
      <c r="D211" t="s">
        <v>19</v>
      </c>
      <c r="E211">
        <v>9</v>
      </c>
      <c r="F211">
        <v>166.5</v>
      </c>
      <c r="G211">
        <v>95</v>
      </c>
      <c r="H211">
        <v>4.0999999999999996</v>
      </c>
      <c r="I211">
        <v>5</v>
      </c>
      <c r="J211">
        <v>9.09</v>
      </c>
      <c r="K211">
        <v>10</v>
      </c>
      <c r="L211">
        <v>1</v>
      </c>
      <c r="M211" t="s">
        <v>20</v>
      </c>
      <c r="N211" t="s">
        <v>26</v>
      </c>
      <c r="O211">
        <v>16</v>
      </c>
      <c r="P211" t="s">
        <v>32</v>
      </c>
    </row>
    <row r="212" spans="1:16" x14ac:dyDescent="0.3">
      <c r="A212" t="s">
        <v>62</v>
      </c>
      <c r="B212" t="s">
        <v>43</v>
      </c>
      <c r="C212" t="s">
        <v>18</v>
      </c>
      <c r="D212" t="s">
        <v>29</v>
      </c>
      <c r="E212">
        <v>1</v>
      </c>
      <c r="F212">
        <v>165.6</v>
      </c>
      <c r="G212">
        <v>90.6</v>
      </c>
      <c r="H212">
        <v>9</v>
      </c>
      <c r="I212">
        <v>3</v>
      </c>
      <c r="J212">
        <v>6.7</v>
      </c>
      <c r="K212">
        <v>10</v>
      </c>
      <c r="L212">
        <v>1</v>
      </c>
      <c r="M212" t="s">
        <v>20</v>
      </c>
      <c r="N212" t="s">
        <v>26</v>
      </c>
      <c r="O212">
        <v>17.38</v>
      </c>
      <c r="P212" t="s">
        <v>36</v>
      </c>
    </row>
    <row r="213" spans="1:16" x14ac:dyDescent="0.3">
      <c r="A213" t="s">
        <v>62</v>
      </c>
      <c r="B213" t="s">
        <v>23</v>
      </c>
      <c r="C213" t="s">
        <v>37</v>
      </c>
      <c r="D213" t="s">
        <v>39</v>
      </c>
      <c r="E213">
        <v>6</v>
      </c>
      <c r="F213">
        <v>165.9</v>
      </c>
      <c r="G213">
        <v>96.3</v>
      </c>
      <c r="H213">
        <v>5.9</v>
      </c>
      <c r="I213">
        <v>6</v>
      </c>
      <c r="J213">
        <v>7.7</v>
      </c>
      <c r="K213">
        <v>10</v>
      </c>
      <c r="L213">
        <v>0</v>
      </c>
      <c r="M213" t="s">
        <v>34</v>
      </c>
      <c r="N213" t="s">
        <v>35</v>
      </c>
      <c r="O213">
        <v>18.16</v>
      </c>
      <c r="P213" t="s">
        <v>38</v>
      </c>
    </row>
    <row r="214" spans="1:16" x14ac:dyDescent="0.3">
      <c r="A214" t="s">
        <v>62</v>
      </c>
      <c r="B214" t="s">
        <v>17</v>
      </c>
      <c r="C214" t="s">
        <v>18</v>
      </c>
      <c r="D214" t="s">
        <v>19</v>
      </c>
      <c r="E214">
        <v>10</v>
      </c>
      <c r="F214">
        <v>162</v>
      </c>
      <c r="G214">
        <v>91.2</v>
      </c>
      <c r="H214">
        <v>2.7</v>
      </c>
      <c r="I214">
        <v>7</v>
      </c>
      <c r="J214">
        <v>8.43</v>
      </c>
      <c r="K214">
        <v>7.51</v>
      </c>
      <c r="L214">
        <v>2</v>
      </c>
      <c r="M214" t="s">
        <v>34</v>
      </c>
      <c r="N214" t="s">
        <v>21</v>
      </c>
      <c r="O214">
        <v>17.79</v>
      </c>
      <c r="P214" t="s">
        <v>40</v>
      </c>
    </row>
    <row r="215" spans="1:16" x14ac:dyDescent="0.3">
      <c r="A215" t="s">
        <v>62</v>
      </c>
      <c r="B215" t="s">
        <v>23</v>
      </c>
      <c r="C215" t="s">
        <v>37</v>
      </c>
      <c r="D215" t="s">
        <v>19</v>
      </c>
      <c r="E215">
        <v>8</v>
      </c>
      <c r="F215">
        <v>156.5</v>
      </c>
      <c r="G215">
        <v>90.7</v>
      </c>
      <c r="H215">
        <v>1</v>
      </c>
      <c r="I215">
        <v>8</v>
      </c>
      <c r="J215">
        <v>5.62</v>
      </c>
      <c r="K215">
        <v>9.4600000000000009</v>
      </c>
      <c r="L215">
        <v>2</v>
      </c>
      <c r="M215" t="s">
        <v>25</v>
      </c>
      <c r="N215" t="s">
        <v>26</v>
      </c>
      <c r="O215">
        <v>0.74</v>
      </c>
      <c r="P215" t="s">
        <v>42</v>
      </c>
    </row>
    <row r="216" spans="1:16" x14ac:dyDescent="0.3">
      <c r="A216" t="s">
        <v>62</v>
      </c>
      <c r="B216" t="s">
        <v>43</v>
      </c>
      <c r="C216" t="s">
        <v>18</v>
      </c>
      <c r="D216" t="s">
        <v>29</v>
      </c>
      <c r="E216">
        <v>9</v>
      </c>
      <c r="F216">
        <v>159.4</v>
      </c>
      <c r="G216">
        <v>97.4</v>
      </c>
      <c r="I216">
        <v>4</v>
      </c>
      <c r="J216">
        <v>6.53</v>
      </c>
      <c r="K216">
        <v>9.74</v>
      </c>
      <c r="L216">
        <v>0</v>
      </c>
      <c r="M216" t="s">
        <v>25</v>
      </c>
      <c r="N216" t="s">
        <v>35</v>
      </c>
      <c r="O216">
        <v>8.41</v>
      </c>
      <c r="P216" t="s">
        <v>44</v>
      </c>
    </row>
    <row r="217" spans="1:16" x14ac:dyDescent="0.3">
      <c r="A217" t="s">
        <v>62</v>
      </c>
      <c r="B217" t="s">
        <v>17</v>
      </c>
      <c r="C217" t="s">
        <v>24</v>
      </c>
      <c r="D217" t="s">
        <v>39</v>
      </c>
      <c r="E217">
        <v>5</v>
      </c>
      <c r="F217">
        <v>168.5</v>
      </c>
      <c r="G217">
        <v>100</v>
      </c>
      <c r="H217">
        <v>4.8</v>
      </c>
      <c r="I217">
        <v>3</v>
      </c>
      <c r="J217">
        <v>5.67</v>
      </c>
      <c r="K217">
        <v>7.23</v>
      </c>
      <c r="L217">
        <v>0</v>
      </c>
      <c r="M217" t="s">
        <v>34</v>
      </c>
      <c r="N217" t="s">
        <v>35</v>
      </c>
      <c r="O217">
        <v>12.77</v>
      </c>
      <c r="P217" t="s">
        <v>45</v>
      </c>
    </row>
    <row r="218" spans="1:16" x14ac:dyDescent="0.3">
      <c r="A218" t="s">
        <v>63</v>
      </c>
      <c r="B218" t="s">
        <v>27</v>
      </c>
      <c r="C218" t="s">
        <v>37</v>
      </c>
      <c r="D218" t="s">
        <v>39</v>
      </c>
      <c r="E218">
        <v>10</v>
      </c>
      <c r="F218">
        <v>148.1</v>
      </c>
      <c r="G218">
        <v>83.4</v>
      </c>
      <c r="H218">
        <v>6.1</v>
      </c>
      <c r="I218">
        <v>10</v>
      </c>
      <c r="J218">
        <v>9.9600000000000009</v>
      </c>
      <c r="K218">
        <v>6.9</v>
      </c>
      <c r="L218">
        <v>0</v>
      </c>
      <c r="M218" t="s">
        <v>20</v>
      </c>
      <c r="N218" t="s">
        <v>35</v>
      </c>
      <c r="O218">
        <v>22.5</v>
      </c>
      <c r="P218" t="s">
        <v>22</v>
      </c>
    </row>
    <row r="219" spans="1:16" x14ac:dyDescent="0.3">
      <c r="A219" t="s">
        <v>63</v>
      </c>
      <c r="B219" t="s">
        <v>23</v>
      </c>
      <c r="C219" t="s">
        <v>31</v>
      </c>
      <c r="D219" t="s">
        <v>19</v>
      </c>
      <c r="E219">
        <v>3</v>
      </c>
      <c r="F219">
        <v>152</v>
      </c>
      <c r="G219">
        <v>96.7</v>
      </c>
      <c r="H219">
        <v>4.4000000000000004</v>
      </c>
      <c r="I219">
        <v>14</v>
      </c>
      <c r="J219">
        <v>7.86</v>
      </c>
      <c r="K219">
        <v>7.47</v>
      </c>
      <c r="L219">
        <v>0</v>
      </c>
      <c r="M219" t="s">
        <v>25</v>
      </c>
      <c r="N219" t="s">
        <v>35</v>
      </c>
      <c r="O219">
        <v>14.26</v>
      </c>
      <c r="P219" t="s">
        <v>22</v>
      </c>
    </row>
    <row r="220" spans="1:16" x14ac:dyDescent="0.3">
      <c r="A220" t="s">
        <v>63</v>
      </c>
      <c r="B220" t="s">
        <v>23</v>
      </c>
      <c r="C220" t="s">
        <v>41</v>
      </c>
      <c r="D220" t="s">
        <v>19</v>
      </c>
      <c r="E220">
        <v>6</v>
      </c>
      <c r="F220">
        <v>154.5</v>
      </c>
      <c r="G220">
        <v>99.2</v>
      </c>
      <c r="H220">
        <v>2.8</v>
      </c>
      <c r="I220">
        <v>7</v>
      </c>
      <c r="J220">
        <v>7.83</v>
      </c>
      <c r="K220">
        <v>4.8</v>
      </c>
      <c r="L220">
        <v>0</v>
      </c>
      <c r="M220" t="s">
        <v>34</v>
      </c>
      <c r="N220" t="s">
        <v>21</v>
      </c>
      <c r="O220">
        <v>17.2</v>
      </c>
      <c r="P220" t="s">
        <v>28</v>
      </c>
    </row>
    <row r="221" spans="1:16" x14ac:dyDescent="0.3">
      <c r="A221" t="s">
        <v>63</v>
      </c>
      <c r="B221" t="s">
        <v>17</v>
      </c>
      <c r="C221" t="s">
        <v>37</v>
      </c>
      <c r="D221" t="s">
        <v>39</v>
      </c>
      <c r="E221">
        <v>10</v>
      </c>
      <c r="F221">
        <v>185.3</v>
      </c>
      <c r="G221">
        <v>98.1</v>
      </c>
      <c r="H221">
        <v>6.3</v>
      </c>
      <c r="I221">
        <v>4</v>
      </c>
      <c r="J221">
        <v>9.5500000000000007</v>
      </c>
      <c r="K221">
        <v>4.24</v>
      </c>
      <c r="L221">
        <v>0</v>
      </c>
      <c r="M221" t="s">
        <v>20</v>
      </c>
      <c r="N221" t="s">
        <v>26</v>
      </c>
      <c r="O221">
        <v>15.06</v>
      </c>
      <c r="P221" t="s">
        <v>28</v>
      </c>
    </row>
    <row r="222" spans="1:16" x14ac:dyDescent="0.3">
      <c r="A222" t="s">
        <v>63</v>
      </c>
      <c r="B222" t="s">
        <v>33</v>
      </c>
      <c r="C222" t="s">
        <v>18</v>
      </c>
      <c r="D222" t="s">
        <v>39</v>
      </c>
      <c r="E222">
        <v>8</v>
      </c>
      <c r="F222">
        <v>150.6</v>
      </c>
      <c r="G222">
        <v>91.7</v>
      </c>
      <c r="H222">
        <v>5.6</v>
      </c>
      <c r="I222">
        <v>8</v>
      </c>
      <c r="J222">
        <v>7.22</v>
      </c>
      <c r="K222">
        <v>9.34</v>
      </c>
      <c r="L222">
        <v>0</v>
      </c>
      <c r="M222" t="s">
        <v>34</v>
      </c>
      <c r="N222" t="s">
        <v>35</v>
      </c>
      <c r="O222">
        <v>12.38</v>
      </c>
      <c r="P222" t="s">
        <v>30</v>
      </c>
    </row>
    <row r="223" spans="1:16" x14ac:dyDescent="0.3">
      <c r="A223" t="s">
        <v>63</v>
      </c>
      <c r="B223" t="s">
        <v>27</v>
      </c>
      <c r="C223" t="s">
        <v>41</v>
      </c>
      <c r="D223" t="s">
        <v>19</v>
      </c>
      <c r="E223">
        <v>5</v>
      </c>
      <c r="F223">
        <v>147.80000000000001</v>
      </c>
      <c r="G223">
        <v>98.3</v>
      </c>
      <c r="H223">
        <v>4.2</v>
      </c>
      <c r="I223">
        <v>9</v>
      </c>
      <c r="J223">
        <v>10</v>
      </c>
      <c r="K223">
        <v>6.14</v>
      </c>
      <c r="L223">
        <v>1</v>
      </c>
      <c r="M223" t="s">
        <v>20</v>
      </c>
      <c r="N223" t="s">
        <v>21</v>
      </c>
      <c r="O223">
        <v>4.49</v>
      </c>
      <c r="P223" t="s">
        <v>32</v>
      </c>
    </row>
    <row r="224" spans="1:16" x14ac:dyDescent="0.3">
      <c r="A224" t="s">
        <v>63</v>
      </c>
      <c r="B224" t="s">
        <v>43</v>
      </c>
      <c r="C224" t="s">
        <v>41</v>
      </c>
      <c r="D224" t="s">
        <v>39</v>
      </c>
      <c r="E224">
        <v>9</v>
      </c>
      <c r="F224">
        <v>144.80000000000001</v>
      </c>
      <c r="G224">
        <v>98.8</v>
      </c>
      <c r="H224">
        <v>4.2</v>
      </c>
      <c r="I224">
        <v>7</v>
      </c>
      <c r="J224">
        <v>5.8</v>
      </c>
      <c r="K224">
        <v>6.65</v>
      </c>
      <c r="L224">
        <v>0</v>
      </c>
      <c r="M224" t="s">
        <v>20</v>
      </c>
      <c r="N224" t="s">
        <v>35</v>
      </c>
      <c r="O224">
        <v>17.350000000000001</v>
      </c>
      <c r="P224" t="s">
        <v>36</v>
      </c>
    </row>
    <row r="225" spans="1:16" x14ac:dyDescent="0.3">
      <c r="A225" t="s">
        <v>63</v>
      </c>
      <c r="B225" t="s">
        <v>27</v>
      </c>
      <c r="C225" t="s">
        <v>41</v>
      </c>
      <c r="D225" t="s">
        <v>39</v>
      </c>
      <c r="E225">
        <v>5</v>
      </c>
      <c r="F225">
        <v>155.69999999999999</v>
      </c>
      <c r="G225">
        <v>100</v>
      </c>
      <c r="H225">
        <v>4.5</v>
      </c>
      <c r="I225">
        <v>4</v>
      </c>
      <c r="J225">
        <v>6.8</v>
      </c>
      <c r="K225">
        <v>9.42</v>
      </c>
      <c r="L225">
        <v>1</v>
      </c>
      <c r="M225" t="s">
        <v>20</v>
      </c>
      <c r="N225" t="s">
        <v>35</v>
      </c>
      <c r="O225">
        <v>22.45</v>
      </c>
      <c r="P225" t="s">
        <v>38</v>
      </c>
    </row>
    <row r="226" spans="1:16" x14ac:dyDescent="0.3">
      <c r="A226" t="s">
        <v>63</v>
      </c>
      <c r="B226" t="s">
        <v>23</v>
      </c>
      <c r="C226" t="s">
        <v>24</v>
      </c>
      <c r="D226" t="s">
        <v>19</v>
      </c>
      <c r="E226">
        <v>8</v>
      </c>
      <c r="F226">
        <v>168.7</v>
      </c>
      <c r="G226">
        <v>92.7</v>
      </c>
      <c r="H226">
        <v>3.2</v>
      </c>
      <c r="I226">
        <v>3</v>
      </c>
      <c r="J226">
        <v>8.93</v>
      </c>
      <c r="K226">
        <v>8.75</v>
      </c>
      <c r="L226">
        <v>2</v>
      </c>
      <c r="M226" t="s">
        <v>20</v>
      </c>
      <c r="N226" t="s">
        <v>21</v>
      </c>
      <c r="O226">
        <v>20.61</v>
      </c>
      <c r="P226" t="s">
        <v>40</v>
      </c>
    </row>
    <row r="227" spans="1:16" x14ac:dyDescent="0.3">
      <c r="A227" t="s">
        <v>63</v>
      </c>
      <c r="B227" t="s">
        <v>43</v>
      </c>
      <c r="C227" t="s">
        <v>18</v>
      </c>
      <c r="D227" t="s">
        <v>39</v>
      </c>
      <c r="E227">
        <v>10</v>
      </c>
      <c r="F227">
        <v>152.9</v>
      </c>
      <c r="G227">
        <v>92.8</v>
      </c>
      <c r="H227">
        <v>6.7</v>
      </c>
      <c r="I227">
        <v>7</v>
      </c>
      <c r="K227">
        <v>8.6</v>
      </c>
      <c r="L227">
        <v>0</v>
      </c>
      <c r="M227" t="s">
        <v>34</v>
      </c>
      <c r="N227" t="s">
        <v>35</v>
      </c>
      <c r="O227">
        <v>9.23</v>
      </c>
      <c r="P227" t="s">
        <v>42</v>
      </c>
    </row>
    <row r="228" spans="1:16" x14ac:dyDescent="0.3">
      <c r="A228" t="s">
        <v>63</v>
      </c>
      <c r="B228" t="s">
        <v>43</v>
      </c>
      <c r="C228" t="s">
        <v>31</v>
      </c>
      <c r="D228" t="s">
        <v>19</v>
      </c>
      <c r="E228">
        <v>7</v>
      </c>
      <c r="F228">
        <v>159.4</v>
      </c>
      <c r="G228">
        <v>97.4</v>
      </c>
      <c r="H228">
        <v>1.7</v>
      </c>
      <c r="I228">
        <v>9</v>
      </c>
      <c r="J228">
        <v>7.51</v>
      </c>
      <c r="K228">
        <v>8.27</v>
      </c>
      <c r="L228">
        <v>0</v>
      </c>
      <c r="M228" t="s">
        <v>34</v>
      </c>
      <c r="N228" t="s">
        <v>21</v>
      </c>
      <c r="O228">
        <v>8.84</v>
      </c>
      <c r="P228" t="s">
        <v>44</v>
      </c>
    </row>
    <row r="229" spans="1:16" x14ac:dyDescent="0.3">
      <c r="A229" t="s">
        <v>63</v>
      </c>
      <c r="B229" t="s">
        <v>43</v>
      </c>
      <c r="C229" t="s">
        <v>18</v>
      </c>
      <c r="D229" t="s">
        <v>29</v>
      </c>
      <c r="E229">
        <v>2</v>
      </c>
      <c r="F229">
        <v>156.19999999999999</v>
      </c>
      <c r="G229">
        <v>99.8</v>
      </c>
      <c r="H229">
        <v>3.4</v>
      </c>
      <c r="I229">
        <v>8</v>
      </c>
      <c r="J229">
        <v>9.02</v>
      </c>
      <c r="K229">
        <v>4.9400000000000004</v>
      </c>
      <c r="L229">
        <v>1</v>
      </c>
      <c r="M229" t="s">
        <v>34</v>
      </c>
      <c r="N229" t="s">
        <v>26</v>
      </c>
      <c r="O229">
        <v>13.92</v>
      </c>
      <c r="P229" t="s">
        <v>45</v>
      </c>
    </row>
    <row r="230" spans="1:16" x14ac:dyDescent="0.3">
      <c r="A230" t="s">
        <v>64</v>
      </c>
      <c r="B230" t="s">
        <v>33</v>
      </c>
      <c r="C230" t="s">
        <v>18</v>
      </c>
      <c r="D230" t="s">
        <v>39</v>
      </c>
      <c r="E230">
        <v>10</v>
      </c>
      <c r="F230">
        <v>167.8</v>
      </c>
      <c r="G230">
        <v>86.9</v>
      </c>
      <c r="H230">
        <v>2.6</v>
      </c>
      <c r="I230">
        <v>10</v>
      </c>
      <c r="J230">
        <v>7.14</v>
      </c>
      <c r="K230">
        <v>3.69</v>
      </c>
      <c r="L230">
        <v>0</v>
      </c>
      <c r="M230" t="s">
        <v>25</v>
      </c>
      <c r="N230" t="s">
        <v>26</v>
      </c>
      <c r="O230">
        <v>8.27</v>
      </c>
      <c r="P230" t="s">
        <v>22</v>
      </c>
    </row>
    <row r="231" spans="1:16" x14ac:dyDescent="0.3">
      <c r="A231" t="s">
        <v>64</v>
      </c>
      <c r="B231" t="s">
        <v>43</v>
      </c>
      <c r="C231" t="s">
        <v>18</v>
      </c>
      <c r="D231" t="s">
        <v>19</v>
      </c>
      <c r="E231">
        <v>7</v>
      </c>
      <c r="F231">
        <v>168.1</v>
      </c>
      <c r="G231">
        <v>91.4</v>
      </c>
      <c r="H231">
        <v>3.5</v>
      </c>
      <c r="I231">
        <v>11</v>
      </c>
      <c r="J231">
        <v>7.13</v>
      </c>
      <c r="K231">
        <v>6.08</v>
      </c>
      <c r="L231">
        <v>1</v>
      </c>
      <c r="M231" t="s">
        <v>25</v>
      </c>
      <c r="N231" t="s">
        <v>35</v>
      </c>
      <c r="O231">
        <v>6.4</v>
      </c>
      <c r="P231" t="s">
        <v>22</v>
      </c>
    </row>
    <row r="232" spans="1:16" x14ac:dyDescent="0.3">
      <c r="A232" t="s">
        <v>64</v>
      </c>
      <c r="B232" t="s">
        <v>23</v>
      </c>
      <c r="C232" t="s">
        <v>18</v>
      </c>
      <c r="D232" t="s">
        <v>39</v>
      </c>
      <c r="E232">
        <v>7</v>
      </c>
      <c r="F232">
        <v>159.30000000000001</v>
      </c>
      <c r="G232">
        <v>97.3</v>
      </c>
      <c r="H232">
        <v>4.0999999999999996</v>
      </c>
      <c r="I232">
        <v>4</v>
      </c>
      <c r="J232">
        <v>7.28</v>
      </c>
      <c r="K232">
        <v>7.97</v>
      </c>
      <c r="L232">
        <v>0</v>
      </c>
      <c r="M232" t="s">
        <v>20</v>
      </c>
      <c r="N232" t="s">
        <v>35</v>
      </c>
      <c r="O232">
        <v>5.84</v>
      </c>
      <c r="P232" t="s">
        <v>28</v>
      </c>
    </row>
    <row r="233" spans="1:16" x14ac:dyDescent="0.3">
      <c r="A233" t="s">
        <v>64</v>
      </c>
      <c r="B233" t="s">
        <v>27</v>
      </c>
      <c r="C233" t="s">
        <v>31</v>
      </c>
      <c r="D233" t="s">
        <v>19</v>
      </c>
      <c r="E233">
        <v>5</v>
      </c>
      <c r="F233">
        <v>157.5</v>
      </c>
      <c r="G233">
        <v>95.7</v>
      </c>
      <c r="H233">
        <v>5.3</v>
      </c>
      <c r="I233">
        <v>3</v>
      </c>
      <c r="J233">
        <v>7.78</v>
      </c>
      <c r="K233">
        <v>6.12</v>
      </c>
      <c r="L233">
        <v>1</v>
      </c>
      <c r="M233" t="s">
        <v>25</v>
      </c>
      <c r="N233" t="s">
        <v>35</v>
      </c>
      <c r="O233">
        <v>18.239999999999998</v>
      </c>
      <c r="P233" t="s">
        <v>28</v>
      </c>
    </row>
    <row r="234" spans="1:16" x14ac:dyDescent="0.3">
      <c r="A234" t="s">
        <v>64</v>
      </c>
      <c r="B234" t="s">
        <v>27</v>
      </c>
      <c r="C234" t="s">
        <v>31</v>
      </c>
      <c r="D234" t="s">
        <v>39</v>
      </c>
      <c r="E234">
        <v>3</v>
      </c>
      <c r="F234">
        <v>154.4</v>
      </c>
      <c r="G234">
        <v>88.5</v>
      </c>
      <c r="H234">
        <v>6</v>
      </c>
      <c r="I234">
        <v>7</v>
      </c>
      <c r="J234">
        <v>8.19</v>
      </c>
      <c r="K234">
        <v>6.95</v>
      </c>
      <c r="L234">
        <v>0</v>
      </c>
      <c r="M234" t="s">
        <v>34</v>
      </c>
      <c r="N234" t="s">
        <v>26</v>
      </c>
      <c r="O234">
        <v>10.7</v>
      </c>
      <c r="P234" t="s">
        <v>30</v>
      </c>
    </row>
    <row r="235" spans="1:16" x14ac:dyDescent="0.3">
      <c r="A235" t="s">
        <v>64</v>
      </c>
      <c r="B235" t="s">
        <v>43</v>
      </c>
      <c r="C235" t="s">
        <v>41</v>
      </c>
      <c r="D235" t="s">
        <v>29</v>
      </c>
      <c r="E235">
        <v>6</v>
      </c>
      <c r="F235">
        <v>171.9</v>
      </c>
      <c r="G235">
        <v>100</v>
      </c>
      <c r="H235">
        <v>6.1</v>
      </c>
      <c r="I235">
        <v>5</v>
      </c>
      <c r="J235">
        <v>7.18</v>
      </c>
      <c r="K235">
        <v>9.06</v>
      </c>
      <c r="L235">
        <v>0</v>
      </c>
      <c r="M235" t="s">
        <v>34</v>
      </c>
      <c r="N235" t="s">
        <v>21</v>
      </c>
      <c r="O235">
        <v>21.07</v>
      </c>
      <c r="P235" t="s">
        <v>32</v>
      </c>
    </row>
    <row r="236" spans="1:16" x14ac:dyDescent="0.3">
      <c r="A236" t="s">
        <v>64</v>
      </c>
      <c r="B236" t="s">
        <v>23</v>
      </c>
      <c r="C236" t="s">
        <v>37</v>
      </c>
      <c r="D236" t="s">
        <v>29</v>
      </c>
      <c r="E236">
        <v>3</v>
      </c>
      <c r="F236">
        <v>171.6</v>
      </c>
      <c r="G236">
        <v>93.3</v>
      </c>
      <c r="H236">
        <v>5.9</v>
      </c>
      <c r="I236">
        <v>4</v>
      </c>
      <c r="J236">
        <v>9.3000000000000007</v>
      </c>
      <c r="K236">
        <v>9.31</v>
      </c>
      <c r="L236">
        <v>0</v>
      </c>
      <c r="M236" t="s">
        <v>34</v>
      </c>
      <c r="N236" t="s">
        <v>21</v>
      </c>
      <c r="O236">
        <v>20.09</v>
      </c>
      <c r="P236" t="s">
        <v>36</v>
      </c>
    </row>
    <row r="237" spans="1:16" x14ac:dyDescent="0.3">
      <c r="A237" t="s">
        <v>64</v>
      </c>
      <c r="B237" t="s">
        <v>43</v>
      </c>
      <c r="C237" t="s">
        <v>18</v>
      </c>
      <c r="D237" t="s">
        <v>19</v>
      </c>
      <c r="E237">
        <v>4</v>
      </c>
      <c r="F237">
        <v>155.4</v>
      </c>
      <c r="G237">
        <v>95.3</v>
      </c>
      <c r="H237">
        <v>5.2</v>
      </c>
      <c r="I237">
        <v>5</v>
      </c>
      <c r="J237">
        <v>5.22</v>
      </c>
      <c r="K237">
        <v>2.4900000000000002</v>
      </c>
      <c r="L237">
        <v>0</v>
      </c>
      <c r="M237" t="s">
        <v>34</v>
      </c>
      <c r="N237" t="s">
        <v>21</v>
      </c>
      <c r="O237">
        <v>9.09</v>
      </c>
      <c r="P237" t="s">
        <v>38</v>
      </c>
    </row>
    <row r="238" spans="1:16" x14ac:dyDescent="0.3">
      <c r="A238" t="s">
        <v>64</v>
      </c>
      <c r="B238" t="s">
        <v>43</v>
      </c>
      <c r="C238" t="s">
        <v>24</v>
      </c>
      <c r="D238" t="s">
        <v>19</v>
      </c>
      <c r="E238">
        <v>3</v>
      </c>
      <c r="F238">
        <v>157.30000000000001</v>
      </c>
      <c r="G238">
        <v>92</v>
      </c>
      <c r="H238">
        <v>2.7</v>
      </c>
      <c r="I238">
        <v>4</v>
      </c>
      <c r="J238">
        <v>4.33</v>
      </c>
      <c r="K238">
        <v>7.51</v>
      </c>
      <c r="L238">
        <v>0</v>
      </c>
      <c r="M238" t="s">
        <v>20</v>
      </c>
      <c r="N238" t="s">
        <v>21</v>
      </c>
      <c r="O238">
        <v>10.33</v>
      </c>
      <c r="P238" t="s">
        <v>40</v>
      </c>
    </row>
    <row r="239" spans="1:16" x14ac:dyDescent="0.3">
      <c r="A239" t="s">
        <v>64</v>
      </c>
      <c r="B239" t="s">
        <v>17</v>
      </c>
      <c r="C239" t="s">
        <v>37</v>
      </c>
      <c r="D239" t="s">
        <v>29</v>
      </c>
      <c r="E239">
        <v>10</v>
      </c>
      <c r="F239">
        <v>159.4</v>
      </c>
      <c r="G239">
        <v>100</v>
      </c>
      <c r="H239">
        <v>1.1000000000000001</v>
      </c>
      <c r="I239">
        <v>3</v>
      </c>
      <c r="J239">
        <v>7.72</v>
      </c>
      <c r="K239">
        <v>6.81</v>
      </c>
      <c r="L239">
        <v>1</v>
      </c>
      <c r="M239" t="s">
        <v>20</v>
      </c>
      <c r="N239" t="s">
        <v>35</v>
      </c>
      <c r="O239">
        <v>15.49</v>
      </c>
      <c r="P239" t="s">
        <v>42</v>
      </c>
    </row>
    <row r="240" spans="1:16" x14ac:dyDescent="0.3">
      <c r="A240" t="s">
        <v>64</v>
      </c>
      <c r="B240" t="s">
        <v>33</v>
      </c>
      <c r="C240" t="s">
        <v>31</v>
      </c>
      <c r="D240" t="s">
        <v>29</v>
      </c>
      <c r="E240">
        <v>5</v>
      </c>
      <c r="F240">
        <v>162.69999999999999</v>
      </c>
      <c r="G240">
        <v>96.5</v>
      </c>
      <c r="H240">
        <v>2.9</v>
      </c>
      <c r="I240">
        <v>8</v>
      </c>
      <c r="J240">
        <v>7.24</v>
      </c>
      <c r="K240">
        <v>6.61</v>
      </c>
      <c r="L240">
        <v>0</v>
      </c>
      <c r="M240" t="s">
        <v>25</v>
      </c>
      <c r="N240" t="s">
        <v>26</v>
      </c>
      <c r="O240">
        <v>18.61</v>
      </c>
      <c r="P240" t="s">
        <v>44</v>
      </c>
    </row>
    <row r="241" spans="1:16" x14ac:dyDescent="0.3">
      <c r="A241" t="s">
        <v>64</v>
      </c>
      <c r="B241" t="s">
        <v>43</v>
      </c>
      <c r="C241" t="s">
        <v>41</v>
      </c>
      <c r="D241" t="s">
        <v>19</v>
      </c>
      <c r="E241">
        <v>7</v>
      </c>
      <c r="F241">
        <v>148.4</v>
      </c>
      <c r="G241">
        <v>93.6</v>
      </c>
      <c r="H241">
        <v>4.4000000000000004</v>
      </c>
      <c r="I241">
        <v>4</v>
      </c>
      <c r="J241">
        <v>5.69</v>
      </c>
      <c r="K241">
        <v>4.7300000000000004</v>
      </c>
      <c r="L241">
        <v>0</v>
      </c>
      <c r="M241" t="s">
        <v>25</v>
      </c>
      <c r="N241" t="s">
        <v>21</v>
      </c>
      <c r="O241">
        <v>14.23</v>
      </c>
      <c r="P241" t="s">
        <v>45</v>
      </c>
    </row>
    <row r="242" spans="1:16" x14ac:dyDescent="0.3">
      <c r="A242" t="s">
        <v>65</v>
      </c>
      <c r="B242" t="s">
        <v>23</v>
      </c>
      <c r="C242" t="s">
        <v>18</v>
      </c>
      <c r="D242" t="s">
        <v>19</v>
      </c>
      <c r="E242">
        <v>5</v>
      </c>
      <c r="F242">
        <v>156.30000000000001</v>
      </c>
      <c r="G242">
        <v>92.5</v>
      </c>
      <c r="H242">
        <v>3.8</v>
      </c>
      <c r="I242">
        <v>3</v>
      </c>
      <c r="J242">
        <v>7.34</v>
      </c>
      <c r="K242">
        <v>6.64</v>
      </c>
      <c r="L242">
        <v>1</v>
      </c>
      <c r="M242" t="s">
        <v>20</v>
      </c>
      <c r="N242" t="s">
        <v>26</v>
      </c>
      <c r="O242">
        <v>12.73</v>
      </c>
      <c r="P242" t="s">
        <v>22</v>
      </c>
    </row>
    <row r="243" spans="1:16" x14ac:dyDescent="0.3">
      <c r="A243" t="s">
        <v>65</v>
      </c>
      <c r="B243" t="s">
        <v>23</v>
      </c>
      <c r="C243" t="s">
        <v>31</v>
      </c>
      <c r="D243" t="s">
        <v>19</v>
      </c>
      <c r="E243">
        <v>10</v>
      </c>
      <c r="F243">
        <v>142.69999999999999</v>
      </c>
      <c r="G243">
        <v>100</v>
      </c>
      <c r="H243">
        <v>5.0999999999999996</v>
      </c>
      <c r="I243">
        <v>6</v>
      </c>
      <c r="J243">
        <v>8.16</v>
      </c>
      <c r="K243">
        <v>9.42</v>
      </c>
      <c r="L243">
        <v>1</v>
      </c>
      <c r="M243" t="s">
        <v>25</v>
      </c>
      <c r="N243" t="s">
        <v>21</v>
      </c>
      <c r="O243">
        <v>13.5</v>
      </c>
      <c r="P243" t="s">
        <v>22</v>
      </c>
    </row>
    <row r="244" spans="1:16" x14ac:dyDescent="0.3">
      <c r="A244" t="s">
        <v>65</v>
      </c>
      <c r="B244" t="s">
        <v>43</v>
      </c>
      <c r="C244" t="s">
        <v>37</v>
      </c>
      <c r="D244" t="s">
        <v>39</v>
      </c>
      <c r="E244">
        <v>1</v>
      </c>
      <c r="F244">
        <v>166.4</v>
      </c>
      <c r="G244">
        <v>92.3</v>
      </c>
      <c r="H244">
        <v>1</v>
      </c>
      <c r="I244">
        <v>4</v>
      </c>
      <c r="J244">
        <v>6.58</v>
      </c>
      <c r="K244">
        <v>1.19</v>
      </c>
      <c r="L244">
        <v>0</v>
      </c>
      <c r="M244" t="s">
        <v>20</v>
      </c>
      <c r="N244" t="s">
        <v>26</v>
      </c>
      <c r="O244">
        <v>9.4700000000000006</v>
      </c>
      <c r="P244" t="s">
        <v>28</v>
      </c>
    </row>
    <row r="245" spans="1:16" x14ac:dyDescent="0.3">
      <c r="A245" t="s">
        <v>65</v>
      </c>
      <c r="B245" t="s">
        <v>17</v>
      </c>
      <c r="C245" t="s">
        <v>31</v>
      </c>
      <c r="D245" t="s">
        <v>39</v>
      </c>
      <c r="E245">
        <v>4</v>
      </c>
      <c r="F245">
        <v>165</v>
      </c>
      <c r="G245">
        <v>100</v>
      </c>
      <c r="H245">
        <v>3.7</v>
      </c>
      <c r="I245">
        <v>6</v>
      </c>
      <c r="J245">
        <v>6.55</v>
      </c>
      <c r="K245">
        <v>7.77</v>
      </c>
      <c r="L245">
        <v>0</v>
      </c>
      <c r="M245" t="s">
        <v>34</v>
      </c>
      <c r="N245" t="s">
        <v>26</v>
      </c>
      <c r="O245">
        <v>11.98</v>
      </c>
      <c r="P245" t="s">
        <v>28</v>
      </c>
    </row>
    <row r="246" spans="1:16" x14ac:dyDescent="0.3">
      <c r="A246" t="s">
        <v>65</v>
      </c>
      <c r="B246" t="s">
        <v>23</v>
      </c>
      <c r="C246" t="s">
        <v>18</v>
      </c>
      <c r="D246" t="s">
        <v>39</v>
      </c>
      <c r="E246">
        <v>3</v>
      </c>
      <c r="F246">
        <v>150.5</v>
      </c>
      <c r="G246">
        <v>98</v>
      </c>
      <c r="H246">
        <v>2.4</v>
      </c>
      <c r="I246">
        <v>8</v>
      </c>
      <c r="J246">
        <v>8.66</v>
      </c>
      <c r="K246">
        <v>6.25</v>
      </c>
      <c r="L246">
        <v>0</v>
      </c>
      <c r="M246" t="s">
        <v>20</v>
      </c>
      <c r="N246" t="s">
        <v>26</v>
      </c>
      <c r="O246">
        <v>19.940000000000001</v>
      </c>
      <c r="P246" t="s">
        <v>30</v>
      </c>
    </row>
    <row r="247" spans="1:16" x14ac:dyDescent="0.3">
      <c r="A247" t="s">
        <v>65</v>
      </c>
      <c r="B247" t="s">
        <v>33</v>
      </c>
      <c r="C247" t="s">
        <v>31</v>
      </c>
      <c r="D247" t="s">
        <v>19</v>
      </c>
      <c r="E247">
        <v>5</v>
      </c>
      <c r="F247">
        <v>162.5</v>
      </c>
      <c r="G247">
        <v>80.2</v>
      </c>
      <c r="H247">
        <v>7.5</v>
      </c>
      <c r="I247">
        <v>10</v>
      </c>
      <c r="J247">
        <v>6.45</v>
      </c>
      <c r="K247">
        <v>3.66</v>
      </c>
      <c r="L247">
        <v>0</v>
      </c>
      <c r="M247" t="s">
        <v>20</v>
      </c>
      <c r="N247" t="s">
        <v>35</v>
      </c>
      <c r="O247">
        <v>9.8800000000000008</v>
      </c>
      <c r="P247" t="s">
        <v>32</v>
      </c>
    </row>
    <row r="248" spans="1:16" x14ac:dyDescent="0.3">
      <c r="A248" t="s">
        <v>65</v>
      </c>
      <c r="B248" t="s">
        <v>33</v>
      </c>
      <c r="C248" t="s">
        <v>24</v>
      </c>
      <c r="D248" t="s">
        <v>39</v>
      </c>
      <c r="E248">
        <v>5</v>
      </c>
      <c r="F248">
        <v>150.5</v>
      </c>
      <c r="G248">
        <v>91.6</v>
      </c>
      <c r="H248">
        <v>3.5</v>
      </c>
      <c r="I248">
        <v>6</v>
      </c>
      <c r="J248">
        <v>8.75</v>
      </c>
      <c r="K248">
        <v>8.8000000000000007</v>
      </c>
      <c r="L248">
        <v>0</v>
      </c>
      <c r="M248" t="s">
        <v>20</v>
      </c>
      <c r="N248" t="s">
        <v>21</v>
      </c>
      <c r="O248">
        <v>22.03</v>
      </c>
      <c r="P248" t="s">
        <v>36</v>
      </c>
    </row>
    <row r="249" spans="1:16" x14ac:dyDescent="0.3">
      <c r="A249" t="s">
        <v>65</v>
      </c>
      <c r="B249" t="s">
        <v>23</v>
      </c>
      <c r="C249" t="s">
        <v>31</v>
      </c>
      <c r="D249" t="s">
        <v>19</v>
      </c>
      <c r="E249">
        <v>2</v>
      </c>
      <c r="F249">
        <v>142.80000000000001</v>
      </c>
      <c r="G249">
        <v>100</v>
      </c>
      <c r="H249">
        <v>6.8</v>
      </c>
      <c r="I249">
        <v>6</v>
      </c>
      <c r="J249">
        <v>6.35</v>
      </c>
      <c r="K249">
        <v>7.57</v>
      </c>
      <c r="L249">
        <v>1</v>
      </c>
      <c r="M249" t="s">
        <v>20</v>
      </c>
      <c r="N249" t="s">
        <v>26</v>
      </c>
      <c r="O249">
        <v>9.1300000000000008</v>
      </c>
      <c r="P249" t="s">
        <v>38</v>
      </c>
    </row>
    <row r="250" spans="1:16" x14ac:dyDescent="0.3">
      <c r="A250" t="s">
        <v>65</v>
      </c>
      <c r="B250" t="s">
        <v>33</v>
      </c>
      <c r="C250" t="s">
        <v>37</v>
      </c>
      <c r="D250" t="s">
        <v>29</v>
      </c>
      <c r="E250">
        <v>9</v>
      </c>
      <c r="F250">
        <v>144.1</v>
      </c>
      <c r="G250">
        <v>100</v>
      </c>
      <c r="H250">
        <v>7.4</v>
      </c>
      <c r="I250">
        <v>11</v>
      </c>
      <c r="J250">
        <v>8.2200000000000006</v>
      </c>
      <c r="K250">
        <v>6.89</v>
      </c>
      <c r="L250">
        <v>0</v>
      </c>
      <c r="M250" t="s">
        <v>34</v>
      </c>
      <c r="N250" t="s">
        <v>35</v>
      </c>
      <c r="O250">
        <v>14.67</v>
      </c>
      <c r="P250" t="s">
        <v>40</v>
      </c>
    </row>
    <row r="251" spans="1:16" x14ac:dyDescent="0.3">
      <c r="A251" t="s">
        <v>65</v>
      </c>
      <c r="B251" t="s">
        <v>33</v>
      </c>
      <c r="C251" t="s">
        <v>18</v>
      </c>
      <c r="D251" t="s">
        <v>19</v>
      </c>
      <c r="E251">
        <v>5</v>
      </c>
      <c r="F251">
        <v>143.30000000000001</v>
      </c>
      <c r="G251">
        <v>100</v>
      </c>
      <c r="H251">
        <v>4.7</v>
      </c>
      <c r="I251">
        <v>10</v>
      </c>
      <c r="K251">
        <v>8.31</v>
      </c>
      <c r="L251">
        <v>0</v>
      </c>
      <c r="M251" t="s">
        <v>34</v>
      </c>
      <c r="N251" t="s">
        <v>26</v>
      </c>
      <c r="O251">
        <v>9.57</v>
      </c>
      <c r="P251" t="s">
        <v>42</v>
      </c>
    </row>
    <row r="252" spans="1:16" x14ac:dyDescent="0.3">
      <c r="A252" t="s">
        <v>65</v>
      </c>
      <c r="B252" t="s">
        <v>17</v>
      </c>
      <c r="C252" t="s">
        <v>41</v>
      </c>
      <c r="D252" t="s">
        <v>19</v>
      </c>
      <c r="E252">
        <v>7</v>
      </c>
      <c r="F252">
        <v>171.7</v>
      </c>
      <c r="G252">
        <v>88.8</v>
      </c>
      <c r="H252">
        <v>1.1000000000000001</v>
      </c>
      <c r="I252">
        <v>5</v>
      </c>
      <c r="J252">
        <v>8.56</v>
      </c>
      <c r="K252">
        <v>10</v>
      </c>
      <c r="L252">
        <v>1</v>
      </c>
      <c r="M252" t="s">
        <v>20</v>
      </c>
      <c r="N252" t="s">
        <v>35</v>
      </c>
      <c r="O252">
        <v>9.83</v>
      </c>
      <c r="P252" t="s">
        <v>44</v>
      </c>
    </row>
    <row r="253" spans="1:16" x14ac:dyDescent="0.3">
      <c r="A253" t="s">
        <v>65</v>
      </c>
      <c r="B253" t="s">
        <v>23</v>
      </c>
      <c r="C253" t="s">
        <v>41</v>
      </c>
      <c r="D253" t="s">
        <v>39</v>
      </c>
      <c r="E253">
        <v>1</v>
      </c>
      <c r="F253">
        <v>148.5</v>
      </c>
      <c r="G253">
        <v>95.9</v>
      </c>
      <c r="H253">
        <v>5.2</v>
      </c>
      <c r="I253">
        <v>7</v>
      </c>
      <c r="J253">
        <v>8.89</v>
      </c>
      <c r="K253">
        <v>6.87</v>
      </c>
      <c r="L253">
        <v>0</v>
      </c>
      <c r="M253" t="s">
        <v>25</v>
      </c>
      <c r="N253" t="s">
        <v>26</v>
      </c>
      <c r="O253">
        <v>15.57</v>
      </c>
      <c r="P253" t="s">
        <v>45</v>
      </c>
    </row>
    <row r="254" spans="1:16" x14ac:dyDescent="0.3">
      <c r="A254" t="s">
        <v>66</v>
      </c>
      <c r="B254" t="s">
        <v>23</v>
      </c>
      <c r="C254" t="s">
        <v>41</v>
      </c>
      <c r="D254" t="s">
        <v>39</v>
      </c>
      <c r="E254">
        <v>3</v>
      </c>
      <c r="F254">
        <v>159.1</v>
      </c>
      <c r="G254">
        <v>99.9</v>
      </c>
      <c r="H254">
        <v>4.5</v>
      </c>
      <c r="I254">
        <v>8</v>
      </c>
      <c r="J254">
        <v>4.51</v>
      </c>
      <c r="K254">
        <v>3.84</v>
      </c>
      <c r="L254">
        <v>1</v>
      </c>
      <c r="M254" t="s">
        <v>34</v>
      </c>
      <c r="N254" t="s">
        <v>26</v>
      </c>
      <c r="O254">
        <v>15.79</v>
      </c>
      <c r="P254" t="s">
        <v>22</v>
      </c>
    </row>
    <row r="255" spans="1:16" x14ac:dyDescent="0.3">
      <c r="A255" t="s">
        <v>66</v>
      </c>
      <c r="B255" t="s">
        <v>23</v>
      </c>
      <c r="C255" t="s">
        <v>18</v>
      </c>
      <c r="D255" t="s">
        <v>19</v>
      </c>
      <c r="E255">
        <v>3</v>
      </c>
      <c r="F255">
        <v>177.6</v>
      </c>
      <c r="G255">
        <v>95</v>
      </c>
      <c r="H255">
        <v>2.6</v>
      </c>
      <c r="I255">
        <v>3</v>
      </c>
      <c r="J255">
        <v>8.17</v>
      </c>
      <c r="K255">
        <v>6.28</v>
      </c>
      <c r="L255">
        <v>0</v>
      </c>
      <c r="M255" t="s">
        <v>34</v>
      </c>
      <c r="N255" t="s">
        <v>21</v>
      </c>
      <c r="O255">
        <v>14.76</v>
      </c>
      <c r="P255" t="s">
        <v>22</v>
      </c>
    </row>
    <row r="256" spans="1:16" x14ac:dyDescent="0.3">
      <c r="A256" t="s">
        <v>66</v>
      </c>
      <c r="B256" t="s">
        <v>33</v>
      </c>
      <c r="C256" t="s">
        <v>31</v>
      </c>
      <c r="D256" t="s">
        <v>29</v>
      </c>
      <c r="E256">
        <v>10</v>
      </c>
      <c r="F256">
        <v>141.9</v>
      </c>
      <c r="G256">
        <v>96</v>
      </c>
      <c r="H256">
        <v>2.9</v>
      </c>
      <c r="I256">
        <v>6</v>
      </c>
      <c r="J256">
        <v>6.06</v>
      </c>
      <c r="K256">
        <v>7.76</v>
      </c>
      <c r="L256">
        <v>0</v>
      </c>
      <c r="M256" t="s">
        <v>34</v>
      </c>
      <c r="N256" t="s">
        <v>35</v>
      </c>
      <c r="O256">
        <v>12.76</v>
      </c>
      <c r="P256" t="s">
        <v>28</v>
      </c>
    </row>
    <row r="257" spans="1:16" x14ac:dyDescent="0.3">
      <c r="A257" t="s">
        <v>66</v>
      </c>
      <c r="B257" t="s">
        <v>23</v>
      </c>
      <c r="C257" t="s">
        <v>18</v>
      </c>
      <c r="D257" t="s">
        <v>39</v>
      </c>
      <c r="E257">
        <v>3</v>
      </c>
      <c r="F257">
        <v>149.1</v>
      </c>
      <c r="G257">
        <v>99.2</v>
      </c>
      <c r="H257">
        <v>6.8</v>
      </c>
      <c r="I257">
        <v>10</v>
      </c>
      <c r="J257">
        <v>5.18</v>
      </c>
      <c r="K257">
        <v>6.25</v>
      </c>
      <c r="L257">
        <v>1</v>
      </c>
      <c r="M257" t="s">
        <v>20</v>
      </c>
      <c r="N257" t="s">
        <v>26</v>
      </c>
      <c r="O257">
        <v>13.69</v>
      </c>
      <c r="P257" t="s">
        <v>28</v>
      </c>
    </row>
    <row r="258" spans="1:16" x14ac:dyDescent="0.3">
      <c r="A258" t="s">
        <v>66</v>
      </c>
      <c r="B258" t="s">
        <v>43</v>
      </c>
      <c r="C258" t="s">
        <v>24</v>
      </c>
      <c r="D258" t="s">
        <v>29</v>
      </c>
      <c r="E258">
        <v>6</v>
      </c>
      <c r="F258">
        <v>166.3</v>
      </c>
      <c r="G258">
        <v>95.9</v>
      </c>
      <c r="H258">
        <v>2.6</v>
      </c>
      <c r="I258">
        <v>8</v>
      </c>
      <c r="J258">
        <v>9.1300000000000008</v>
      </c>
      <c r="K258">
        <v>5.04</v>
      </c>
      <c r="L258">
        <v>0</v>
      </c>
      <c r="M258" t="s">
        <v>25</v>
      </c>
      <c r="N258" t="s">
        <v>26</v>
      </c>
      <c r="O258">
        <v>13.87</v>
      </c>
      <c r="P258" t="s">
        <v>30</v>
      </c>
    </row>
    <row r="259" spans="1:16" x14ac:dyDescent="0.3">
      <c r="A259" t="s">
        <v>66</v>
      </c>
      <c r="B259" t="s">
        <v>33</v>
      </c>
      <c r="C259" t="s">
        <v>41</v>
      </c>
      <c r="D259" t="s">
        <v>19</v>
      </c>
      <c r="E259">
        <v>4</v>
      </c>
      <c r="F259">
        <v>150.69999999999999</v>
      </c>
      <c r="G259">
        <v>93.8</v>
      </c>
      <c r="H259">
        <v>4.5999999999999996</v>
      </c>
      <c r="I259">
        <v>7</v>
      </c>
      <c r="J259">
        <v>8.94</v>
      </c>
      <c r="K259">
        <v>10</v>
      </c>
      <c r="L259">
        <v>0</v>
      </c>
      <c r="M259" t="s">
        <v>20</v>
      </c>
      <c r="N259" t="s">
        <v>21</v>
      </c>
      <c r="O259">
        <v>11.57</v>
      </c>
      <c r="P259" t="s">
        <v>32</v>
      </c>
    </row>
    <row r="260" spans="1:16" x14ac:dyDescent="0.3">
      <c r="A260" t="s">
        <v>66</v>
      </c>
      <c r="B260" t="s">
        <v>33</v>
      </c>
      <c r="C260" t="s">
        <v>31</v>
      </c>
      <c r="D260" t="s">
        <v>39</v>
      </c>
      <c r="E260">
        <v>6</v>
      </c>
      <c r="F260">
        <v>156</v>
      </c>
      <c r="G260">
        <v>98.7</v>
      </c>
      <c r="H260">
        <v>6</v>
      </c>
      <c r="I260">
        <v>4</v>
      </c>
      <c r="K260">
        <v>5.46</v>
      </c>
      <c r="L260">
        <v>0</v>
      </c>
      <c r="M260" t="s">
        <v>34</v>
      </c>
      <c r="N260" t="s">
        <v>35</v>
      </c>
      <c r="O260">
        <v>11.99</v>
      </c>
      <c r="P260" t="s">
        <v>36</v>
      </c>
    </row>
    <row r="261" spans="1:16" x14ac:dyDescent="0.3">
      <c r="A261" t="s">
        <v>66</v>
      </c>
      <c r="B261" t="s">
        <v>17</v>
      </c>
      <c r="C261" t="s">
        <v>31</v>
      </c>
      <c r="D261" t="s">
        <v>29</v>
      </c>
      <c r="E261">
        <v>8</v>
      </c>
      <c r="F261">
        <v>161.80000000000001</v>
      </c>
      <c r="G261">
        <v>100</v>
      </c>
      <c r="H261">
        <v>5.2</v>
      </c>
      <c r="I261">
        <v>4</v>
      </c>
      <c r="J261">
        <v>6.31</v>
      </c>
      <c r="K261">
        <v>10</v>
      </c>
      <c r="L261">
        <v>0</v>
      </c>
      <c r="M261" t="s">
        <v>25</v>
      </c>
      <c r="N261" t="s">
        <v>21</v>
      </c>
      <c r="O261">
        <v>7.24</v>
      </c>
      <c r="P261" t="s">
        <v>38</v>
      </c>
    </row>
    <row r="262" spans="1:16" x14ac:dyDescent="0.3">
      <c r="A262" t="s">
        <v>66</v>
      </c>
      <c r="B262" t="s">
        <v>43</v>
      </c>
      <c r="C262" t="s">
        <v>41</v>
      </c>
      <c r="D262" t="s">
        <v>39</v>
      </c>
      <c r="E262">
        <v>10</v>
      </c>
      <c r="F262">
        <v>162.80000000000001</v>
      </c>
      <c r="G262">
        <v>78.3</v>
      </c>
      <c r="H262">
        <v>3.8</v>
      </c>
      <c r="I262">
        <v>8</v>
      </c>
      <c r="J262">
        <v>5.99</v>
      </c>
      <c r="K262">
        <v>10</v>
      </c>
      <c r="L262">
        <v>1</v>
      </c>
      <c r="M262" t="s">
        <v>25</v>
      </c>
      <c r="N262" t="s">
        <v>35</v>
      </c>
      <c r="O262">
        <v>4.8099999999999996</v>
      </c>
      <c r="P262" t="s">
        <v>40</v>
      </c>
    </row>
    <row r="263" spans="1:16" x14ac:dyDescent="0.3">
      <c r="A263" t="s">
        <v>66</v>
      </c>
      <c r="B263" t="s">
        <v>17</v>
      </c>
      <c r="C263" t="s">
        <v>37</v>
      </c>
      <c r="D263" t="s">
        <v>19</v>
      </c>
      <c r="E263">
        <v>3</v>
      </c>
      <c r="F263">
        <v>186.3</v>
      </c>
      <c r="G263">
        <v>97.7</v>
      </c>
      <c r="H263">
        <v>5.4</v>
      </c>
      <c r="I263">
        <v>5</v>
      </c>
      <c r="J263">
        <v>8.2100000000000009</v>
      </c>
      <c r="K263">
        <v>5.82</v>
      </c>
      <c r="L263">
        <v>0</v>
      </c>
      <c r="M263" t="s">
        <v>25</v>
      </c>
      <c r="N263" t="s">
        <v>35</v>
      </c>
      <c r="O263">
        <v>17.78</v>
      </c>
      <c r="P263" t="s">
        <v>42</v>
      </c>
    </row>
    <row r="264" spans="1:16" x14ac:dyDescent="0.3">
      <c r="A264" t="s">
        <v>66</v>
      </c>
      <c r="B264" t="s">
        <v>33</v>
      </c>
      <c r="C264" t="s">
        <v>37</v>
      </c>
      <c r="D264" t="s">
        <v>19</v>
      </c>
      <c r="E264">
        <v>2</v>
      </c>
      <c r="F264">
        <v>147.4</v>
      </c>
      <c r="G264">
        <v>100</v>
      </c>
      <c r="H264">
        <v>5.3</v>
      </c>
      <c r="I264">
        <v>4</v>
      </c>
      <c r="J264">
        <v>6.62</v>
      </c>
      <c r="K264">
        <v>7.85</v>
      </c>
      <c r="L264">
        <v>0</v>
      </c>
      <c r="M264" t="s">
        <v>20</v>
      </c>
      <c r="N264" t="s">
        <v>26</v>
      </c>
      <c r="O264">
        <v>15.69</v>
      </c>
      <c r="P264" t="s">
        <v>44</v>
      </c>
    </row>
    <row r="265" spans="1:16" x14ac:dyDescent="0.3">
      <c r="A265" t="s">
        <v>66</v>
      </c>
      <c r="B265" t="s">
        <v>33</v>
      </c>
      <c r="C265" t="s">
        <v>18</v>
      </c>
      <c r="D265" t="s">
        <v>19</v>
      </c>
      <c r="E265">
        <v>1</v>
      </c>
      <c r="F265">
        <v>152.30000000000001</v>
      </c>
      <c r="G265">
        <v>95</v>
      </c>
      <c r="H265">
        <v>0.1</v>
      </c>
      <c r="I265">
        <v>3</v>
      </c>
      <c r="J265">
        <v>5.23</v>
      </c>
      <c r="K265">
        <v>6.53</v>
      </c>
      <c r="L265">
        <v>0</v>
      </c>
      <c r="M265" t="s">
        <v>25</v>
      </c>
      <c r="N265" t="s">
        <v>35</v>
      </c>
      <c r="O265">
        <v>11.73</v>
      </c>
      <c r="P265" t="s">
        <v>45</v>
      </c>
    </row>
    <row r="266" spans="1:16" x14ac:dyDescent="0.3">
      <c r="A266" t="s">
        <v>67</v>
      </c>
      <c r="B266" t="s">
        <v>17</v>
      </c>
      <c r="C266" t="s">
        <v>41</v>
      </c>
      <c r="D266" t="s">
        <v>19</v>
      </c>
      <c r="E266">
        <v>10</v>
      </c>
      <c r="F266">
        <v>174</v>
      </c>
      <c r="G266">
        <v>97.8</v>
      </c>
      <c r="H266">
        <v>1.9</v>
      </c>
      <c r="I266">
        <v>4</v>
      </c>
      <c r="J266">
        <v>7.7</v>
      </c>
      <c r="K266">
        <v>6.04</v>
      </c>
      <c r="L266">
        <v>0</v>
      </c>
      <c r="M266" t="s">
        <v>20</v>
      </c>
      <c r="N266" t="s">
        <v>26</v>
      </c>
      <c r="O266">
        <v>7.05</v>
      </c>
      <c r="P266" t="s">
        <v>22</v>
      </c>
    </row>
    <row r="267" spans="1:16" x14ac:dyDescent="0.3">
      <c r="A267" t="s">
        <v>67</v>
      </c>
      <c r="B267" t="s">
        <v>23</v>
      </c>
      <c r="C267" t="s">
        <v>18</v>
      </c>
      <c r="D267" t="s">
        <v>19</v>
      </c>
      <c r="E267">
        <v>6</v>
      </c>
      <c r="F267">
        <v>130.69999999999999</v>
      </c>
      <c r="G267">
        <v>100</v>
      </c>
      <c r="H267">
        <v>7.2</v>
      </c>
      <c r="I267">
        <v>3</v>
      </c>
      <c r="J267">
        <v>6.94</v>
      </c>
      <c r="K267">
        <v>10</v>
      </c>
      <c r="L267">
        <v>1</v>
      </c>
      <c r="M267" t="s">
        <v>20</v>
      </c>
      <c r="N267" t="s">
        <v>26</v>
      </c>
      <c r="O267">
        <v>23.64</v>
      </c>
      <c r="P267" t="s">
        <v>22</v>
      </c>
    </row>
    <row r="268" spans="1:16" x14ac:dyDescent="0.3">
      <c r="A268" t="s">
        <v>67</v>
      </c>
      <c r="B268" t="s">
        <v>33</v>
      </c>
      <c r="C268" t="s">
        <v>31</v>
      </c>
      <c r="D268" t="s">
        <v>29</v>
      </c>
      <c r="E268">
        <v>5</v>
      </c>
      <c r="F268">
        <v>181</v>
      </c>
      <c r="G268">
        <v>98</v>
      </c>
      <c r="H268">
        <v>4</v>
      </c>
      <c r="I268">
        <v>2</v>
      </c>
      <c r="J268">
        <v>8.73</v>
      </c>
      <c r="K268">
        <v>7.1</v>
      </c>
      <c r="L268">
        <v>0</v>
      </c>
      <c r="M268" t="s">
        <v>25</v>
      </c>
      <c r="N268" t="s">
        <v>21</v>
      </c>
      <c r="O268">
        <v>7.92</v>
      </c>
      <c r="P268" t="s">
        <v>28</v>
      </c>
    </row>
    <row r="269" spans="1:16" x14ac:dyDescent="0.3">
      <c r="A269" t="s">
        <v>67</v>
      </c>
      <c r="B269" t="s">
        <v>17</v>
      </c>
      <c r="C269" t="s">
        <v>37</v>
      </c>
      <c r="D269" t="s">
        <v>39</v>
      </c>
      <c r="E269">
        <v>9</v>
      </c>
      <c r="F269">
        <v>161.6</v>
      </c>
      <c r="G269">
        <v>93.2</v>
      </c>
      <c r="I269">
        <v>3</v>
      </c>
      <c r="J269">
        <v>5.69</v>
      </c>
      <c r="K269">
        <v>10</v>
      </c>
      <c r="L269">
        <v>0</v>
      </c>
      <c r="M269" t="s">
        <v>25</v>
      </c>
      <c r="N269" t="s">
        <v>21</v>
      </c>
      <c r="O269">
        <v>8.39</v>
      </c>
      <c r="P269" t="s">
        <v>28</v>
      </c>
    </row>
    <row r="270" spans="1:16" x14ac:dyDescent="0.3">
      <c r="A270" t="s">
        <v>67</v>
      </c>
      <c r="B270" t="s">
        <v>23</v>
      </c>
      <c r="C270" t="s">
        <v>41</v>
      </c>
      <c r="D270" t="s">
        <v>29</v>
      </c>
      <c r="E270">
        <v>4</v>
      </c>
      <c r="F270">
        <v>161.1</v>
      </c>
      <c r="G270">
        <v>97.5</v>
      </c>
      <c r="H270">
        <v>3.2</v>
      </c>
      <c r="I270">
        <v>3</v>
      </c>
      <c r="J270">
        <v>9.1999999999999993</v>
      </c>
      <c r="K270">
        <v>8.24</v>
      </c>
      <c r="L270">
        <v>0</v>
      </c>
      <c r="M270" t="s">
        <v>20</v>
      </c>
      <c r="N270" t="s">
        <v>35</v>
      </c>
      <c r="O270">
        <v>18.690000000000001</v>
      </c>
      <c r="P270" t="s">
        <v>30</v>
      </c>
    </row>
    <row r="271" spans="1:16" x14ac:dyDescent="0.3">
      <c r="A271" t="s">
        <v>67</v>
      </c>
      <c r="B271" t="s">
        <v>33</v>
      </c>
      <c r="C271" t="s">
        <v>41</v>
      </c>
      <c r="D271" t="s">
        <v>39</v>
      </c>
      <c r="E271">
        <v>2</v>
      </c>
      <c r="F271">
        <v>171.2</v>
      </c>
      <c r="G271">
        <v>91.7</v>
      </c>
      <c r="H271">
        <v>9</v>
      </c>
      <c r="I271">
        <v>10</v>
      </c>
      <c r="J271">
        <v>6.01</v>
      </c>
      <c r="K271">
        <v>8.06</v>
      </c>
      <c r="L271">
        <v>0</v>
      </c>
      <c r="M271" t="s">
        <v>34</v>
      </c>
      <c r="N271" t="s">
        <v>26</v>
      </c>
      <c r="O271">
        <v>11.67</v>
      </c>
      <c r="P271" t="s">
        <v>32</v>
      </c>
    </row>
    <row r="272" spans="1:16" x14ac:dyDescent="0.3">
      <c r="A272" t="s">
        <v>67</v>
      </c>
      <c r="B272" t="s">
        <v>23</v>
      </c>
      <c r="C272" t="s">
        <v>31</v>
      </c>
      <c r="D272" t="s">
        <v>19</v>
      </c>
      <c r="E272">
        <v>1</v>
      </c>
      <c r="F272">
        <v>164.3</v>
      </c>
      <c r="G272">
        <v>97.4</v>
      </c>
      <c r="H272">
        <v>3.4</v>
      </c>
      <c r="I272">
        <v>7</v>
      </c>
      <c r="J272">
        <v>8.14</v>
      </c>
      <c r="K272">
        <v>5.84</v>
      </c>
      <c r="L272">
        <v>1</v>
      </c>
      <c r="M272" t="s">
        <v>25</v>
      </c>
      <c r="N272" t="s">
        <v>35</v>
      </c>
      <c r="O272">
        <v>7.76</v>
      </c>
      <c r="P272" t="s">
        <v>36</v>
      </c>
    </row>
    <row r="273" spans="1:16" x14ac:dyDescent="0.3">
      <c r="A273" t="s">
        <v>67</v>
      </c>
      <c r="B273" t="s">
        <v>27</v>
      </c>
      <c r="C273" t="s">
        <v>31</v>
      </c>
      <c r="D273" t="s">
        <v>39</v>
      </c>
      <c r="E273">
        <v>7</v>
      </c>
      <c r="F273">
        <v>166.5</v>
      </c>
      <c r="G273">
        <v>95.7</v>
      </c>
      <c r="H273">
        <v>2.5</v>
      </c>
      <c r="I273">
        <v>4</v>
      </c>
      <c r="J273">
        <v>6.41</v>
      </c>
      <c r="K273">
        <v>5.93</v>
      </c>
      <c r="L273">
        <v>0</v>
      </c>
      <c r="M273" t="s">
        <v>25</v>
      </c>
      <c r="N273" t="s">
        <v>26</v>
      </c>
      <c r="O273">
        <v>16.399999999999999</v>
      </c>
      <c r="P273" t="s">
        <v>38</v>
      </c>
    </row>
    <row r="274" spans="1:16" x14ac:dyDescent="0.3">
      <c r="A274" t="s">
        <v>67</v>
      </c>
      <c r="B274" t="s">
        <v>33</v>
      </c>
      <c r="C274" t="s">
        <v>24</v>
      </c>
      <c r="D274" t="s">
        <v>39</v>
      </c>
      <c r="E274">
        <v>4</v>
      </c>
      <c r="F274">
        <v>149.6</v>
      </c>
      <c r="G274">
        <v>100</v>
      </c>
      <c r="H274">
        <v>3.9</v>
      </c>
      <c r="I274">
        <v>4</v>
      </c>
      <c r="J274">
        <v>9.7799999999999994</v>
      </c>
      <c r="K274">
        <v>5.14</v>
      </c>
      <c r="L274">
        <v>0</v>
      </c>
      <c r="M274" t="s">
        <v>20</v>
      </c>
      <c r="N274" t="s">
        <v>21</v>
      </c>
      <c r="O274">
        <v>16.47</v>
      </c>
      <c r="P274" t="s">
        <v>40</v>
      </c>
    </row>
    <row r="275" spans="1:16" x14ac:dyDescent="0.3">
      <c r="A275" t="s">
        <v>67</v>
      </c>
      <c r="B275" t="s">
        <v>33</v>
      </c>
      <c r="C275" t="s">
        <v>18</v>
      </c>
      <c r="D275" t="s">
        <v>19</v>
      </c>
      <c r="E275">
        <v>9</v>
      </c>
      <c r="F275">
        <v>141.6</v>
      </c>
      <c r="G275">
        <v>94.8</v>
      </c>
      <c r="H275">
        <v>6.3</v>
      </c>
      <c r="I275">
        <v>5</v>
      </c>
      <c r="J275">
        <v>7.68</v>
      </c>
      <c r="K275">
        <v>8.92</v>
      </c>
      <c r="L275">
        <v>0</v>
      </c>
      <c r="M275" t="s">
        <v>20</v>
      </c>
      <c r="N275" t="s">
        <v>26</v>
      </c>
      <c r="O275">
        <v>14.31</v>
      </c>
      <c r="P275" t="s">
        <v>42</v>
      </c>
    </row>
    <row r="276" spans="1:16" x14ac:dyDescent="0.3">
      <c r="A276" t="s">
        <v>67</v>
      </c>
      <c r="B276" t="s">
        <v>33</v>
      </c>
      <c r="C276" t="s">
        <v>18</v>
      </c>
      <c r="D276" t="s">
        <v>39</v>
      </c>
      <c r="E276">
        <v>1</v>
      </c>
      <c r="F276">
        <v>162.30000000000001</v>
      </c>
      <c r="G276">
        <v>100</v>
      </c>
      <c r="H276">
        <v>5.4</v>
      </c>
      <c r="I276">
        <v>7</v>
      </c>
      <c r="J276">
        <v>8.86</v>
      </c>
      <c r="K276">
        <v>5.37</v>
      </c>
      <c r="L276">
        <v>0</v>
      </c>
      <c r="M276" t="s">
        <v>20</v>
      </c>
      <c r="N276" t="s">
        <v>21</v>
      </c>
      <c r="O276">
        <v>8.8000000000000007</v>
      </c>
      <c r="P276" t="s">
        <v>44</v>
      </c>
    </row>
    <row r="277" spans="1:16" x14ac:dyDescent="0.3">
      <c r="A277" t="s">
        <v>67</v>
      </c>
      <c r="B277" t="s">
        <v>17</v>
      </c>
      <c r="C277" t="s">
        <v>31</v>
      </c>
      <c r="D277" t="s">
        <v>29</v>
      </c>
      <c r="E277">
        <v>6</v>
      </c>
      <c r="F277">
        <v>153.1</v>
      </c>
      <c r="G277">
        <v>95.7</v>
      </c>
      <c r="H277">
        <v>4.2</v>
      </c>
      <c r="I277">
        <v>5</v>
      </c>
      <c r="J277">
        <v>8.1</v>
      </c>
      <c r="K277">
        <v>3.82</v>
      </c>
      <c r="L277">
        <v>1</v>
      </c>
      <c r="M277" t="s">
        <v>34</v>
      </c>
      <c r="N277" t="s">
        <v>21</v>
      </c>
      <c r="O277">
        <v>20.48</v>
      </c>
      <c r="P277" t="s">
        <v>45</v>
      </c>
    </row>
    <row r="278" spans="1:16" x14ac:dyDescent="0.3">
      <c r="A278" t="s">
        <v>68</v>
      </c>
      <c r="B278" t="s">
        <v>27</v>
      </c>
      <c r="C278" t="s">
        <v>18</v>
      </c>
      <c r="D278" t="s">
        <v>29</v>
      </c>
      <c r="E278">
        <v>9</v>
      </c>
      <c r="F278">
        <v>149.69999999999999</v>
      </c>
      <c r="G278">
        <v>90.5</v>
      </c>
      <c r="H278">
        <v>6.3</v>
      </c>
      <c r="I278">
        <v>7</v>
      </c>
      <c r="J278">
        <v>4.6100000000000003</v>
      </c>
      <c r="K278">
        <v>7.7</v>
      </c>
      <c r="L278">
        <v>0</v>
      </c>
      <c r="M278" t="s">
        <v>20</v>
      </c>
      <c r="N278" t="s">
        <v>21</v>
      </c>
      <c r="O278">
        <v>8.77</v>
      </c>
      <c r="P278" t="s">
        <v>22</v>
      </c>
    </row>
    <row r="279" spans="1:16" x14ac:dyDescent="0.3">
      <c r="A279" t="s">
        <v>68</v>
      </c>
      <c r="B279" t="s">
        <v>23</v>
      </c>
      <c r="C279" t="s">
        <v>41</v>
      </c>
      <c r="D279" t="s">
        <v>29</v>
      </c>
      <c r="E279">
        <v>9</v>
      </c>
      <c r="F279">
        <v>156.1</v>
      </c>
      <c r="G279">
        <v>88.2</v>
      </c>
      <c r="H279">
        <v>6.4</v>
      </c>
      <c r="I279">
        <v>6</v>
      </c>
      <c r="J279">
        <v>7.13</v>
      </c>
      <c r="K279">
        <v>3.92</v>
      </c>
      <c r="L279">
        <v>1</v>
      </c>
      <c r="M279" t="s">
        <v>25</v>
      </c>
      <c r="N279" t="s">
        <v>26</v>
      </c>
      <c r="O279">
        <v>5.8</v>
      </c>
      <c r="P279" t="s">
        <v>22</v>
      </c>
    </row>
    <row r="280" spans="1:16" x14ac:dyDescent="0.3">
      <c r="A280" t="s">
        <v>68</v>
      </c>
      <c r="B280" t="s">
        <v>23</v>
      </c>
      <c r="C280" t="s">
        <v>41</v>
      </c>
      <c r="D280" t="s">
        <v>29</v>
      </c>
      <c r="E280">
        <v>9</v>
      </c>
      <c r="F280">
        <v>155.6</v>
      </c>
      <c r="G280">
        <v>90.5</v>
      </c>
      <c r="H280">
        <v>4.9000000000000004</v>
      </c>
      <c r="I280">
        <v>5</v>
      </c>
      <c r="J280">
        <v>8.23</v>
      </c>
      <c r="K280">
        <v>4.51</v>
      </c>
      <c r="L280">
        <v>0</v>
      </c>
      <c r="M280" t="s">
        <v>25</v>
      </c>
      <c r="N280" t="s">
        <v>35</v>
      </c>
      <c r="O280">
        <v>21.22</v>
      </c>
      <c r="P280" t="s">
        <v>28</v>
      </c>
    </row>
    <row r="281" spans="1:16" x14ac:dyDescent="0.3">
      <c r="A281" t="s">
        <v>68</v>
      </c>
      <c r="B281" t="s">
        <v>23</v>
      </c>
      <c r="C281" t="s">
        <v>41</v>
      </c>
      <c r="D281" t="s">
        <v>29</v>
      </c>
      <c r="E281">
        <v>8</v>
      </c>
      <c r="F281">
        <v>164.8</v>
      </c>
      <c r="G281">
        <v>97.7</v>
      </c>
      <c r="H281">
        <v>7.2</v>
      </c>
      <c r="I281">
        <v>3</v>
      </c>
      <c r="K281">
        <v>7.31</v>
      </c>
      <c r="L281">
        <v>0</v>
      </c>
      <c r="M281" t="s">
        <v>20</v>
      </c>
      <c r="N281" t="s">
        <v>21</v>
      </c>
      <c r="O281">
        <v>14.1</v>
      </c>
      <c r="P281" t="s">
        <v>28</v>
      </c>
    </row>
    <row r="282" spans="1:16" x14ac:dyDescent="0.3">
      <c r="A282" t="s">
        <v>68</v>
      </c>
      <c r="B282" t="s">
        <v>23</v>
      </c>
      <c r="C282" t="s">
        <v>41</v>
      </c>
      <c r="D282" t="s">
        <v>39</v>
      </c>
      <c r="E282">
        <v>3</v>
      </c>
      <c r="F282">
        <v>151.9</v>
      </c>
      <c r="G282">
        <v>89.4</v>
      </c>
      <c r="H282">
        <v>5.5</v>
      </c>
      <c r="I282">
        <v>9</v>
      </c>
      <c r="J282">
        <v>7.82</v>
      </c>
      <c r="K282">
        <v>7.32</v>
      </c>
      <c r="L282">
        <v>0</v>
      </c>
      <c r="M282" t="s">
        <v>25</v>
      </c>
      <c r="N282" t="s">
        <v>21</v>
      </c>
      <c r="O282">
        <v>24.78</v>
      </c>
      <c r="P282" t="s">
        <v>30</v>
      </c>
    </row>
    <row r="283" spans="1:16" x14ac:dyDescent="0.3">
      <c r="A283" t="s">
        <v>68</v>
      </c>
      <c r="B283" t="s">
        <v>17</v>
      </c>
      <c r="C283" t="s">
        <v>24</v>
      </c>
      <c r="D283" t="s">
        <v>29</v>
      </c>
      <c r="E283">
        <v>2</v>
      </c>
      <c r="F283">
        <v>159.9</v>
      </c>
      <c r="G283">
        <v>94.3</v>
      </c>
      <c r="H283">
        <v>5.5</v>
      </c>
      <c r="I283">
        <v>8</v>
      </c>
      <c r="J283">
        <v>6.65</v>
      </c>
      <c r="K283">
        <v>9.5299999999999994</v>
      </c>
      <c r="L283">
        <v>0</v>
      </c>
      <c r="M283" t="s">
        <v>20</v>
      </c>
      <c r="N283" t="s">
        <v>21</v>
      </c>
      <c r="O283">
        <v>21.54</v>
      </c>
      <c r="P283" t="s">
        <v>32</v>
      </c>
    </row>
    <row r="284" spans="1:16" x14ac:dyDescent="0.3">
      <c r="A284" t="s">
        <v>68</v>
      </c>
      <c r="B284" t="s">
        <v>27</v>
      </c>
      <c r="C284" t="s">
        <v>37</v>
      </c>
      <c r="D284" t="s">
        <v>29</v>
      </c>
      <c r="E284">
        <v>8</v>
      </c>
      <c r="F284">
        <v>159.4</v>
      </c>
      <c r="G284">
        <v>94.8</v>
      </c>
      <c r="H284">
        <v>6</v>
      </c>
      <c r="I284">
        <v>11</v>
      </c>
      <c r="J284">
        <v>6.78</v>
      </c>
      <c r="K284">
        <v>7.9</v>
      </c>
      <c r="L284">
        <v>0</v>
      </c>
      <c r="M284" t="s">
        <v>25</v>
      </c>
      <c r="N284" t="s">
        <v>35</v>
      </c>
      <c r="O284">
        <v>15.98</v>
      </c>
      <c r="P284" t="s">
        <v>36</v>
      </c>
    </row>
    <row r="285" spans="1:16" x14ac:dyDescent="0.3">
      <c r="A285" t="s">
        <v>68</v>
      </c>
      <c r="B285" t="s">
        <v>17</v>
      </c>
      <c r="C285" t="s">
        <v>24</v>
      </c>
      <c r="D285" t="s">
        <v>19</v>
      </c>
      <c r="E285">
        <v>8</v>
      </c>
      <c r="F285">
        <v>163.1</v>
      </c>
      <c r="G285">
        <v>89.9</v>
      </c>
      <c r="H285">
        <v>2.8</v>
      </c>
      <c r="I285">
        <v>5</v>
      </c>
      <c r="J285">
        <v>5.7</v>
      </c>
      <c r="K285">
        <v>7.12</v>
      </c>
      <c r="L285">
        <v>2</v>
      </c>
      <c r="M285" t="s">
        <v>20</v>
      </c>
      <c r="N285" t="s">
        <v>26</v>
      </c>
      <c r="O285">
        <v>14.34</v>
      </c>
      <c r="P285" t="s">
        <v>38</v>
      </c>
    </row>
    <row r="286" spans="1:16" x14ac:dyDescent="0.3">
      <c r="A286" t="s">
        <v>68</v>
      </c>
      <c r="B286" t="s">
        <v>17</v>
      </c>
      <c r="C286" t="s">
        <v>18</v>
      </c>
      <c r="D286" t="s">
        <v>39</v>
      </c>
      <c r="E286">
        <v>4</v>
      </c>
      <c r="F286">
        <v>164.2</v>
      </c>
      <c r="G286">
        <v>95.2</v>
      </c>
      <c r="H286">
        <v>2.1</v>
      </c>
      <c r="I286">
        <v>6</v>
      </c>
      <c r="J286">
        <v>5.53</v>
      </c>
      <c r="K286">
        <v>7.43</v>
      </c>
      <c r="L286">
        <v>0</v>
      </c>
      <c r="M286" t="s">
        <v>20</v>
      </c>
      <c r="N286" t="s">
        <v>35</v>
      </c>
      <c r="O286">
        <v>10.27</v>
      </c>
      <c r="P286" t="s">
        <v>40</v>
      </c>
    </row>
    <row r="287" spans="1:16" x14ac:dyDescent="0.3">
      <c r="A287" t="s">
        <v>68</v>
      </c>
      <c r="B287" t="s">
        <v>27</v>
      </c>
      <c r="C287" t="s">
        <v>41</v>
      </c>
      <c r="D287" t="s">
        <v>29</v>
      </c>
      <c r="E287">
        <v>4</v>
      </c>
      <c r="F287">
        <v>174</v>
      </c>
      <c r="G287">
        <v>93.1</v>
      </c>
      <c r="H287">
        <v>6</v>
      </c>
      <c r="I287">
        <v>7</v>
      </c>
      <c r="J287">
        <v>6.77</v>
      </c>
      <c r="K287">
        <v>6.99</v>
      </c>
      <c r="L287">
        <v>1</v>
      </c>
      <c r="M287" t="s">
        <v>20</v>
      </c>
      <c r="N287" t="s">
        <v>26</v>
      </c>
      <c r="O287">
        <v>13.68</v>
      </c>
      <c r="P287" t="s">
        <v>42</v>
      </c>
    </row>
    <row r="288" spans="1:16" x14ac:dyDescent="0.3">
      <c r="A288" t="s">
        <v>68</v>
      </c>
      <c r="B288" t="s">
        <v>23</v>
      </c>
      <c r="C288" t="s">
        <v>41</v>
      </c>
      <c r="D288" t="s">
        <v>29</v>
      </c>
      <c r="E288">
        <v>3</v>
      </c>
      <c r="F288">
        <v>145.9</v>
      </c>
      <c r="G288">
        <v>93</v>
      </c>
      <c r="H288">
        <v>6</v>
      </c>
      <c r="I288">
        <v>2</v>
      </c>
      <c r="J288">
        <v>8.52</v>
      </c>
      <c r="K288">
        <v>7.64</v>
      </c>
      <c r="L288">
        <v>0</v>
      </c>
      <c r="M288" t="s">
        <v>34</v>
      </c>
      <c r="N288" t="s">
        <v>26</v>
      </c>
      <c r="O288">
        <v>13.71</v>
      </c>
      <c r="P288" t="s">
        <v>44</v>
      </c>
    </row>
    <row r="289" spans="1:16" x14ac:dyDescent="0.3">
      <c r="A289" t="s">
        <v>68</v>
      </c>
      <c r="B289" t="s">
        <v>27</v>
      </c>
      <c r="C289" t="s">
        <v>37</v>
      </c>
      <c r="D289" t="s">
        <v>39</v>
      </c>
      <c r="E289">
        <v>8</v>
      </c>
      <c r="F289">
        <v>149.4</v>
      </c>
      <c r="G289">
        <v>91</v>
      </c>
      <c r="I289">
        <v>6</v>
      </c>
      <c r="J289">
        <v>7.17</v>
      </c>
      <c r="K289">
        <v>8.58</v>
      </c>
      <c r="L289">
        <v>0</v>
      </c>
      <c r="M289" t="s">
        <v>34</v>
      </c>
      <c r="N289" t="s">
        <v>21</v>
      </c>
      <c r="O289">
        <v>6.46</v>
      </c>
      <c r="P289" t="s">
        <v>45</v>
      </c>
    </row>
    <row r="290" spans="1:16" x14ac:dyDescent="0.3">
      <c r="A290" t="s">
        <v>69</v>
      </c>
      <c r="B290" t="s">
        <v>17</v>
      </c>
      <c r="C290" t="s">
        <v>31</v>
      </c>
      <c r="D290" t="s">
        <v>39</v>
      </c>
      <c r="E290">
        <v>6</v>
      </c>
      <c r="F290">
        <v>153.1</v>
      </c>
      <c r="G290">
        <v>85.2</v>
      </c>
      <c r="H290">
        <v>5.2</v>
      </c>
      <c r="I290">
        <v>6</v>
      </c>
      <c r="J290">
        <v>10</v>
      </c>
      <c r="K290">
        <v>7.5</v>
      </c>
      <c r="L290">
        <v>2</v>
      </c>
      <c r="M290" t="s">
        <v>20</v>
      </c>
      <c r="N290" t="s">
        <v>26</v>
      </c>
      <c r="O290">
        <v>5.03</v>
      </c>
      <c r="P290" t="s">
        <v>22</v>
      </c>
    </row>
    <row r="291" spans="1:16" x14ac:dyDescent="0.3">
      <c r="A291" t="s">
        <v>69</v>
      </c>
      <c r="B291" t="s">
        <v>17</v>
      </c>
      <c r="C291" t="s">
        <v>31</v>
      </c>
      <c r="D291" t="s">
        <v>19</v>
      </c>
      <c r="E291">
        <v>4</v>
      </c>
      <c r="F291">
        <v>155.80000000000001</v>
      </c>
      <c r="G291">
        <v>98.2</v>
      </c>
      <c r="H291">
        <v>7.3</v>
      </c>
      <c r="I291">
        <v>3</v>
      </c>
      <c r="J291">
        <v>7.67</v>
      </c>
      <c r="K291">
        <v>7.23</v>
      </c>
      <c r="L291">
        <v>0</v>
      </c>
      <c r="M291" t="s">
        <v>20</v>
      </c>
      <c r="N291" t="s">
        <v>21</v>
      </c>
      <c r="O291">
        <v>8</v>
      </c>
      <c r="P291" t="s">
        <v>22</v>
      </c>
    </row>
    <row r="292" spans="1:16" x14ac:dyDescent="0.3">
      <c r="A292" t="s">
        <v>69</v>
      </c>
      <c r="B292" t="s">
        <v>17</v>
      </c>
      <c r="C292" t="s">
        <v>37</v>
      </c>
      <c r="D292" t="s">
        <v>19</v>
      </c>
      <c r="E292">
        <v>6</v>
      </c>
      <c r="F292">
        <v>142.30000000000001</v>
      </c>
      <c r="G292">
        <v>97.4</v>
      </c>
      <c r="H292">
        <v>1.3</v>
      </c>
      <c r="I292">
        <v>6</v>
      </c>
      <c r="J292">
        <v>5.66</v>
      </c>
      <c r="K292">
        <v>4.8899999999999997</v>
      </c>
      <c r="L292">
        <v>0</v>
      </c>
      <c r="M292" t="s">
        <v>25</v>
      </c>
      <c r="N292" t="s">
        <v>21</v>
      </c>
      <c r="O292">
        <v>7.66</v>
      </c>
      <c r="P292" t="s">
        <v>28</v>
      </c>
    </row>
    <row r="293" spans="1:16" x14ac:dyDescent="0.3">
      <c r="A293" t="s">
        <v>69</v>
      </c>
      <c r="B293" t="s">
        <v>23</v>
      </c>
      <c r="C293" t="s">
        <v>37</v>
      </c>
      <c r="D293" t="s">
        <v>19</v>
      </c>
      <c r="E293">
        <v>9</v>
      </c>
      <c r="F293">
        <v>150.19999999999999</v>
      </c>
      <c r="G293">
        <v>100</v>
      </c>
      <c r="H293">
        <v>4.8</v>
      </c>
      <c r="I293">
        <v>5</v>
      </c>
      <c r="J293">
        <v>5.56</v>
      </c>
      <c r="K293">
        <v>7.02</v>
      </c>
      <c r="L293">
        <v>0</v>
      </c>
      <c r="M293" t="s">
        <v>34</v>
      </c>
      <c r="N293" t="s">
        <v>26</v>
      </c>
      <c r="O293">
        <v>20.11</v>
      </c>
      <c r="P293" t="s">
        <v>28</v>
      </c>
    </row>
    <row r="294" spans="1:16" x14ac:dyDescent="0.3">
      <c r="A294" t="s">
        <v>69</v>
      </c>
      <c r="B294" t="s">
        <v>27</v>
      </c>
      <c r="C294" t="s">
        <v>37</v>
      </c>
      <c r="D294" t="s">
        <v>39</v>
      </c>
      <c r="E294">
        <v>7</v>
      </c>
      <c r="F294">
        <v>160.5</v>
      </c>
      <c r="G294">
        <v>96.2</v>
      </c>
      <c r="H294">
        <v>7.1</v>
      </c>
      <c r="I294">
        <v>10</v>
      </c>
      <c r="J294">
        <v>7.52</v>
      </c>
      <c r="K294">
        <v>6.51</v>
      </c>
      <c r="L294">
        <v>1</v>
      </c>
      <c r="M294" t="s">
        <v>34</v>
      </c>
      <c r="N294" t="s">
        <v>26</v>
      </c>
      <c r="O294">
        <v>10.07</v>
      </c>
      <c r="P294" t="s">
        <v>30</v>
      </c>
    </row>
    <row r="295" spans="1:16" x14ac:dyDescent="0.3">
      <c r="A295" t="s">
        <v>69</v>
      </c>
      <c r="B295" t="s">
        <v>33</v>
      </c>
      <c r="C295" t="s">
        <v>31</v>
      </c>
      <c r="D295" t="s">
        <v>19</v>
      </c>
      <c r="E295">
        <v>6</v>
      </c>
      <c r="F295">
        <v>155</v>
      </c>
      <c r="G295">
        <v>94.5</v>
      </c>
      <c r="H295">
        <v>4.7</v>
      </c>
      <c r="I295">
        <v>4</v>
      </c>
      <c r="J295">
        <v>8.1199999999999992</v>
      </c>
      <c r="K295">
        <v>6.2</v>
      </c>
      <c r="L295">
        <v>2</v>
      </c>
      <c r="M295" t="s">
        <v>34</v>
      </c>
      <c r="N295" t="s">
        <v>35</v>
      </c>
      <c r="O295">
        <v>14.52</v>
      </c>
      <c r="P295" t="s">
        <v>32</v>
      </c>
    </row>
    <row r="296" spans="1:16" x14ac:dyDescent="0.3">
      <c r="A296" t="s">
        <v>69</v>
      </c>
      <c r="B296" t="s">
        <v>17</v>
      </c>
      <c r="C296" t="s">
        <v>18</v>
      </c>
      <c r="D296" t="s">
        <v>19</v>
      </c>
      <c r="E296">
        <v>7</v>
      </c>
      <c r="F296">
        <v>136.69999999999999</v>
      </c>
      <c r="G296">
        <v>83.1</v>
      </c>
      <c r="H296">
        <v>6.2</v>
      </c>
      <c r="I296">
        <v>15</v>
      </c>
      <c r="J296">
        <v>9.4499999999999993</v>
      </c>
      <c r="K296">
        <v>7.92</v>
      </c>
      <c r="L296">
        <v>1</v>
      </c>
      <c r="M296" t="s">
        <v>34</v>
      </c>
      <c r="N296" t="s">
        <v>26</v>
      </c>
      <c r="O296">
        <v>14.53</v>
      </c>
      <c r="P296" t="s">
        <v>36</v>
      </c>
    </row>
    <row r="297" spans="1:16" x14ac:dyDescent="0.3">
      <c r="A297" t="s">
        <v>69</v>
      </c>
      <c r="B297" t="s">
        <v>23</v>
      </c>
      <c r="C297" t="s">
        <v>31</v>
      </c>
      <c r="D297" t="s">
        <v>39</v>
      </c>
      <c r="E297">
        <v>3</v>
      </c>
      <c r="F297">
        <v>171.8</v>
      </c>
      <c r="G297">
        <v>100</v>
      </c>
      <c r="H297">
        <v>3</v>
      </c>
      <c r="I297">
        <v>5</v>
      </c>
      <c r="J297">
        <v>9.61</v>
      </c>
      <c r="K297">
        <v>6.34</v>
      </c>
      <c r="L297">
        <v>1</v>
      </c>
      <c r="M297" t="s">
        <v>25</v>
      </c>
      <c r="N297" t="s">
        <v>35</v>
      </c>
      <c r="O297">
        <v>17.850000000000001</v>
      </c>
      <c r="P297" t="s">
        <v>38</v>
      </c>
    </row>
    <row r="298" spans="1:16" x14ac:dyDescent="0.3">
      <c r="A298" t="s">
        <v>69</v>
      </c>
      <c r="B298" t="s">
        <v>33</v>
      </c>
      <c r="C298" t="s">
        <v>31</v>
      </c>
      <c r="D298" t="s">
        <v>39</v>
      </c>
      <c r="E298">
        <v>6</v>
      </c>
      <c r="F298">
        <v>161.30000000000001</v>
      </c>
      <c r="G298">
        <v>91.3</v>
      </c>
      <c r="H298">
        <v>5.9</v>
      </c>
      <c r="I298">
        <v>4</v>
      </c>
      <c r="J298">
        <v>8.56</v>
      </c>
      <c r="K298">
        <v>3.92</v>
      </c>
      <c r="L298">
        <v>1</v>
      </c>
      <c r="M298" t="s">
        <v>20</v>
      </c>
      <c r="N298" t="s">
        <v>26</v>
      </c>
      <c r="O298">
        <v>13.95</v>
      </c>
      <c r="P298" t="s">
        <v>40</v>
      </c>
    </row>
    <row r="299" spans="1:16" x14ac:dyDescent="0.3">
      <c r="A299" t="s">
        <v>69</v>
      </c>
      <c r="B299" t="s">
        <v>17</v>
      </c>
      <c r="C299" t="s">
        <v>37</v>
      </c>
      <c r="D299" t="s">
        <v>39</v>
      </c>
      <c r="E299">
        <v>9</v>
      </c>
      <c r="F299">
        <v>167.2</v>
      </c>
      <c r="G299">
        <v>92.1</v>
      </c>
      <c r="H299">
        <v>3.4</v>
      </c>
      <c r="I299">
        <v>6</v>
      </c>
      <c r="J299">
        <v>7.03</v>
      </c>
      <c r="K299">
        <v>7.74</v>
      </c>
      <c r="L299">
        <v>0</v>
      </c>
      <c r="M299" t="s">
        <v>20</v>
      </c>
      <c r="N299" t="s">
        <v>26</v>
      </c>
      <c r="O299">
        <v>16.45</v>
      </c>
      <c r="P299" t="s">
        <v>42</v>
      </c>
    </row>
    <row r="300" spans="1:16" x14ac:dyDescent="0.3">
      <c r="A300" t="s">
        <v>69</v>
      </c>
      <c r="B300" t="s">
        <v>33</v>
      </c>
      <c r="C300" t="s">
        <v>37</v>
      </c>
      <c r="D300" t="s">
        <v>29</v>
      </c>
      <c r="E300">
        <v>2</v>
      </c>
      <c r="F300">
        <v>162.1</v>
      </c>
      <c r="G300">
        <v>94.2</v>
      </c>
      <c r="H300">
        <v>10.4</v>
      </c>
      <c r="I300">
        <v>4</v>
      </c>
      <c r="J300">
        <v>7.6</v>
      </c>
      <c r="K300">
        <v>10</v>
      </c>
      <c r="L300">
        <v>0</v>
      </c>
      <c r="M300" t="s">
        <v>34</v>
      </c>
      <c r="N300" t="s">
        <v>35</v>
      </c>
      <c r="O300">
        <v>13.35</v>
      </c>
      <c r="P300" t="s">
        <v>44</v>
      </c>
    </row>
    <row r="301" spans="1:16" x14ac:dyDescent="0.3">
      <c r="A301" t="s">
        <v>69</v>
      </c>
      <c r="B301" t="s">
        <v>17</v>
      </c>
      <c r="C301" t="s">
        <v>18</v>
      </c>
      <c r="D301" t="s">
        <v>29</v>
      </c>
      <c r="E301">
        <v>1</v>
      </c>
      <c r="F301">
        <v>154.19999999999999</v>
      </c>
      <c r="G301">
        <v>80.5</v>
      </c>
      <c r="H301">
        <v>6.4</v>
      </c>
      <c r="I301">
        <v>13</v>
      </c>
      <c r="J301">
        <v>7.12</v>
      </c>
      <c r="K301">
        <v>6.75</v>
      </c>
      <c r="L301">
        <v>1</v>
      </c>
      <c r="M301" t="s">
        <v>25</v>
      </c>
      <c r="N301" t="s">
        <v>35</v>
      </c>
      <c r="O301">
        <v>10.58</v>
      </c>
      <c r="P301" t="s">
        <v>45</v>
      </c>
    </row>
    <row r="302" spans="1:16" x14ac:dyDescent="0.3">
      <c r="A302" t="s">
        <v>70</v>
      </c>
      <c r="B302" t="s">
        <v>17</v>
      </c>
      <c r="C302" t="s">
        <v>37</v>
      </c>
      <c r="D302" t="s">
        <v>29</v>
      </c>
      <c r="E302">
        <v>10</v>
      </c>
      <c r="F302">
        <v>149.69999999999999</v>
      </c>
      <c r="G302">
        <v>100</v>
      </c>
      <c r="H302">
        <v>4.2</v>
      </c>
      <c r="I302">
        <v>5</v>
      </c>
      <c r="K302">
        <v>5.31</v>
      </c>
      <c r="L302">
        <v>0</v>
      </c>
      <c r="M302" t="s">
        <v>34</v>
      </c>
      <c r="N302" t="s">
        <v>21</v>
      </c>
      <c r="O302">
        <v>12.94</v>
      </c>
      <c r="P302" t="s">
        <v>22</v>
      </c>
    </row>
    <row r="303" spans="1:16" x14ac:dyDescent="0.3">
      <c r="A303" t="s">
        <v>70</v>
      </c>
      <c r="B303" t="s">
        <v>27</v>
      </c>
      <c r="C303" t="s">
        <v>41</v>
      </c>
      <c r="D303" t="s">
        <v>19</v>
      </c>
      <c r="E303">
        <v>10</v>
      </c>
      <c r="F303">
        <v>159.1</v>
      </c>
      <c r="G303">
        <v>97.7</v>
      </c>
      <c r="H303">
        <v>6.9</v>
      </c>
      <c r="I303">
        <v>5</v>
      </c>
      <c r="J303">
        <v>7.41</v>
      </c>
      <c r="K303">
        <v>8.92</v>
      </c>
      <c r="L303">
        <v>0</v>
      </c>
      <c r="M303" t="s">
        <v>20</v>
      </c>
      <c r="N303" t="s">
        <v>26</v>
      </c>
      <c r="O303">
        <v>16.73</v>
      </c>
      <c r="P303" t="s">
        <v>22</v>
      </c>
    </row>
    <row r="304" spans="1:16" x14ac:dyDescent="0.3">
      <c r="A304" t="s">
        <v>70</v>
      </c>
      <c r="B304" t="s">
        <v>17</v>
      </c>
      <c r="C304" t="s">
        <v>31</v>
      </c>
      <c r="D304" t="s">
        <v>39</v>
      </c>
      <c r="E304">
        <v>4</v>
      </c>
      <c r="F304">
        <v>179.1</v>
      </c>
      <c r="G304">
        <v>94.6</v>
      </c>
      <c r="H304">
        <v>4.5</v>
      </c>
      <c r="I304">
        <v>5</v>
      </c>
      <c r="J304">
        <v>9.14</v>
      </c>
      <c r="K304">
        <v>7.72</v>
      </c>
      <c r="L304">
        <v>0</v>
      </c>
      <c r="M304" t="s">
        <v>34</v>
      </c>
      <c r="N304" t="s">
        <v>35</v>
      </c>
      <c r="O304">
        <v>19.07</v>
      </c>
      <c r="P304" t="s">
        <v>28</v>
      </c>
    </row>
    <row r="305" spans="1:16" x14ac:dyDescent="0.3">
      <c r="A305" t="s">
        <v>70</v>
      </c>
      <c r="B305" t="s">
        <v>17</v>
      </c>
      <c r="C305" t="s">
        <v>37</v>
      </c>
      <c r="D305" t="s">
        <v>19</v>
      </c>
      <c r="E305">
        <v>8</v>
      </c>
      <c r="F305">
        <v>171.6</v>
      </c>
      <c r="G305">
        <v>94.6</v>
      </c>
      <c r="I305">
        <v>5</v>
      </c>
      <c r="J305">
        <v>6.95</v>
      </c>
      <c r="K305">
        <v>7.63</v>
      </c>
      <c r="L305">
        <v>0</v>
      </c>
      <c r="M305" t="s">
        <v>20</v>
      </c>
      <c r="N305" t="s">
        <v>35</v>
      </c>
      <c r="O305">
        <v>22.9</v>
      </c>
      <c r="P305" t="s">
        <v>28</v>
      </c>
    </row>
    <row r="306" spans="1:16" x14ac:dyDescent="0.3">
      <c r="A306" t="s">
        <v>70</v>
      </c>
      <c r="B306" t="s">
        <v>17</v>
      </c>
      <c r="C306" t="s">
        <v>41</v>
      </c>
      <c r="D306" t="s">
        <v>19</v>
      </c>
      <c r="E306">
        <v>6</v>
      </c>
      <c r="F306">
        <v>166.3</v>
      </c>
      <c r="G306">
        <v>85.6</v>
      </c>
      <c r="H306">
        <v>5.8</v>
      </c>
      <c r="I306">
        <v>6</v>
      </c>
      <c r="J306">
        <v>8.82</v>
      </c>
      <c r="K306">
        <v>5.78</v>
      </c>
      <c r="L306">
        <v>0</v>
      </c>
      <c r="M306" t="s">
        <v>25</v>
      </c>
      <c r="N306" t="s">
        <v>21</v>
      </c>
      <c r="O306">
        <v>14.65</v>
      </c>
      <c r="P306" t="s">
        <v>30</v>
      </c>
    </row>
    <row r="307" spans="1:16" x14ac:dyDescent="0.3">
      <c r="A307" t="s">
        <v>70</v>
      </c>
      <c r="B307" t="s">
        <v>43</v>
      </c>
      <c r="C307" t="s">
        <v>24</v>
      </c>
      <c r="D307" t="s">
        <v>29</v>
      </c>
      <c r="E307">
        <v>3</v>
      </c>
      <c r="F307">
        <v>153.1</v>
      </c>
      <c r="G307">
        <v>94.9</v>
      </c>
      <c r="H307">
        <v>6.1</v>
      </c>
      <c r="I307">
        <v>6</v>
      </c>
      <c r="J307">
        <v>6.21</v>
      </c>
      <c r="K307">
        <v>6.69</v>
      </c>
      <c r="L307">
        <v>0</v>
      </c>
      <c r="M307" t="s">
        <v>20</v>
      </c>
      <c r="N307" t="s">
        <v>26</v>
      </c>
      <c r="O307">
        <v>3.08</v>
      </c>
      <c r="P307" t="s">
        <v>32</v>
      </c>
    </row>
    <row r="308" spans="1:16" x14ac:dyDescent="0.3">
      <c r="A308" t="s">
        <v>70</v>
      </c>
      <c r="B308" t="s">
        <v>33</v>
      </c>
      <c r="C308" t="s">
        <v>18</v>
      </c>
      <c r="D308" t="s">
        <v>39</v>
      </c>
      <c r="E308">
        <v>9</v>
      </c>
      <c r="F308">
        <v>144.1</v>
      </c>
      <c r="G308">
        <v>91.7</v>
      </c>
      <c r="H308">
        <v>5.8</v>
      </c>
      <c r="I308">
        <v>8</v>
      </c>
      <c r="K308">
        <v>3.97</v>
      </c>
      <c r="L308">
        <v>1</v>
      </c>
      <c r="M308" t="s">
        <v>34</v>
      </c>
      <c r="N308" t="s">
        <v>21</v>
      </c>
      <c r="O308">
        <v>9.3699999999999992</v>
      </c>
      <c r="P308" t="s">
        <v>36</v>
      </c>
    </row>
    <row r="309" spans="1:16" x14ac:dyDescent="0.3">
      <c r="A309" t="s">
        <v>70</v>
      </c>
      <c r="B309" t="s">
        <v>43</v>
      </c>
      <c r="C309" t="s">
        <v>41</v>
      </c>
      <c r="D309" t="s">
        <v>19</v>
      </c>
      <c r="E309">
        <v>6</v>
      </c>
      <c r="F309">
        <v>159.69999999999999</v>
      </c>
      <c r="G309">
        <v>92.3</v>
      </c>
      <c r="H309">
        <v>6.2</v>
      </c>
      <c r="I309">
        <v>3</v>
      </c>
      <c r="J309">
        <v>7.15</v>
      </c>
      <c r="K309">
        <v>10</v>
      </c>
      <c r="L309">
        <v>0</v>
      </c>
      <c r="M309" t="s">
        <v>34</v>
      </c>
      <c r="N309" t="s">
        <v>26</v>
      </c>
      <c r="O309">
        <v>15.2</v>
      </c>
      <c r="P309" t="s">
        <v>38</v>
      </c>
    </row>
    <row r="310" spans="1:16" x14ac:dyDescent="0.3">
      <c r="A310" t="s">
        <v>70</v>
      </c>
      <c r="B310" t="s">
        <v>27</v>
      </c>
      <c r="C310" t="s">
        <v>18</v>
      </c>
      <c r="D310" t="s">
        <v>19</v>
      </c>
      <c r="E310">
        <v>8</v>
      </c>
      <c r="F310">
        <v>175</v>
      </c>
      <c r="G310">
        <v>94.3</v>
      </c>
      <c r="H310">
        <v>4.4000000000000004</v>
      </c>
      <c r="I310">
        <v>8</v>
      </c>
      <c r="J310">
        <v>9.93</v>
      </c>
      <c r="K310">
        <v>3.19</v>
      </c>
      <c r="L310">
        <v>1</v>
      </c>
      <c r="M310" t="s">
        <v>34</v>
      </c>
      <c r="N310" t="s">
        <v>26</v>
      </c>
      <c r="O310">
        <v>7.74</v>
      </c>
      <c r="P310" t="s">
        <v>40</v>
      </c>
    </row>
    <row r="311" spans="1:16" x14ac:dyDescent="0.3">
      <c r="A311" t="s">
        <v>70</v>
      </c>
      <c r="B311" t="s">
        <v>33</v>
      </c>
      <c r="C311" t="s">
        <v>18</v>
      </c>
      <c r="D311" t="s">
        <v>29</v>
      </c>
      <c r="E311">
        <v>7</v>
      </c>
      <c r="F311">
        <v>171.8</v>
      </c>
      <c r="G311">
        <v>93.9</v>
      </c>
      <c r="H311">
        <v>4</v>
      </c>
      <c r="I311">
        <v>4</v>
      </c>
      <c r="J311">
        <v>5.13</v>
      </c>
      <c r="K311">
        <v>5.64</v>
      </c>
      <c r="L311">
        <v>0</v>
      </c>
      <c r="M311" t="s">
        <v>20</v>
      </c>
      <c r="N311" t="s">
        <v>26</v>
      </c>
      <c r="O311">
        <v>10.96</v>
      </c>
      <c r="P311" t="s">
        <v>42</v>
      </c>
    </row>
    <row r="312" spans="1:16" x14ac:dyDescent="0.3">
      <c r="A312" t="s">
        <v>70</v>
      </c>
      <c r="B312" t="s">
        <v>33</v>
      </c>
      <c r="C312" t="s">
        <v>37</v>
      </c>
      <c r="D312" t="s">
        <v>39</v>
      </c>
      <c r="E312">
        <v>10</v>
      </c>
      <c r="F312">
        <v>161.9</v>
      </c>
      <c r="G312">
        <v>100</v>
      </c>
      <c r="H312">
        <v>1.3</v>
      </c>
      <c r="I312">
        <v>6</v>
      </c>
      <c r="J312">
        <v>7.71</v>
      </c>
      <c r="K312">
        <v>6.66</v>
      </c>
      <c r="L312">
        <v>0</v>
      </c>
      <c r="M312" t="s">
        <v>25</v>
      </c>
      <c r="N312" t="s">
        <v>21</v>
      </c>
      <c r="O312">
        <v>9.69</v>
      </c>
      <c r="P312" t="s">
        <v>44</v>
      </c>
    </row>
    <row r="313" spans="1:16" x14ac:dyDescent="0.3">
      <c r="A313" t="s">
        <v>70</v>
      </c>
      <c r="B313" t="s">
        <v>23</v>
      </c>
      <c r="C313" t="s">
        <v>41</v>
      </c>
      <c r="D313" t="s">
        <v>19</v>
      </c>
      <c r="E313">
        <v>2</v>
      </c>
      <c r="F313">
        <v>162</v>
      </c>
      <c r="G313">
        <v>98.8</v>
      </c>
      <c r="H313">
        <v>1.8</v>
      </c>
      <c r="I313">
        <v>5</v>
      </c>
      <c r="J313">
        <v>7.95</v>
      </c>
      <c r="K313">
        <v>6.79</v>
      </c>
      <c r="L313">
        <v>0</v>
      </c>
      <c r="M313" t="s">
        <v>20</v>
      </c>
      <c r="N313" t="s">
        <v>21</v>
      </c>
      <c r="O313">
        <v>15.34</v>
      </c>
      <c r="P313" t="s">
        <v>45</v>
      </c>
    </row>
    <row r="314" spans="1:16" x14ac:dyDescent="0.3">
      <c r="A314" t="s">
        <v>71</v>
      </c>
      <c r="B314" t="s">
        <v>23</v>
      </c>
      <c r="C314" t="s">
        <v>18</v>
      </c>
      <c r="D314" t="s">
        <v>29</v>
      </c>
      <c r="E314">
        <v>2</v>
      </c>
      <c r="F314">
        <v>155.9</v>
      </c>
      <c r="G314">
        <v>99.7</v>
      </c>
      <c r="H314">
        <v>4.0999999999999996</v>
      </c>
      <c r="I314">
        <v>7</v>
      </c>
      <c r="J314">
        <v>8.1199999999999992</v>
      </c>
      <c r="K314">
        <v>3.78</v>
      </c>
      <c r="L314">
        <v>0</v>
      </c>
      <c r="M314" t="s">
        <v>34</v>
      </c>
      <c r="N314" t="s">
        <v>26</v>
      </c>
      <c r="O314">
        <v>9.77</v>
      </c>
      <c r="P314" t="s">
        <v>22</v>
      </c>
    </row>
    <row r="315" spans="1:16" x14ac:dyDescent="0.3">
      <c r="A315" t="s">
        <v>71</v>
      </c>
      <c r="B315" t="s">
        <v>23</v>
      </c>
      <c r="C315" t="s">
        <v>31</v>
      </c>
      <c r="D315" t="s">
        <v>39</v>
      </c>
      <c r="E315">
        <v>4</v>
      </c>
      <c r="F315">
        <v>158.4</v>
      </c>
      <c r="G315">
        <v>100</v>
      </c>
      <c r="H315">
        <v>6.1</v>
      </c>
      <c r="I315">
        <v>3</v>
      </c>
      <c r="J315">
        <v>5.51</v>
      </c>
      <c r="K315">
        <v>6.42</v>
      </c>
      <c r="L315">
        <v>1</v>
      </c>
      <c r="M315" t="s">
        <v>20</v>
      </c>
      <c r="N315" t="s">
        <v>35</v>
      </c>
      <c r="O315">
        <v>11.39</v>
      </c>
      <c r="P315" t="s">
        <v>22</v>
      </c>
    </row>
    <row r="316" spans="1:16" x14ac:dyDescent="0.3">
      <c r="A316" t="s">
        <v>71</v>
      </c>
      <c r="B316" t="s">
        <v>23</v>
      </c>
      <c r="C316" t="s">
        <v>37</v>
      </c>
      <c r="D316" t="s">
        <v>39</v>
      </c>
      <c r="E316">
        <v>4</v>
      </c>
      <c r="F316">
        <v>164</v>
      </c>
      <c r="G316">
        <v>97.2</v>
      </c>
      <c r="H316">
        <v>2</v>
      </c>
      <c r="I316">
        <v>5</v>
      </c>
      <c r="J316">
        <v>6.15</v>
      </c>
      <c r="K316">
        <v>5.74</v>
      </c>
      <c r="L316">
        <v>1</v>
      </c>
      <c r="M316" t="s">
        <v>34</v>
      </c>
      <c r="N316" t="s">
        <v>35</v>
      </c>
      <c r="O316">
        <v>0</v>
      </c>
      <c r="P316" t="s">
        <v>28</v>
      </c>
    </row>
    <row r="317" spans="1:16" x14ac:dyDescent="0.3">
      <c r="A317" t="s">
        <v>71</v>
      </c>
      <c r="B317" t="s">
        <v>27</v>
      </c>
      <c r="C317" t="s">
        <v>41</v>
      </c>
      <c r="D317" t="s">
        <v>29</v>
      </c>
      <c r="E317">
        <v>10</v>
      </c>
      <c r="F317">
        <v>179.3</v>
      </c>
      <c r="G317">
        <v>89.6</v>
      </c>
      <c r="H317">
        <v>6.1</v>
      </c>
      <c r="I317">
        <v>4</v>
      </c>
      <c r="J317">
        <v>5.62</v>
      </c>
      <c r="K317">
        <v>4.1399999999999997</v>
      </c>
      <c r="L317">
        <v>0</v>
      </c>
      <c r="M317" t="s">
        <v>25</v>
      </c>
      <c r="N317" t="s">
        <v>21</v>
      </c>
      <c r="O317">
        <v>9.5399999999999991</v>
      </c>
      <c r="P317" t="s">
        <v>28</v>
      </c>
    </row>
    <row r="318" spans="1:16" x14ac:dyDescent="0.3">
      <c r="A318" t="s">
        <v>71</v>
      </c>
      <c r="B318" t="s">
        <v>23</v>
      </c>
      <c r="C318" t="s">
        <v>41</v>
      </c>
      <c r="D318" t="s">
        <v>29</v>
      </c>
      <c r="E318">
        <v>6</v>
      </c>
      <c r="F318">
        <v>172.1</v>
      </c>
      <c r="G318">
        <v>92.5</v>
      </c>
      <c r="H318">
        <v>7.1</v>
      </c>
      <c r="I318">
        <v>6</v>
      </c>
      <c r="J318">
        <v>7.22</v>
      </c>
      <c r="K318">
        <v>10</v>
      </c>
      <c r="L318">
        <v>0</v>
      </c>
      <c r="M318" t="s">
        <v>34</v>
      </c>
      <c r="N318" t="s">
        <v>21</v>
      </c>
      <c r="O318">
        <v>12.18</v>
      </c>
      <c r="P318" t="s">
        <v>30</v>
      </c>
    </row>
    <row r="319" spans="1:16" x14ac:dyDescent="0.3">
      <c r="A319" t="s">
        <v>71</v>
      </c>
      <c r="B319" t="s">
        <v>33</v>
      </c>
      <c r="C319" t="s">
        <v>31</v>
      </c>
      <c r="D319" t="s">
        <v>19</v>
      </c>
      <c r="E319">
        <v>4</v>
      </c>
      <c r="F319">
        <v>157.6</v>
      </c>
      <c r="G319">
        <v>85.5</v>
      </c>
      <c r="H319">
        <v>4.0999999999999996</v>
      </c>
      <c r="I319">
        <v>4</v>
      </c>
      <c r="J319">
        <v>5.94</v>
      </c>
      <c r="K319">
        <v>10</v>
      </c>
      <c r="L319">
        <v>0</v>
      </c>
      <c r="M319" t="s">
        <v>20</v>
      </c>
      <c r="N319" t="s">
        <v>35</v>
      </c>
      <c r="O319">
        <v>17.36</v>
      </c>
      <c r="P319" t="s">
        <v>32</v>
      </c>
    </row>
    <row r="320" spans="1:16" x14ac:dyDescent="0.3">
      <c r="A320" t="s">
        <v>71</v>
      </c>
      <c r="B320" t="s">
        <v>27</v>
      </c>
      <c r="C320" t="s">
        <v>31</v>
      </c>
      <c r="D320" t="s">
        <v>39</v>
      </c>
      <c r="E320">
        <v>1</v>
      </c>
      <c r="F320">
        <v>166.4</v>
      </c>
      <c r="G320">
        <v>86.9</v>
      </c>
      <c r="H320">
        <v>5.2</v>
      </c>
      <c r="I320">
        <v>8</v>
      </c>
      <c r="J320">
        <v>7.4</v>
      </c>
      <c r="K320">
        <v>10</v>
      </c>
      <c r="L320">
        <v>0</v>
      </c>
      <c r="M320" t="s">
        <v>20</v>
      </c>
      <c r="N320" t="s">
        <v>21</v>
      </c>
      <c r="O320">
        <v>14.96</v>
      </c>
      <c r="P320" t="s">
        <v>36</v>
      </c>
    </row>
    <row r="321" spans="1:16" x14ac:dyDescent="0.3">
      <c r="A321" t="s">
        <v>71</v>
      </c>
      <c r="B321" t="s">
        <v>27</v>
      </c>
      <c r="C321" t="s">
        <v>18</v>
      </c>
      <c r="D321" t="s">
        <v>39</v>
      </c>
      <c r="E321">
        <v>4</v>
      </c>
      <c r="F321">
        <v>167.9</v>
      </c>
      <c r="G321">
        <v>100</v>
      </c>
      <c r="H321">
        <v>3.1</v>
      </c>
      <c r="I321">
        <v>4</v>
      </c>
      <c r="J321">
        <v>7.23</v>
      </c>
      <c r="K321">
        <v>5.29</v>
      </c>
      <c r="L321">
        <v>0</v>
      </c>
      <c r="M321" t="s">
        <v>20</v>
      </c>
      <c r="N321" t="s">
        <v>21</v>
      </c>
      <c r="O321">
        <v>4.99</v>
      </c>
      <c r="P321" t="s">
        <v>38</v>
      </c>
    </row>
    <row r="322" spans="1:16" x14ac:dyDescent="0.3">
      <c r="A322" t="s">
        <v>71</v>
      </c>
      <c r="B322" t="s">
        <v>33</v>
      </c>
      <c r="C322" t="s">
        <v>41</v>
      </c>
      <c r="D322" t="s">
        <v>39</v>
      </c>
      <c r="E322">
        <v>5</v>
      </c>
      <c r="F322">
        <v>155.69999999999999</v>
      </c>
      <c r="G322">
        <v>99</v>
      </c>
      <c r="H322">
        <v>4.4000000000000004</v>
      </c>
      <c r="I322">
        <v>5</v>
      </c>
      <c r="J322">
        <v>7.13</v>
      </c>
      <c r="K322">
        <v>6.65</v>
      </c>
      <c r="L322">
        <v>2</v>
      </c>
      <c r="M322" t="s">
        <v>34</v>
      </c>
      <c r="N322" t="s">
        <v>26</v>
      </c>
      <c r="O322">
        <v>16.11</v>
      </c>
      <c r="P322" t="s">
        <v>40</v>
      </c>
    </row>
    <row r="323" spans="1:16" x14ac:dyDescent="0.3">
      <c r="A323" t="s">
        <v>71</v>
      </c>
      <c r="B323" t="s">
        <v>33</v>
      </c>
      <c r="C323" t="s">
        <v>18</v>
      </c>
      <c r="D323" t="s">
        <v>29</v>
      </c>
      <c r="E323">
        <v>10</v>
      </c>
      <c r="F323">
        <v>156.1</v>
      </c>
      <c r="G323">
        <v>94.3</v>
      </c>
      <c r="H323">
        <v>1.7</v>
      </c>
      <c r="I323">
        <v>7</v>
      </c>
      <c r="J323">
        <v>7</v>
      </c>
      <c r="K323">
        <v>6.3</v>
      </c>
      <c r="L323">
        <v>1</v>
      </c>
      <c r="M323" t="s">
        <v>20</v>
      </c>
      <c r="N323" t="s">
        <v>26</v>
      </c>
      <c r="O323">
        <v>7.12</v>
      </c>
      <c r="P323" t="s">
        <v>42</v>
      </c>
    </row>
    <row r="324" spans="1:16" x14ac:dyDescent="0.3">
      <c r="A324" t="s">
        <v>71</v>
      </c>
      <c r="B324" t="s">
        <v>17</v>
      </c>
      <c r="C324" t="s">
        <v>18</v>
      </c>
      <c r="D324" t="s">
        <v>29</v>
      </c>
      <c r="E324">
        <v>3</v>
      </c>
      <c r="F324">
        <v>164</v>
      </c>
      <c r="G324">
        <v>96.3</v>
      </c>
      <c r="H324">
        <v>7.6</v>
      </c>
      <c r="I324">
        <v>10</v>
      </c>
      <c r="J324">
        <v>3.86</v>
      </c>
      <c r="K324">
        <v>3.71</v>
      </c>
      <c r="L324">
        <v>0</v>
      </c>
      <c r="M324" t="s">
        <v>20</v>
      </c>
      <c r="N324" t="s">
        <v>21</v>
      </c>
      <c r="O324">
        <v>16.7</v>
      </c>
      <c r="P324" t="s">
        <v>44</v>
      </c>
    </row>
    <row r="325" spans="1:16" x14ac:dyDescent="0.3">
      <c r="A325" t="s">
        <v>71</v>
      </c>
      <c r="B325" t="s">
        <v>23</v>
      </c>
      <c r="C325" t="s">
        <v>37</v>
      </c>
      <c r="D325" t="s">
        <v>39</v>
      </c>
      <c r="E325">
        <v>1</v>
      </c>
      <c r="F325">
        <v>152.1</v>
      </c>
      <c r="G325">
        <v>95.7</v>
      </c>
      <c r="H325">
        <v>4.5999999999999996</v>
      </c>
      <c r="I325">
        <v>4</v>
      </c>
      <c r="J325">
        <v>5.74</v>
      </c>
      <c r="K325">
        <v>8.6</v>
      </c>
      <c r="L325">
        <v>1</v>
      </c>
      <c r="M325" t="s">
        <v>20</v>
      </c>
      <c r="N325" t="s">
        <v>21</v>
      </c>
      <c r="O325">
        <v>3.74</v>
      </c>
      <c r="P325" t="s">
        <v>45</v>
      </c>
    </row>
    <row r="326" spans="1:16" x14ac:dyDescent="0.3">
      <c r="A326" t="s">
        <v>72</v>
      </c>
      <c r="B326" t="s">
        <v>17</v>
      </c>
      <c r="C326" t="s">
        <v>31</v>
      </c>
      <c r="D326" t="s">
        <v>19</v>
      </c>
      <c r="E326">
        <v>1</v>
      </c>
      <c r="F326">
        <v>165.9</v>
      </c>
      <c r="G326">
        <v>95.8</v>
      </c>
      <c r="H326">
        <v>6.4</v>
      </c>
      <c r="I326">
        <v>7</v>
      </c>
      <c r="J326">
        <v>10</v>
      </c>
      <c r="K326">
        <v>7.89</v>
      </c>
      <c r="L326">
        <v>0</v>
      </c>
      <c r="M326" t="s">
        <v>20</v>
      </c>
      <c r="N326" t="s">
        <v>21</v>
      </c>
      <c r="O326">
        <v>12.82</v>
      </c>
      <c r="P326" t="s">
        <v>22</v>
      </c>
    </row>
    <row r="327" spans="1:16" x14ac:dyDescent="0.3">
      <c r="A327" t="s">
        <v>72</v>
      </c>
      <c r="B327" t="s">
        <v>23</v>
      </c>
      <c r="C327" t="s">
        <v>31</v>
      </c>
      <c r="D327" t="s">
        <v>19</v>
      </c>
      <c r="E327">
        <v>4</v>
      </c>
      <c r="F327">
        <v>185.1</v>
      </c>
      <c r="G327">
        <v>94.8</v>
      </c>
      <c r="H327">
        <v>5.5</v>
      </c>
      <c r="I327">
        <v>8</v>
      </c>
      <c r="J327">
        <v>5.22</v>
      </c>
      <c r="K327">
        <v>9.8699999999999992</v>
      </c>
      <c r="L327">
        <v>0</v>
      </c>
      <c r="M327" t="s">
        <v>34</v>
      </c>
      <c r="N327" t="s">
        <v>21</v>
      </c>
      <c r="O327">
        <v>12.36</v>
      </c>
      <c r="P327" t="s">
        <v>22</v>
      </c>
    </row>
    <row r="328" spans="1:16" x14ac:dyDescent="0.3">
      <c r="A328" t="s">
        <v>72</v>
      </c>
      <c r="B328" t="s">
        <v>27</v>
      </c>
      <c r="C328" t="s">
        <v>41</v>
      </c>
      <c r="D328" t="s">
        <v>19</v>
      </c>
      <c r="E328">
        <v>3</v>
      </c>
      <c r="F328">
        <v>141.6</v>
      </c>
      <c r="G328">
        <v>99.5</v>
      </c>
      <c r="H328">
        <v>3.8</v>
      </c>
      <c r="I328">
        <v>3</v>
      </c>
      <c r="J328">
        <v>8.5500000000000007</v>
      </c>
      <c r="K328">
        <v>7.33</v>
      </c>
      <c r="L328">
        <v>0</v>
      </c>
      <c r="M328" t="s">
        <v>20</v>
      </c>
      <c r="N328" t="s">
        <v>21</v>
      </c>
      <c r="O328">
        <v>24.44</v>
      </c>
      <c r="P328" t="s">
        <v>28</v>
      </c>
    </row>
    <row r="329" spans="1:16" x14ac:dyDescent="0.3">
      <c r="A329" t="s">
        <v>72</v>
      </c>
      <c r="B329" t="s">
        <v>43</v>
      </c>
      <c r="C329" t="s">
        <v>18</v>
      </c>
      <c r="D329" t="s">
        <v>39</v>
      </c>
      <c r="E329">
        <v>2</v>
      </c>
      <c r="F329">
        <v>168.6</v>
      </c>
      <c r="G329">
        <v>96.8</v>
      </c>
      <c r="H329">
        <v>4.4000000000000004</v>
      </c>
      <c r="I329">
        <v>7</v>
      </c>
      <c r="J329">
        <v>5.12</v>
      </c>
      <c r="K329">
        <v>9.2100000000000009</v>
      </c>
      <c r="L329">
        <v>0</v>
      </c>
      <c r="M329" t="s">
        <v>25</v>
      </c>
      <c r="N329" t="s">
        <v>35</v>
      </c>
      <c r="O329">
        <v>24.69</v>
      </c>
      <c r="P329" t="s">
        <v>28</v>
      </c>
    </row>
    <row r="330" spans="1:16" x14ac:dyDescent="0.3">
      <c r="A330" t="s">
        <v>72</v>
      </c>
      <c r="B330" t="s">
        <v>17</v>
      </c>
      <c r="C330" t="s">
        <v>37</v>
      </c>
      <c r="D330" t="s">
        <v>19</v>
      </c>
      <c r="E330">
        <v>4</v>
      </c>
      <c r="F330">
        <v>155.19999999999999</v>
      </c>
      <c r="G330">
        <v>99.6</v>
      </c>
      <c r="I330">
        <v>3</v>
      </c>
      <c r="J330">
        <v>6.36</v>
      </c>
      <c r="K330">
        <v>7.83</v>
      </c>
      <c r="L330">
        <v>0</v>
      </c>
      <c r="M330" t="s">
        <v>20</v>
      </c>
      <c r="N330" t="s">
        <v>26</v>
      </c>
      <c r="O330">
        <v>10.27</v>
      </c>
      <c r="P330" t="s">
        <v>30</v>
      </c>
    </row>
    <row r="331" spans="1:16" x14ac:dyDescent="0.3">
      <c r="A331" t="s">
        <v>72</v>
      </c>
      <c r="B331" t="s">
        <v>43</v>
      </c>
      <c r="C331" t="s">
        <v>31</v>
      </c>
      <c r="D331" t="s">
        <v>39</v>
      </c>
      <c r="E331">
        <v>10</v>
      </c>
      <c r="F331">
        <v>149.9</v>
      </c>
      <c r="G331">
        <v>92.1</v>
      </c>
      <c r="H331">
        <v>2.4</v>
      </c>
      <c r="I331">
        <v>7</v>
      </c>
      <c r="J331">
        <v>4.3099999999999996</v>
      </c>
      <c r="K331">
        <v>7.29</v>
      </c>
      <c r="L331">
        <v>1</v>
      </c>
      <c r="M331" t="s">
        <v>25</v>
      </c>
      <c r="N331" t="s">
        <v>35</v>
      </c>
      <c r="O331">
        <v>9.7899999999999991</v>
      </c>
      <c r="P331" t="s">
        <v>32</v>
      </c>
    </row>
    <row r="332" spans="1:16" x14ac:dyDescent="0.3">
      <c r="A332" t="s">
        <v>72</v>
      </c>
      <c r="B332" t="s">
        <v>17</v>
      </c>
      <c r="C332" t="s">
        <v>37</v>
      </c>
      <c r="D332" t="s">
        <v>29</v>
      </c>
      <c r="E332">
        <v>2</v>
      </c>
      <c r="F332">
        <v>158.6</v>
      </c>
      <c r="G332">
        <v>100</v>
      </c>
      <c r="H332">
        <v>4.0999999999999996</v>
      </c>
      <c r="I332">
        <v>5</v>
      </c>
      <c r="J332">
        <v>6.99</v>
      </c>
      <c r="K332">
        <v>6.24</v>
      </c>
      <c r="L332">
        <v>0</v>
      </c>
      <c r="M332" t="s">
        <v>34</v>
      </c>
      <c r="N332" t="s">
        <v>35</v>
      </c>
      <c r="O332">
        <v>10.09</v>
      </c>
      <c r="P332" t="s">
        <v>36</v>
      </c>
    </row>
    <row r="333" spans="1:16" x14ac:dyDescent="0.3">
      <c r="A333" t="s">
        <v>72</v>
      </c>
      <c r="B333" t="s">
        <v>33</v>
      </c>
      <c r="C333" t="s">
        <v>18</v>
      </c>
      <c r="D333" t="s">
        <v>39</v>
      </c>
      <c r="E333">
        <v>6</v>
      </c>
      <c r="F333">
        <v>168</v>
      </c>
      <c r="G333">
        <v>99.7</v>
      </c>
      <c r="H333">
        <v>5</v>
      </c>
      <c r="I333">
        <v>7</v>
      </c>
      <c r="J333">
        <v>7.14</v>
      </c>
      <c r="K333">
        <v>6.05</v>
      </c>
      <c r="L333">
        <v>0</v>
      </c>
      <c r="M333" t="s">
        <v>25</v>
      </c>
      <c r="N333" t="s">
        <v>21</v>
      </c>
      <c r="O333">
        <v>5.97</v>
      </c>
      <c r="P333" t="s">
        <v>38</v>
      </c>
    </row>
    <row r="334" spans="1:16" x14ac:dyDescent="0.3">
      <c r="A334" t="s">
        <v>72</v>
      </c>
      <c r="B334" t="s">
        <v>43</v>
      </c>
      <c r="C334" t="s">
        <v>41</v>
      </c>
      <c r="D334" t="s">
        <v>39</v>
      </c>
      <c r="E334">
        <v>6</v>
      </c>
      <c r="F334">
        <v>148.69999999999999</v>
      </c>
      <c r="G334">
        <v>100</v>
      </c>
      <c r="H334">
        <v>5.3</v>
      </c>
      <c r="I334">
        <v>2</v>
      </c>
      <c r="J334">
        <v>7</v>
      </c>
      <c r="K334">
        <v>9.09</v>
      </c>
      <c r="L334">
        <v>0</v>
      </c>
      <c r="M334" t="s">
        <v>34</v>
      </c>
      <c r="N334" t="s">
        <v>21</v>
      </c>
      <c r="O334">
        <v>17.45</v>
      </c>
      <c r="P334" t="s">
        <v>40</v>
      </c>
    </row>
    <row r="335" spans="1:16" x14ac:dyDescent="0.3">
      <c r="A335" t="s">
        <v>72</v>
      </c>
      <c r="B335" t="s">
        <v>43</v>
      </c>
      <c r="C335" t="s">
        <v>37</v>
      </c>
      <c r="D335" t="s">
        <v>19</v>
      </c>
      <c r="E335">
        <v>7</v>
      </c>
      <c r="F335">
        <v>162.6</v>
      </c>
      <c r="G335">
        <v>96.5</v>
      </c>
      <c r="H335">
        <v>5.3</v>
      </c>
      <c r="I335">
        <v>5</v>
      </c>
      <c r="J335">
        <v>6.12</v>
      </c>
      <c r="K335">
        <v>7.26</v>
      </c>
      <c r="L335">
        <v>1</v>
      </c>
      <c r="M335" t="s">
        <v>20</v>
      </c>
      <c r="N335" t="s">
        <v>21</v>
      </c>
      <c r="O335">
        <v>5</v>
      </c>
      <c r="P335" t="s">
        <v>42</v>
      </c>
    </row>
    <row r="336" spans="1:16" x14ac:dyDescent="0.3">
      <c r="A336" t="s">
        <v>72</v>
      </c>
      <c r="B336" t="s">
        <v>33</v>
      </c>
      <c r="C336" t="s">
        <v>24</v>
      </c>
      <c r="D336" t="s">
        <v>29</v>
      </c>
      <c r="E336">
        <v>5</v>
      </c>
      <c r="F336">
        <v>179.5</v>
      </c>
      <c r="G336">
        <v>100</v>
      </c>
      <c r="H336">
        <v>3.7</v>
      </c>
      <c r="I336">
        <v>5</v>
      </c>
      <c r="J336">
        <v>7.54</v>
      </c>
      <c r="K336">
        <v>6.5</v>
      </c>
      <c r="L336">
        <v>0</v>
      </c>
      <c r="M336" t="s">
        <v>34</v>
      </c>
      <c r="N336" t="s">
        <v>26</v>
      </c>
      <c r="O336">
        <v>5.36</v>
      </c>
      <c r="P336" t="s">
        <v>44</v>
      </c>
    </row>
    <row r="337" spans="1:16" x14ac:dyDescent="0.3">
      <c r="A337" t="s">
        <v>72</v>
      </c>
      <c r="B337" t="s">
        <v>17</v>
      </c>
      <c r="C337" t="s">
        <v>41</v>
      </c>
      <c r="D337" t="s">
        <v>19</v>
      </c>
      <c r="E337">
        <v>1</v>
      </c>
      <c r="F337">
        <v>147.69999999999999</v>
      </c>
      <c r="G337">
        <v>94.2</v>
      </c>
      <c r="H337">
        <v>6.9</v>
      </c>
      <c r="I337">
        <v>5</v>
      </c>
      <c r="J337">
        <v>5.25</v>
      </c>
      <c r="K337">
        <v>5.44</v>
      </c>
      <c r="L337">
        <v>1</v>
      </c>
      <c r="M337" t="s">
        <v>25</v>
      </c>
      <c r="N337" t="s">
        <v>35</v>
      </c>
      <c r="O337">
        <v>17.16</v>
      </c>
      <c r="P337" t="s">
        <v>45</v>
      </c>
    </row>
    <row r="338" spans="1:16" x14ac:dyDescent="0.3">
      <c r="A338" t="s">
        <v>73</v>
      </c>
      <c r="B338" t="s">
        <v>33</v>
      </c>
      <c r="C338" t="s">
        <v>24</v>
      </c>
      <c r="D338" t="s">
        <v>29</v>
      </c>
      <c r="E338">
        <v>5</v>
      </c>
      <c r="F338">
        <v>161</v>
      </c>
      <c r="G338">
        <v>93.4</v>
      </c>
      <c r="H338">
        <v>4.8</v>
      </c>
      <c r="I338">
        <v>5</v>
      </c>
      <c r="J338">
        <v>6.29</v>
      </c>
      <c r="K338">
        <v>7.16</v>
      </c>
      <c r="L338">
        <v>0</v>
      </c>
      <c r="M338" t="s">
        <v>25</v>
      </c>
      <c r="N338" t="s">
        <v>21</v>
      </c>
      <c r="O338">
        <v>18.350000000000001</v>
      </c>
      <c r="P338" t="s">
        <v>22</v>
      </c>
    </row>
    <row r="339" spans="1:16" x14ac:dyDescent="0.3">
      <c r="A339" t="s">
        <v>73</v>
      </c>
      <c r="B339" t="s">
        <v>33</v>
      </c>
      <c r="C339" t="s">
        <v>24</v>
      </c>
      <c r="D339" t="s">
        <v>29</v>
      </c>
      <c r="E339">
        <v>5</v>
      </c>
      <c r="F339">
        <v>168.9</v>
      </c>
      <c r="G339">
        <v>96.8</v>
      </c>
      <c r="H339">
        <v>5.9</v>
      </c>
      <c r="I339">
        <v>2</v>
      </c>
      <c r="J339">
        <v>9.16</v>
      </c>
      <c r="K339">
        <v>5.79</v>
      </c>
      <c r="L339">
        <v>0</v>
      </c>
      <c r="M339" t="s">
        <v>34</v>
      </c>
      <c r="N339" t="s">
        <v>21</v>
      </c>
      <c r="O339">
        <v>11.14</v>
      </c>
      <c r="P339" t="s">
        <v>22</v>
      </c>
    </row>
    <row r="340" spans="1:16" x14ac:dyDescent="0.3">
      <c r="A340" t="s">
        <v>73</v>
      </c>
      <c r="B340" t="s">
        <v>17</v>
      </c>
      <c r="C340" t="s">
        <v>24</v>
      </c>
      <c r="D340" t="s">
        <v>19</v>
      </c>
      <c r="E340">
        <v>6</v>
      </c>
      <c r="F340">
        <v>171.7</v>
      </c>
      <c r="G340">
        <v>92.9</v>
      </c>
      <c r="H340">
        <v>4.9000000000000004</v>
      </c>
      <c r="I340">
        <v>11</v>
      </c>
      <c r="J340">
        <v>8.2200000000000006</v>
      </c>
      <c r="K340">
        <v>6.07</v>
      </c>
      <c r="L340">
        <v>0</v>
      </c>
      <c r="M340" t="s">
        <v>20</v>
      </c>
      <c r="N340" t="s">
        <v>35</v>
      </c>
      <c r="O340">
        <v>7.47</v>
      </c>
      <c r="P340" t="s">
        <v>28</v>
      </c>
    </row>
    <row r="341" spans="1:16" x14ac:dyDescent="0.3">
      <c r="A341" t="s">
        <v>73</v>
      </c>
      <c r="B341" t="s">
        <v>27</v>
      </c>
      <c r="C341" t="s">
        <v>41</v>
      </c>
      <c r="D341" t="s">
        <v>39</v>
      </c>
      <c r="E341">
        <v>2</v>
      </c>
      <c r="F341">
        <v>173.3</v>
      </c>
      <c r="G341">
        <v>100</v>
      </c>
      <c r="H341">
        <v>5.7</v>
      </c>
      <c r="I341">
        <v>7</v>
      </c>
      <c r="J341">
        <v>6.19</v>
      </c>
      <c r="K341">
        <v>6.79</v>
      </c>
      <c r="L341">
        <v>0</v>
      </c>
      <c r="M341" t="s">
        <v>34</v>
      </c>
      <c r="N341" t="s">
        <v>26</v>
      </c>
      <c r="O341">
        <v>10.84</v>
      </c>
      <c r="P341" t="s">
        <v>28</v>
      </c>
    </row>
    <row r="342" spans="1:16" x14ac:dyDescent="0.3">
      <c r="A342" t="s">
        <v>73</v>
      </c>
      <c r="B342" t="s">
        <v>27</v>
      </c>
      <c r="C342" t="s">
        <v>37</v>
      </c>
      <c r="D342" t="s">
        <v>19</v>
      </c>
      <c r="E342">
        <v>10</v>
      </c>
      <c r="F342">
        <v>153.1</v>
      </c>
      <c r="G342">
        <v>87.4</v>
      </c>
      <c r="H342">
        <v>4.5999999999999996</v>
      </c>
      <c r="I342">
        <v>8</v>
      </c>
      <c r="J342">
        <v>8.3000000000000007</v>
      </c>
      <c r="K342">
        <v>5.58</v>
      </c>
      <c r="L342">
        <v>0</v>
      </c>
      <c r="M342" t="s">
        <v>20</v>
      </c>
      <c r="N342" t="s">
        <v>21</v>
      </c>
      <c r="O342">
        <v>14.87</v>
      </c>
      <c r="P342" t="s">
        <v>30</v>
      </c>
    </row>
    <row r="343" spans="1:16" x14ac:dyDescent="0.3">
      <c r="A343" t="s">
        <v>73</v>
      </c>
      <c r="B343" t="s">
        <v>43</v>
      </c>
      <c r="C343" t="s">
        <v>18</v>
      </c>
      <c r="D343" t="s">
        <v>39</v>
      </c>
      <c r="E343">
        <v>3</v>
      </c>
      <c r="F343">
        <v>142.19999999999999</v>
      </c>
      <c r="G343">
        <v>83.8</v>
      </c>
      <c r="H343">
        <v>5.5</v>
      </c>
      <c r="I343">
        <v>7</v>
      </c>
      <c r="J343">
        <v>6.66</v>
      </c>
      <c r="K343">
        <v>8.1</v>
      </c>
      <c r="L343">
        <v>0</v>
      </c>
      <c r="M343" t="s">
        <v>20</v>
      </c>
      <c r="N343" t="s">
        <v>26</v>
      </c>
      <c r="O343">
        <v>16.100000000000001</v>
      </c>
      <c r="P343" t="s">
        <v>32</v>
      </c>
    </row>
    <row r="344" spans="1:16" x14ac:dyDescent="0.3">
      <c r="A344" t="s">
        <v>73</v>
      </c>
      <c r="B344" t="s">
        <v>33</v>
      </c>
      <c r="C344" t="s">
        <v>37</v>
      </c>
      <c r="D344" t="s">
        <v>19</v>
      </c>
      <c r="E344">
        <v>10</v>
      </c>
      <c r="F344">
        <v>176.2</v>
      </c>
      <c r="G344">
        <v>100</v>
      </c>
      <c r="H344">
        <v>10</v>
      </c>
      <c r="I344">
        <v>8</v>
      </c>
      <c r="J344">
        <v>8.74</v>
      </c>
      <c r="K344">
        <v>5.0199999999999996</v>
      </c>
      <c r="L344">
        <v>0</v>
      </c>
      <c r="M344" t="s">
        <v>25</v>
      </c>
      <c r="N344" t="s">
        <v>35</v>
      </c>
      <c r="O344">
        <v>15.49</v>
      </c>
      <c r="P344" t="s">
        <v>36</v>
      </c>
    </row>
    <row r="345" spans="1:16" x14ac:dyDescent="0.3">
      <c r="A345" t="s">
        <v>73</v>
      </c>
      <c r="B345" t="s">
        <v>27</v>
      </c>
      <c r="C345" t="s">
        <v>18</v>
      </c>
      <c r="D345" t="s">
        <v>39</v>
      </c>
      <c r="E345">
        <v>5</v>
      </c>
      <c r="F345">
        <v>148.4</v>
      </c>
      <c r="G345">
        <v>88.3</v>
      </c>
      <c r="H345">
        <v>1.9</v>
      </c>
      <c r="I345">
        <v>6</v>
      </c>
      <c r="J345">
        <v>8.49</v>
      </c>
      <c r="K345">
        <v>5.26</v>
      </c>
      <c r="L345">
        <v>0</v>
      </c>
      <c r="M345" t="s">
        <v>20</v>
      </c>
      <c r="N345" t="s">
        <v>35</v>
      </c>
      <c r="O345">
        <v>10.82</v>
      </c>
      <c r="P345" t="s">
        <v>38</v>
      </c>
    </row>
    <row r="346" spans="1:16" x14ac:dyDescent="0.3">
      <c r="A346" t="s">
        <v>73</v>
      </c>
      <c r="B346" t="s">
        <v>17</v>
      </c>
      <c r="C346" t="s">
        <v>18</v>
      </c>
      <c r="D346" t="s">
        <v>39</v>
      </c>
      <c r="E346">
        <v>9</v>
      </c>
      <c r="F346">
        <v>166.3</v>
      </c>
      <c r="G346">
        <v>100</v>
      </c>
      <c r="H346">
        <v>5</v>
      </c>
      <c r="I346">
        <v>5</v>
      </c>
      <c r="J346">
        <v>6.27</v>
      </c>
      <c r="K346">
        <v>9.1300000000000008</v>
      </c>
      <c r="L346">
        <v>1</v>
      </c>
      <c r="M346" t="s">
        <v>20</v>
      </c>
      <c r="N346" t="s">
        <v>21</v>
      </c>
      <c r="O346">
        <v>17.03</v>
      </c>
      <c r="P346" t="s">
        <v>40</v>
      </c>
    </row>
    <row r="347" spans="1:16" x14ac:dyDescent="0.3">
      <c r="A347" t="s">
        <v>73</v>
      </c>
      <c r="B347" t="s">
        <v>17</v>
      </c>
      <c r="C347" t="s">
        <v>41</v>
      </c>
      <c r="D347" t="s">
        <v>19</v>
      </c>
      <c r="E347">
        <v>4</v>
      </c>
      <c r="F347">
        <v>155.4</v>
      </c>
      <c r="G347">
        <v>98.8</v>
      </c>
      <c r="H347">
        <v>2.2000000000000002</v>
      </c>
      <c r="I347">
        <v>4</v>
      </c>
      <c r="J347">
        <v>9.08</v>
      </c>
      <c r="K347">
        <v>5.93</v>
      </c>
      <c r="L347">
        <v>0</v>
      </c>
      <c r="M347" t="s">
        <v>34</v>
      </c>
      <c r="N347" t="s">
        <v>35</v>
      </c>
      <c r="O347">
        <v>10.08</v>
      </c>
      <c r="P347" t="s">
        <v>42</v>
      </c>
    </row>
    <row r="348" spans="1:16" x14ac:dyDescent="0.3">
      <c r="A348" t="s">
        <v>73</v>
      </c>
      <c r="B348" t="s">
        <v>43</v>
      </c>
      <c r="C348" t="s">
        <v>41</v>
      </c>
      <c r="D348" t="s">
        <v>19</v>
      </c>
      <c r="E348">
        <v>10</v>
      </c>
      <c r="F348">
        <v>156.6</v>
      </c>
      <c r="G348">
        <v>94.9</v>
      </c>
      <c r="H348">
        <v>3.7</v>
      </c>
      <c r="I348">
        <v>9</v>
      </c>
      <c r="J348">
        <v>6.54</v>
      </c>
      <c r="K348">
        <v>6.68</v>
      </c>
      <c r="L348">
        <v>0</v>
      </c>
      <c r="M348" t="s">
        <v>34</v>
      </c>
      <c r="N348" t="s">
        <v>21</v>
      </c>
      <c r="O348">
        <v>20.399999999999999</v>
      </c>
      <c r="P348" t="s">
        <v>44</v>
      </c>
    </row>
    <row r="349" spans="1:16" x14ac:dyDescent="0.3">
      <c r="A349" t="s">
        <v>73</v>
      </c>
      <c r="B349" t="s">
        <v>43</v>
      </c>
      <c r="C349" t="s">
        <v>41</v>
      </c>
      <c r="D349" t="s">
        <v>19</v>
      </c>
      <c r="E349">
        <v>1</v>
      </c>
      <c r="F349">
        <v>166.9</v>
      </c>
      <c r="G349">
        <v>96.3</v>
      </c>
      <c r="H349">
        <v>6.3</v>
      </c>
      <c r="I349">
        <v>4</v>
      </c>
      <c r="J349">
        <v>7.4</v>
      </c>
      <c r="K349">
        <v>9.7200000000000006</v>
      </c>
      <c r="L349">
        <v>0</v>
      </c>
      <c r="M349" t="s">
        <v>25</v>
      </c>
      <c r="N349" t="s">
        <v>35</v>
      </c>
      <c r="O349">
        <v>11.91</v>
      </c>
      <c r="P349" t="s">
        <v>45</v>
      </c>
    </row>
    <row r="350" spans="1:16" x14ac:dyDescent="0.3">
      <c r="A350" t="s">
        <v>74</v>
      </c>
      <c r="B350" t="s">
        <v>27</v>
      </c>
      <c r="C350" t="s">
        <v>31</v>
      </c>
      <c r="D350" t="s">
        <v>19</v>
      </c>
      <c r="E350">
        <v>6</v>
      </c>
      <c r="F350">
        <v>176.9</v>
      </c>
      <c r="G350">
        <v>93.3</v>
      </c>
      <c r="I350">
        <v>3</v>
      </c>
      <c r="K350">
        <v>4.46</v>
      </c>
      <c r="L350">
        <v>0</v>
      </c>
      <c r="M350" t="s">
        <v>25</v>
      </c>
      <c r="N350" t="s">
        <v>21</v>
      </c>
      <c r="O350">
        <v>9.67</v>
      </c>
      <c r="P350" t="s">
        <v>22</v>
      </c>
    </row>
    <row r="351" spans="1:16" x14ac:dyDescent="0.3">
      <c r="A351" t="s">
        <v>74</v>
      </c>
      <c r="B351" t="s">
        <v>43</v>
      </c>
      <c r="C351" t="s">
        <v>18</v>
      </c>
      <c r="D351" t="s">
        <v>39</v>
      </c>
      <c r="E351">
        <v>7</v>
      </c>
      <c r="F351">
        <v>157.4</v>
      </c>
      <c r="G351">
        <v>88.8</v>
      </c>
      <c r="H351">
        <v>2.7</v>
      </c>
      <c r="I351">
        <v>3</v>
      </c>
      <c r="K351">
        <v>10</v>
      </c>
      <c r="L351">
        <v>0</v>
      </c>
      <c r="M351" t="s">
        <v>34</v>
      </c>
      <c r="N351" t="s">
        <v>21</v>
      </c>
      <c r="O351">
        <v>11.01</v>
      </c>
      <c r="P351" t="s">
        <v>22</v>
      </c>
    </row>
    <row r="352" spans="1:16" x14ac:dyDescent="0.3">
      <c r="A352" t="s">
        <v>74</v>
      </c>
      <c r="B352" t="s">
        <v>27</v>
      </c>
      <c r="C352" t="s">
        <v>24</v>
      </c>
      <c r="D352" t="s">
        <v>29</v>
      </c>
      <c r="E352">
        <v>10</v>
      </c>
      <c r="F352">
        <v>167.4</v>
      </c>
      <c r="G352">
        <v>91.8</v>
      </c>
      <c r="H352">
        <v>5.4</v>
      </c>
      <c r="I352">
        <v>9</v>
      </c>
      <c r="J352">
        <v>7.04</v>
      </c>
      <c r="K352">
        <v>7.74</v>
      </c>
      <c r="L352">
        <v>0</v>
      </c>
      <c r="M352" t="s">
        <v>25</v>
      </c>
      <c r="N352" t="s">
        <v>26</v>
      </c>
      <c r="O352">
        <v>17.16</v>
      </c>
      <c r="P352" t="s">
        <v>28</v>
      </c>
    </row>
    <row r="353" spans="1:16" x14ac:dyDescent="0.3">
      <c r="A353" t="s">
        <v>74</v>
      </c>
      <c r="B353" t="s">
        <v>43</v>
      </c>
      <c r="C353" t="s">
        <v>31</v>
      </c>
      <c r="D353" t="s">
        <v>19</v>
      </c>
      <c r="E353">
        <v>4</v>
      </c>
      <c r="F353">
        <v>156.30000000000001</v>
      </c>
      <c r="G353">
        <v>98.1</v>
      </c>
      <c r="H353">
        <v>2.2999999999999998</v>
      </c>
      <c r="I353">
        <v>9</v>
      </c>
      <c r="J353">
        <v>5.86</v>
      </c>
      <c r="K353">
        <v>7.2</v>
      </c>
      <c r="L353">
        <v>1</v>
      </c>
      <c r="M353" t="s">
        <v>34</v>
      </c>
      <c r="N353" t="s">
        <v>26</v>
      </c>
      <c r="O353">
        <v>11.18</v>
      </c>
      <c r="P353" t="s">
        <v>28</v>
      </c>
    </row>
    <row r="354" spans="1:16" x14ac:dyDescent="0.3">
      <c r="A354" t="s">
        <v>74</v>
      </c>
      <c r="B354" t="s">
        <v>23</v>
      </c>
      <c r="C354" t="s">
        <v>37</v>
      </c>
      <c r="D354" t="s">
        <v>39</v>
      </c>
      <c r="E354">
        <v>4</v>
      </c>
      <c r="F354">
        <v>153.1</v>
      </c>
      <c r="G354">
        <v>90.8</v>
      </c>
      <c r="H354">
        <v>5.4</v>
      </c>
      <c r="I354">
        <v>7</v>
      </c>
      <c r="J354">
        <v>7.62</v>
      </c>
      <c r="K354">
        <v>6.43</v>
      </c>
      <c r="L354">
        <v>1</v>
      </c>
      <c r="M354" t="s">
        <v>20</v>
      </c>
      <c r="N354" t="s">
        <v>35</v>
      </c>
      <c r="O354">
        <v>10.84</v>
      </c>
      <c r="P354" t="s">
        <v>30</v>
      </c>
    </row>
    <row r="355" spans="1:16" x14ac:dyDescent="0.3">
      <c r="A355" t="s">
        <v>74</v>
      </c>
      <c r="B355" t="s">
        <v>43</v>
      </c>
      <c r="C355" t="s">
        <v>37</v>
      </c>
      <c r="D355" t="s">
        <v>19</v>
      </c>
      <c r="E355">
        <v>9</v>
      </c>
      <c r="F355">
        <v>155.9</v>
      </c>
      <c r="G355">
        <v>93.8</v>
      </c>
      <c r="H355">
        <v>2.1</v>
      </c>
      <c r="I355">
        <v>4</v>
      </c>
      <c r="J355">
        <v>4.78</v>
      </c>
      <c r="K355">
        <v>9.5299999999999994</v>
      </c>
      <c r="L355">
        <v>1</v>
      </c>
      <c r="M355" t="s">
        <v>34</v>
      </c>
      <c r="N355" t="s">
        <v>21</v>
      </c>
      <c r="O355">
        <v>17.37</v>
      </c>
      <c r="P355" t="s">
        <v>32</v>
      </c>
    </row>
    <row r="356" spans="1:16" x14ac:dyDescent="0.3">
      <c r="A356" t="s">
        <v>74</v>
      </c>
      <c r="B356" t="s">
        <v>33</v>
      </c>
      <c r="C356" t="s">
        <v>18</v>
      </c>
      <c r="D356" t="s">
        <v>39</v>
      </c>
      <c r="E356">
        <v>2</v>
      </c>
      <c r="F356">
        <v>158.30000000000001</v>
      </c>
      <c r="G356">
        <v>85.3</v>
      </c>
      <c r="H356">
        <v>5.3</v>
      </c>
      <c r="I356">
        <v>7</v>
      </c>
      <c r="J356">
        <v>6.56</v>
      </c>
      <c r="K356">
        <v>8.93</v>
      </c>
      <c r="L356">
        <v>0</v>
      </c>
      <c r="M356" t="s">
        <v>25</v>
      </c>
      <c r="N356" t="s">
        <v>26</v>
      </c>
      <c r="O356">
        <v>14.7</v>
      </c>
      <c r="P356" t="s">
        <v>36</v>
      </c>
    </row>
    <row r="357" spans="1:16" x14ac:dyDescent="0.3">
      <c r="A357" t="s">
        <v>74</v>
      </c>
      <c r="B357" t="s">
        <v>43</v>
      </c>
      <c r="C357" t="s">
        <v>37</v>
      </c>
      <c r="D357" t="s">
        <v>39</v>
      </c>
      <c r="E357">
        <v>10</v>
      </c>
      <c r="F357">
        <v>150.19999999999999</v>
      </c>
      <c r="G357">
        <v>99.2</v>
      </c>
      <c r="I357">
        <v>8</v>
      </c>
      <c r="J357">
        <v>7.62</v>
      </c>
      <c r="K357">
        <v>8.8800000000000008</v>
      </c>
      <c r="L357">
        <v>0</v>
      </c>
      <c r="M357" t="s">
        <v>34</v>
      </c>
      <c r="N357" t="s">
        <v>26</v>
      </c>
      <c r="O357">
        <v>21.15</v>
      </c>
      <c r="P357" t="s">
        <v>38</v>
      </c>
    </row>
    <row r="358" spans="1:16" x14ac:dyDescent="0.3">
      <c r="A358" t="s">
        <v>74</v>
      </c>
      <c r="B358" t="s">
        <v>27</v>
      </c>
      <c r="C358" t="s">
        <v>24</v>
      </c>
      <c r="D358" t="s">
        <v>39</v>
      </c>
      <c r="E358">
        <v>8</v>
      </c>
      <c r="F358">
        <v>163.30000000000001</v>
      </c>
      <c r="G358">
        <v>95.7</v>
      </c>
      <c r="H358">
        <v>3.1</v>
      </c>
      <c r="I358">
        <v>6</v>
      </c>
      <c r="J358">
        <v>10</v>
      </c>
      <c r="K358">
        <v>6.92</v>
      </c>
      <c r="L358">
        <v>0</v>
      </c>
      <c r="M358" t="s">
        <v>25</v>
      </c>
      <c r="N358" t="s">
        <v>26</v>
      </c>
      <c r="O358">
        <v>14.85</v>
      </c>
      <c r="P358" t="s">
        <v>40</v>
      </c>
    </row>
    <row r="359" spans="1:16" x14ac:dyDescent="0.3">
      <c r="A359" t="s">
        <v>74</v>
      </c>
      <c r="B359" t="s">
        <v>23</v>
      </c>
      <c r="C359" t="s">
        <v>37</v>
      </c>
      <c r="D359" t="s">
        <v>39</v>
      </c>
      <c r="E359">
        <v>8</v>
      </c>
      <c r="F359">
        <v>166.4</v>
      </c>
      <c r="G359">
        <v>88.4</v>
      </c>
      <c r="H359">
        <v>4.4000000000000004</v>
      </c>
      <c r="I359">
        <v>7</v>
      </c>
      <c r="J359">
        <v>9.3000000000000007</v>
      </c>
      <c r="K359">
        <v>6.99</v>
      </c>
      <c r="L359">
        <v>0</v>
      </c>
      <c r="M359" t="s">
        <v>34</v>
      </c>
      <c r="N359" t="s">
        <v>26</v>
      </c>
      <c r="O359">
        <v>14.41</v>
      </c>
      <c r="P359" t="s">
        <v>42</v>
      </c>
    </row>
    <row r="360" spans="1:16" x14ac:dyDescent="0.3">
      <c r="A360" t="s">
        <v>74</v>
      </c>
      <c r="B360" t="s">
        <v>43</v>
      </c>
      <c r="C360" t="s">
        <v>24</v>
      </c>
      <c r="D360" t="s">
        <v>19</v>
      </c>
      <c r="E360">
        <v>6</v>
      </c>
      <c r="F360">
        <v>167.1</v>
      </c>
      <c r="G360">
        <v>93</v>
      </c>
      <c r="H360">
        <v>8.1999999999999993</v>
      </c>
      <c r="I360">
        <v>4</v>
      </c>
      <c r="J360">
        <v>8.52</v>
      </c>
      <c r="K360">
        <v>4.8499999999999996</v>
      </c>
      <c r="L360">
        <v>1</v>
      </c>
      <c r="M360" t="s">
        <v>34</v>
      </c>
      <c r="N360" t="s">
        <v>21</v>
      </c>
      <c r="O360">
        <v>0</v>
      </c>
      <c r="P360" t="s">
        <v>44</v>
      </c>
    </row>
    <row r="361" spans="1:16" x14ac:dyDescent="0.3">
      <c r="A361" t="s">
        <v>74</v>
      </c>
      <c r="B361" t="s">
        <v>33</v>
      </c>
      <c r="C361" t="s">
        <v>41</v>
      </c>
      <c r="D361" t="s">
        <v>39</v>
      </c>
      <c r="E361">
        <v>6</v>
      </c>
      <c r="F361">
        <v>159</v>
      </c>
      <c r="G361">
        <v>99.7</v>
      </c>
      <c r="H361">
        <v>2.4</v>
      </c>
      <c r="I361">
        <v>6</v>
      </c>
      <c r="J361">
        <v>7.24</v>
      </c>
      <c r="K361">
        <v>6.35</v>
      </c>
      <c r="L361">
        <v>1</v>
      </c>
      <c r="M361" t="s">
        <v>34</v>
      </c>
      <c r="N361" t="s">
        <v>35</v>
      </c>
      <c r="O361">
        <v>13.34</v>
      </c>
      <c r="P361" t="s">
        <v>45</v>
      </c>
    </row>
    <row r="362" spans="1:16" x14ac:dyDescent="0.3">
      <c r="A362" t="s">
        <v>75</v>
      </c>
      <c r="B362" t="s">
        <v>23</v>
      </c>
      <c r="C362" t="s">
        <v>41</v>
      </c>
      <c r="D362" t="s">
        <v>29</v>
      </c>
      <c r="E362">
        <v>7</v>
      </c>
      <c r="F362">
        <v>166.5</v>
      </c>
      <c r="G362">
        <v>86.8</v>
      </c>
      <c r="H362">
        <v>6</v>
      </c>
      <c r="I362">
        <v>7</v>
      </c>
      <c r="J362">
        <v>5.92</v>
      </c>
      <c r="K362">
        <v>9.94</v>
      </c>
      <c r="L362">
        <v>1</v>
      </c>
      <c r="M362" t="s">
        <v>34</v>
      </c>
      <c r="N362" t="s">
        <v>26</v>
      </c>
      <c r="O362">
        <v>9.91</v>
      </c>
      <c r="P362" t="s">
        <v>22</v>
      </c>
    </row>
    <row r="363" spans="1:16" x14ac:dyDescent="0.3">
      <c r="A363" t="s">
        <v>75</v>
      </c>
      <c r="B363" t="s">
        <v>43</v>
      </c>
      <c r="C363" t="s">
        <v>41</v>
      </c>
      <c r="D363" t="s">
        <v>39</v>
      </c>
      <c r="E363">
        <v>3</v>
      </c>
      <c r="F363">
        <v>155.9</v>
      </c>
      <c r="G363">
        <v>95.6</v>
      </c>
      <c r="H363">
        <v>3.4</v>
      </c>
      <c r="I363">
        <v>9</v>
      </c>
      <c r="J363">
        <v>7.09</v>
      </c>
      <c r="K363">
        <v>7.62</v>
      </c>
      <c r="L363">
        <v>1</v>
      </c>
      <c r="M363" t="s">
        <v>25</v>
      </c>
      <c r="N363" t="s">
        <v>35</v>
      </c>
      <c r="O363">
        <v>9.6300000000000008</v>
      </c>
      <c r="P363" t="s">
        <v>22</v>
      </c>
    </row>
    <row r="364" spans="1:16" x14ac:dyDescent="0.3">
      <c r="A364" t="s">
        <v>75</v>
      </c>
      <c r="B364" t="s">
        <v>33</v>
      </c>
      <c r="C364" t="s">
        <v>24</v>
      </c>
      <c r="D364" t="s">
        <v>29</v>
      </c>
      <c r="E364">
        <v>6</v>
      </c>
      <c r="F364">
        <v>166.7</v>
      </c>
      <c r="G364">
        <v>97.9</v>
      </c>
      <c r="H364">
        <v>6.2</v>
      </c>
      <c r="I364">
        <v>9</v>
      </c>
      <c r="J364">
        <v>7.31</v>
      </c>
      <c r="K364">
        <v>7.82</v>
      </c>
      <c r="L364">
        <v>0</v>
      </c>
      <c r="M364" t="s">
        <v>20</v>
      </c>
      <c r="N364" t="s">
        <v>35</v>
      </c>
      <c r="O364">
        <v>16.559999999999999</v>
      </c>
      <c r="P364" t="s">
        <v>28</v>
      </c>
    </row>
    <row r="365" spans="1:16" x14ac:dyDescent="0.3">
      <c r="A365" t="s">
        <v>75</v>
      </c>
      <c r="B365" t="s">
        <v>23</v>
      </c>
      <c r="C365" t="s">
        <v>24</v>
      </c>
      <c r="D365" t="s">
        <v>29</v>
      </c>
      <c r="E365">
        <v>5</v>
      </c>
      <c r="F365">
        <v>183.9</v>
      </c>
      <c r="G365">
        <v>100</v>
      </c>
      <c r="H365">
        <v>6.4</v>
      </c>
      <c r="I365">
        <v>4</v>
      </c>
      <c r="J365">
        <v>7.67</v>
      </c>
      <c r="K365">
        <v>5.42</v>
      </c>
      <c r="L365">
        <v>1</v>
      </c>
      <c r="M365" t="s">
        <v>25</v>
      </c>
      <c r="N365" t="s">
        <v>21</v>
      </c>
      <c r="O365">
        <v>13.65</v>
      </c>
      <c r="P365" t="s">
        <v>28</v>
      </c>
    </row>
    <row r="366" spans="1:16" x14ac:dyDescent="0.3">
      <c r="A366" t="s">
        <v>75</v>
      </c>
      <c r="B366" t="s">
        <v>33</v>
      </c>
      <c r="C366" t="s">
        <v>18</v>
      </c>
      <c r="D366" t="s">
        <v>19</v>
      </c>
      <c r="E366">
        <v>2</v>
      </c>
      <c r="F366">
        <v>152.80000000000001</v>
      </c>
      <c r="G366">
        <v>98.3</v>
      </c>
      <c r="H366">
        <v>7</v>
      </c>
      <c r="I366">
        <v>6</v>
      </c>
      <c r="J366">
        <v>6.68</v>
      </c>
      <c r="K366">
        <v>3.86</v>
      </c>
      <c r="L366">
        <v>0</v>
      </c>
      <c r="M366" t="s">
        <v>34</v>
      </c>
      <c r="N366" t="s">
        <v>26</v>
      </c>
      <c r="O366">
        <v>16.260000000000002</v>
      </c>
      <c r="P366" t="s">
        <v>30</v>
      </c>
    </row>
    <row r="367" spans="1:16" x14ac:dyDescent="0.3">
      <c r="A367" t="s">
        <v>75</v>
      </c>
      <c r="B367" t="s">
        <v>27</v>
      </c>
      <c r="C367" t="s">
        <v>18</v>
      </c>
      <c r="D367" t="s">
        <v>19</v>
      </c>
      <c r="E367">
        <v>6</v>
      </c>
      <c r="F367">
        <v>129</v>
      </c>
      <c r="G367">
        <v>95.6</v>
      </c>
      <c r="H367">
        <v>3.9</v>
      </c>
      <c r="I367">
        <v>6</v>
      </c>
      <c r="J367">
        <v>8.07</v>
      </c>
      <c r="K367">
        <v>6.53</v>
      </c>
      <c r="L367">
        <v>1</v>
      </c>
      <c r="M367" t="s">
        <v>20</v>
      </c>
      <c r="N367" t="s">
        <v>26</v>
      </c>
      <c r="O367">
        <v>11.61</v>
      </c>
      <c r="P367" t="s">
        <v>32</v>
      </c>
    </row>
    <row r="368" spans="1:16" x14ac:dyDescent="0.3">
      <c r="A368" t="s">
        <v>75</v>
      </c>
      <c r="B368" t="s">
        <v>23</v>
      </c>
      <c r="C368" t="s">
        <v>41</v>
      </c>
      <c r="D368" t="s">
        <v>39</v>
      </c>
      <c r="E368">
        <v>9</v>
      </c>
      <c r="F368">
        <v>164.4</v>
      </c>
      <c r="G368">
        <v>95.6</v>
      </c>
      <c r="H368">
        <v>5.6</v>
      </c>
      <c r="I368">
        <v>5</v>
      </c>
      <c r="J368">
        <v>8.39</v>
      </c>
      <c r="K368">
        <v>5.91</v>
      </c>
      <c r="L368">
        <v>0</v>
      </c>
      <c r="M368" t="s">
        <v>25</v>
      </c>
      <c r="N368" t="s">
        <v>21</v>
      </c>
      <c r="O368">
        <v>13.21</v>
      </c>
      <c r="P368" t="s">
        <v>36</v>
      </c>
    </row>
    <row r="369" spans="1:16" x14ac:dyDescent="0.3">
      <c r="A369" t="s">
        <v>75</v>
      </c>
      <c r="B369" t="s">
        <v>23</v>
      </c>
      <c r="C369" t="s">
        <v>41</v>
      </c>
      <c r="D369" t="s">
        <v>29</v>
      </c>
      <c r="E369">
        <v>3</v>
      </c>
      <c r="F369">
        <v>165</v>
      </c>
      <c r="G369">
        <v>90.8</v>
      </c>
      <c r="H369">
        <v>4.2</v>
      </c>
      <c r="I369">
        <v>13</v>
      </c>
      <c r="J369">
        <v>7.9</v>
      </c>
      <c r="K369">
        <v>6.8</v>
      </c>
      <c r="L369">
        <v>0</v>
      </c>
      <c r="M369" t="s">
        <v>34</v>
      </c>
      <c r="N369" t="s">
        <v>35</v>
      </c>
      <c r="O369">
        <v>3.99</v>
      </c>
      <c r="P369" t="s">
        <v>38</v>
      </c>
    </row>
    <row r="370" spans="1:16" x14ac:dyDescent="0.3">
      <c r="A370" t="s">
        <v>75</v>
      </c>
      <c r="B370" t="s">
        <v>17</v>
      </c>
      <c r="C370" t="s">
        <v>31</v>
      </c>
      <c r="D370" t="s">
        <v>39</v>
      </c>
      <c r="E370">
        <v>6</v>
      </c>
      <c r="F370">
        <v>159.30000000000001</v>
      </c>
      <c r="G370">
        <v>100</v>
      </c>
      <c r="H370">
        <v>3.5</v>
      </c>
      <c r="I370">
        <v>5</v>
      </c>
      <c r="K370">
        <v>6.9</v>
      </c>
      <c r="L370">
        <v>0</v>
      </c>
      <c r="M370" t="s">
        <v>34</v>
      </c>
      <c r="N370" t="s">
        <v>26</v>
      </c>
      <c r="O370">
        <v>13.06</v>
      </c>
      <c r="P370" t="s">
        <v>40</v>
      </c>
    </row>
    <row r="371" spans="1:16" x14ac:dyDescent="0.3">
      <c r="A371" t="s">
        <v>75</v>
      </c>
      <c r="B371" t="s">
        <v>23</v>
      </c>
      <c r="C371" t="s">
        <v>31</v>
      </c>
      <c r="D371" t="s">
        <v>19</v>
      </c>
      <c r="E371">
        <v>8</v>
      </c>
      <c r="F371">
        <v>157.6</v>
      </c>
      <c r="G371">
        <v>92.5</v>
      </c>
      <c r="H371">
        <v>2.6</v>
      </c>
      <c r="I371">
        <v>5</v>
      </c>
      <c r="J371">
        <v>9.31</v>
      </c>
      <c r="K371">
        <v>4.6500000000000004</v>
      </c>
      <c r="L371">
        <v>0</v>
      </c>
      <c r="M371" t="s">
        <v>20</v>
      </c>
      <c r="N371" t="s">
        <v>26</v>
      </c>
      <c r="O371">
        <v>16.68</v>
      </c>
      <c r="P371" t="s">
        <v>42</v>
      </c>
    </row>
    <row r="372" spans="1:16" x14ac:dyDescent="0.3">
      <c r="A372" t="s">
        <v>75</v>
      </c>
      <c r="B372" t="s">
        <v>43</v>
      </c>
      <c r="C372" t="s">
        <v>24</v>
      </c>
      <c r="D372" t="s">
        <v>19</v>
      </c>
      <c r="E372">
        <v>7</v>
      </c>
      <c r="F372">
        <v>167.6</v>
      </c>
      <c r="G372">
        <v>85.4</v>
      </c>
      <c r="H372">
        <v>6.3</v>
      </c>
      <c r="I372">
        <v>5</v>
      </c>
      <c r="K372">
        <v>8.26</v>
      </c>
      <c r="L372">
        <v>0</v>
      </c>
      <c r="M372" t="s">
        <v>25</v>
      </c>
      <c r="N372" t="s">
        <v>35</v>
      </c>
      <c r="O372">
        <v>11.31</v>
      </c>
      <c r="P372" t="s">
        <v>44</v>
      </c>
    </row>
    <row r="373" spans="1:16" x14ac:dyDescent="0.3">
      <c r="A373" t="s">
        <v>75</v>
      </c>
      <c r="B373" t="s">
        <v>43</v>
      </c>
      <c r="C373" t="s">
        <v>24</v>
      </c>
      <c r="D373" t="s">
        <v>39</v>
      </c>
      <c r="E373">
        <v>1</v>
      </c>
      <c r="F373">
        <v>144.19999999999999</v>
      </c>
      <c r="G373">
        <v>95.6</v>
      </c>
      <c r="H373">
        <v>8.1</v>
      </c>
      <c r="I373">
        <v>2</v>
      </c>
      <c r="J373">
        <v>8.34</v>
      </c>
      <c r="K373">
        <v>6.97</v>
      </c>
      <c r="L373">
        <v>0</v>
      </c>
      <c r="M373" t="s">
        <v>34</v>
      </c>
      <c r="N373" t="s">
        <v>26</v>
      </c>
      <c r="O373">
        <v>17.440000000000001</v>
      </c>
      <c r="P373" t="s">
        <v>45</v>
      </c>
    </row>
    <row r="374" spans="1:16" x14ac:dyDescent="0.3">
      <c r="A374" t="s">
        <v>76</v>
      </c>
      <c r="B374" t="s">
        <v>43</v>
      </c>
      <c r="C374" t="s">
        <v>31</v>
      </c>
      <c r="D374" t="s">
        <v>39</v>
      </c>
      <c r="E374">
        <v>8</v>
      </c>
      <c r="F374">
        <v>168.7</v>
      </c>
      <c r="G374">
        <v>89.1</v>
      </c>
      <c r="H374">
        <v>6.2</v>
      </c>
      <c r="I374">
        <v>4</v>
      </c>
      <c r="J374">
        <v>8.43</v>
      </c>
      <c r="K374">
        <v>7.5</v>
      </c>
      <c r="L374">
        <v>0</v>
      </c>
      <c r="M374" t="s">
        <v>20</v>
      </c>
      <c r="N374" t="s">
        <v>26</v>
      </c>
      <c r="O374">
        <v>21.12</v>
      </c>
      <c r="P374" t="s">
        <v>22</v>
      </c>
    </row>
    <row r="375" spans="1:16" x14ac:dyDescent="0.3">
      <c r="A375" t="s">
        <v>76</v>
      </c>
      <c r="B375" t="s">
        <v>27</v>
      </c>
      <c r="C375" t="s">
        <v>31</v>
      </c>
      <c r="D375" t="s">
        <v>29</v>
      </c>
      <c r="E375">
        <v>2</v>
      </c>
      <c r="F375">
        <v>175.1</v>
      </c>
      <c r="G375">
        <v>100</v>
      </c>
      <c r="H375">
        <v>3.7</v>
      </c>
      <c r="I375">
        <v>7</v>
      </c>
      <c r="J375">
        <v>8.01</v>
      </c>
      <c r="K375">
        <v>6.85</v>
      </c>
      <c r="L375">
        <v>2</v>
      </c>
      <c r="M375" t="s">
        <v>25</v>
      </c>
      <c r="N375" t="s">
        <v>26</v>
      </c>
      <c r="O375">
        <v>12.23</v>
      </c>
      <c r="P375" t="s">
        <v>22</v>
      </c>
    </row>
    <row r="376" spans="1:16" x14ac:dyDescent="0.3">
      <c r="A376" t="s">
        <v>76</v>
      </c>
      <c r="B376" t="s">
        <v>23</v>
      </c>
      <c r="C376" t="s">
        <v>37</v>
      </c>
      <c r="D376" t="s">
        <v>29</v>
      </c>
      <c r="E376">
        <v>3</v>
      </c>
      <c r="F376">
        <v>168.7</v>
      </c>
      <c r="G376">
        <v>99.7</v>
      </c>
      <c r="H376">
        <v>5.3</v>
      </c>
      <c r="I376">
        <v>4</v>
      </c>
      <c r="J376">
        <v>7.29</v>
      </c>
      <c r="K376">
        <v>1.85</v>
      </c>
      <c r="L376">
        <v>2</v>
      </c>
      <c r="M376" t="s">
        <v>34</v>
      </c>
      <c r="N376" t="s">
        <v>35</v>
      </c>
      <c r="O376">
        <v>11.29</v>
      </c>
      <c r="P376" t="s">
        <v>28</v>
      </c>
    </row>
    <row r="377" spans="1:16" x14ac:dyDescent="0.3">
      <c r="A377" t="s">
        <v>76</v>
      </c>
      <c r="B377" t="s">
        <v>33</v>
      </c>
      <c r="C377" t="s">
        <v>41</v>
      </c>
      <c r="D377" t="s">
        <v>29</v>
      </c>
      <c r="E377">
        <v>5</v>
      </c>
      <c r="F377">
        <v>146.6</v>
      </c>
      <c r="G377">
        <v>100</v>
      </c>
      <c r="H377">
        <v>1.5</v>
      </c>
      <c r="I377">
        <v>3</v>
      </c>
      <c r="J377">
        <v>7.02</v>
      </c>
      <c r="K377">
        <v>7.37</v>
      </c>
      <c r="L377">
        <v>0</v>
      </c>
      <c r="M377" t="s">
        <v>34</v>
      </c>
      <c r="N377" t="s">
        <v>26</v>
      </c>
      <c r="O377">
        <v>18.079999999999998</v>
      </c>
      <c r="P377" t="s">
        <v>28</v>
      </c>
    </row>
    <row r="378" spans="1:16" x14ac:dyDescent="0.3">
      <c r="A378" t="s">
        <v>76</v>
      </c>
      <c r="B378" t="s">
        <v>17</v>
      </c>
      <c r="C378" t="s">
        <v>37</v>
      </c>
      <c r="D378" t="s">
        <v>29</v>
      </c>
      <c r="E378">
        <v>7</v>
      </c>
      <c r="F378">
        <v>155.30000000000001</v>
      </c>
      <c r="G378">
        <v>100</v>
      </c>
      <c r="H378">
        <v>4.5</v>
      </c>
      <c r="I378">
        <v>2</v>
      </c>
      <c r="J378">
        <v>6.18</v>
      </c>
      <c r="K378">
        <v>6.56</v>
      </c>
      <c r="L378">
        <v>0</v>
      </c>
      <c r="M378" t="s">
        <v>25</v>
      </c>
      <c r="N378" t="s">
        <v>35</v>
      </c>
      <c r="O378">
        <v>11.24</v>
      </c>
      <c r="P378" t="s">
        <v>30</v>
      </c>
    </row>
    <row r="379" spans="1:16" x14ac:dyDescent="0.3">
      <c r="A379" t="s">
        <v>76</v>
      </c>
      <c r="B379" t="s">
        <v>43</v>
      </c>
      <c r="C379" t="s">
        <v>41</v>
      </c>
      <c r="D379" t="s">
        <v>29</v>
      </c>
      <c r="E379">
        <v>8</v>
      </c>
      <c r="F379">
        <v>172.1</v>
      </c>
      <c r="G379">
        <v>98</v>
      </c>
      <c r="H379">
        <v>5.3</v>
      </c>
      <c r="I379">
        <v>4</v>
      </c>
      <c r="J379">
        <v>8.09</v>
      </c>
      <c r="K379">
        <v>5.46</v>
      </c>
      <c r="L379">
        <v>1</v>
      </c>
      <c r="M379" t="s">
        <v>20</v>
      </c>
      <c r="N379" t="s">
        <v>21</v>
      </c>
      <c r="O379">
        <v>21.62</v>
      </c>
      <c r="P379" t="s">
        <v>32</v>
      </c>
    </row>
    <row r="380" spans="1:16" x14ac:dyDescent="0.3">
      <c r="A380" t="s">
        <v>76</v>
      </c>
      <c r="B380" t="s">
        <v>23</v>
      </c>
      <c r="C380" t="s">
        <v>31</v>
      </c>
      <c r="D380" t="s">
        <v>39</v>
      </c>
      <c r="E380">
        <v>6</v>
      </c>
      <c r="F380">
        <v>168.7</v>
      </c>
      <c r="G380">
        <v>91.2</v>
      </c>
      <c r="H380">
        <v>4.9000000000000004</v>
      </c>
      <c r="I380">
        <v>8</v>
      </c>
      <c r="J380">
        <v>8.69</v>
      </c>
      <c r="K380">
        <v>10</v>
      </c>
      <c r="L380">
        <v>0</v>
      </c>
      <c r="M380" t="s">
        <v>25</v>
      </c>
      <c r="N380" t="s">
        <v>35</v>
      </c>
      <c r="O380">
        <v>18.45</v>
      </c>
      <c r="P380" t="s">
        <v>36</v>
      </c>
    </row>
    <row r="381" spans="1:16" x14ac:dyDescent="0.3">
      <c r="A381" t="s">
        <v>76</v>
      </c>
      <c r="B381" t="s">
        <v>17</v>
      </c>
      <c r="C381" t="s">
        <v>31</v>
      </c>
      <c r="D381" t="s">
        <v>19</v>
      </c>
      <c r="E381">
        <v>5</v>
      </c>
      <c r="F381">
        <v>166.4</v>
      </c>
      <c r="G381">
        <v>99.6</v>
      </c>
      <c r="H381">
        <v>4</v>
      </c>
      <c r="I381">
        <v>5</v>
      </c>
      <c r="J381">
        <v>5.77</v>
      </c>
      <c r="K381">
        <v>8.65</v>
      </c>
      <c r="L381">
        <v>0</v>
      </c>
      <c r="M381" t="s">
        <v>20</v>
      </c>
      <c r="N381" t="s">
        <v>21</v>
      </c>
      <c r="O381">
        <v>14.57</v>
      </c>
      <c r="P381" t="s">
        <v>38</v>
      </c>
    </row>
    <row r="382" spans="1:16" x14ac:dyDescent="0.3">
      <c r="A382" t="s">
        <v>76</v>
      </c>
      <c r="B382" t="s">
        <v>43</v>
      </c>
      <c r="C382" t="s">
        <v>18</v>
      </c>
      <c r="D382" t="s">
        <v>39</v>
      </c>
      <c r="E382">
        <v>10</v>
      </c>
      <c r="F382">
        <v>149.9</v>
      </c>
      <c r="G382">
        <v>85.8</v>
      </c>
      <c r="H382">
        <v>8.1999999999999993</v>
      </c>
      <c r="I382">
        <v>5</v>
      </c>
      <c r="K382">
        <v>7.24</v>
      </c>
      <c r="L382">
        <v>1</v>
      </c>
      <c r="M382" t="s">
        <v>25</v>
      </c>
      <c r="N382" t="s">
        <v>21</v>
      </c>
      <c r="O382">
        <v>8.5299999999999994</v>
      </c>
      <c r="P382" t="s">
        <v>40</v>
      </c>
    </row>
    <row r="383" spans="1:16" x14ac:dyDescent="0.3">
      <c r="A383" t="s">
        <v>76</v>
      </c>
      <c r="B383" t="s">
        <v>33</v>
      </c>
      <c r="C383" t="s">
        <v>18</v>
      </c>
      <c r="D383" t="s">
        <v>19</v>
      </c>
      <c r="E383">
        <v>8</v>
      </c>
      <c r="F383">
        <v>157.4</v>
      </c>
      <c r="G383">
        <v>90.5</v>
      </c>
      <c r="H383">
        <v>4.9000000000000004</v>
      </c>
      <c r="I383">
        <v>4</v>
      </c>
      <c r="J383">
        <v>9.0399999999999991</v>
      </c>
      <c r="K383">
        <v>6.23</v>
      </c>
      <c r="L383">
        <v>1</v>
      </c>
      <c r="M383" t="s">
        <v>34</v>
      </c>
      <c r="N383" t="s">
        <v>35</v>
      </c>
      <c r="O383">
        <v>17.43</v>
      </c>
      <c r="P383" t="s">
        <v>42</v>
      </c>
    </row>
    <row r="384" spans="1:16" x14ac:dyDescent="0.3">
      <c r="A384" t="s">
        <v>76</v>
      </c>
      <c r="B384" t="s">
        <v>23</v>
      </c>
      <c r="C384" t="s">
        <v>24</v>
      </c>
      <c r="D384" t="s">
        <v>29</v>
      </c>
      <c r="E384">
        <v>2</v>
      </c>
      <c r="F384">
        <v>182.1</v>
      </c>
      <c r="G384">
        <v>100</v>
      </c>
      <c r="H384">
        <v>2.5</v>
      </c>
      <c r="I384">
        <v>8</v>
      </c>
      <c r="J384">
        <v>8.68</v>
      </c>
      <c r="K384">
        <v>6.61</v>
      </c>
      <c r="L384">
        <v>2</v>
      </c>
      <c r="M384" t="s">
        <v>20</v>
      </c>
      <c r="N384" t="s">
        <v>35</v>
      </c>
      <c r="O384">
        <v>19.54</v>
      </c>
      <c r="P384" t="s">
        <v>44</v>
      </c>
    </row>
    <row r="385" spans="1:16" x14ac:dyDescent="0.3">
      <c r="A385" t="s">
        <v>76</v>
      </c>
      <c r="B385" t="s">
        <v>23</v>
      </c>
      <c r="C385" t="s">
        <v>31</v>
      </c>
      <c r="D385" t="s">
        <v>39</v>
      </c>
      <c r="E385">
        <v>2</v>
      </c>
      <c r="F385">
        <v>170.6</v>
      </c>
      <c r="G385">
        <v>90.7</v>
      </c>
      <c r="H385">
        <v>7</v>
      </c>
      <c r="I385">
        <v>4</v>
      </c>
      <c r="J385">
        <v>5.68</v>
      </c>
      <c r="K385">
        <v>4.87</v>
      </c>
      <c r="L385">
        <v>0</v>
      </c>
      <c r="M385" t="s">
        <v>34</v>
      </c>
      <c r="N385" t="s">
        <v>21</v>
      </c>
      <c r="O385">
        <v>14.33</v>
      </c>
      <c r="P385" t="s">
        <v>45</v>
      </c>
    </row>
    <row r="386" spans="1:16" x14ac:dyDescent="0.3">
      <c r="A386" t="s">
        <v>77</v>
      </c>
      <c r="B386" t="s">
        <v>17</v>
      </c>
      <c r="C386" t="s">
        <v>18</v>
      </c>
      <c r="D386" t="s">
        <v>39</v>
      </c>
      <c r="E386">
        <v>5</v>
      </c>
      <c r="F386">
        <v>145.30000000000001</v>
      </c>
      <c r="G386">
        <v>88.1</v>
      </c>
      <c r="H386">
        <v>7.8</v>
      </c>
      <c r="I386">
        <v>8</v>
      </c>
      <c r="J386">
        <v>7.67</v>
      </c>
      <c r="K386">
        <v>7.17</v>
      </c>
      <c r="L386">
        <v>0</v>
      </c>
      <c r="M386" t="s">
        <v>25</v>
      </c>
      <c r="N386" t="s">
        <v>21</v>
      </c>
      <c r="O386">
        <v>11.99</v>
      </c>
      <c r="P386" t="s">
        <v>22</v>
      </c>
    </row>
    <row r="387" spans="1:16" x14ac:dyDescent="0.3">
      <c r="A387" t="s">
        <v>77</v>
      </c>
      <c r="B387" t="s">
        <v>27</v>
      </c>
      <c r="C387" t="s">
        <v>41</v>
      </c>
      <c r="D387" t="s">
        <v>19</v>
      </c>
      <c r="E387">
        <v>1</v>
      </c>
      <c r="F387">
        <v>158.69999999999999</v>
      </c>
      <c r="G387">
        <v>91.2</v>
      </c>
      <c r="H387">
        <v>8.8000000000000007</v>
      </c>
      <c r="I387">
        <v>7</v>
      </c>
      <c r="J387">
        <v>6.51</v>
      </c>
      <c r="K387">
        <v>9.93</v>
      </c>
      <c r="L387">
        <v>1</v>
      </c>
      <c r="M387" t="s">
        <v>20</v>
      </c>
      <c r="N387" t="s">
        <v>21</v>
      </c>
      <c r="O387">
        <v>11.53</v>
      </c>
      <c r="P387" t="s">
        <v>22</v>
      </c>
    </row>
    <row r="388" spans="1:16" x14ac:dyDescent="0.3">
      <c r="A388" t="s">
        <v>77</v>
      </c>
      <c r="B388" t="s">
        <v>33</v>
      </c>
      <c r="C388" t="s">
        <v>24</v>
      </c>
      <c r="D388" t="s">
        <v>39</v>
      </c>
      <c r="E388">
        <v>8</v>
      </c>
      <c r="F388">
        <v>163.1</v>
      </c>
      <c r="G388">
        <v>91.5</v>
      </c>
      <c r="H388">
        <v>7.3</v>
      </c>
      <c r="I388">
        <v>7</v>
      </c>
      <c r="J388">
        <v>8.27</v>
      </c>
      <c r="K388">
        <v>7.83</v>
      </c>
      <c r="L388">
        <v>0</v>
      </c>
      <c r="M388" t="s">
        <v>25</v>
      </c>
      <c r="N388" t="s">
        <v>21</v>
      </c>
      <c r="O388">
        <v>11.45</v>
      </c>
      <c r="P388" t="s">
        <v>28</v>
      </c>
    </row>
    <row r="389" spans="1:16" x14ac:dyDescent="0.3">
      <c r="A389" t="s">
        <v>77</v>
      </c>
      <c r="B389" t="s">
        <v>23</v>
      </c>
      <c r="C389" t="s">
        <v>31</v>
      </c>
      <c r="D389" t="s">
        <v>19</v>
      </c>
      <c r="E389">
        <v>10</v>
      </c>
      <c r="F389">
        <v>139</v>
      </c>
      <c r="G389">
        <v>100</v>
      </c>
      <c r="H389">
        <v>5.3</v>
      </c>
      <c r="I389">
        <v>4</v>
      </c>
      <c r="J389">
        <v>8.1</v>
      </c>
      <c r="K389">
        <v>3.35</v>
      </c>
      <c r="L389">
        <v>0</v>
      </c>
      <c r="M389" t="s">
        <v>34</v>
      </c>
      <c r="N389" t="s">
        <v>35</v>
      </c>
      <c r="O389">
        <v>18.78</v>
      </c>
      <c r="P389" t="s">
        <v>28</v>
      </c>
    </row>
    <row r="390" spans="1:16" x14ac:dyDescent="0.3">
      <c r="A390" t="s">
        <v>77</v>
      </c>
      <c r="B390" t="s">
        <v>17</v>
      </c>
      <c r="C390" t="s">
        <v>18</v>
      </c>
      <c r="D390" t="s">
        <v>39</v>
      </c>
      <c r="E390">
        <v>1</v>
      </c>
      <c r="F390">
        <v>164.9</v>
      </c>
      <c r="G390">
        <v>99.9</v>
      </c>
      <c r="H390">
        <v>6</v>
      </c>
      <c r="I390">
        <v>7</v>
      </c>
      <c r="J390">
        <v>7.22</v>
      </c>
      <c r="K390">
        <v>6.06</v>
      </c>
      <c r="L390">
        <v>0</v>
      </c>
      <c r="M390" t="s">
        <v>34</v>
      </c>
      <c r="N390" t="s">
        <v>26</v>
      </c>
      <c r="O390">
        <v>14.19</v>
      </c>
      <c r="P390" t="s">
        <v>30</v>
      </c>
    </row>
    <row r="391" spans="1:16" x14ac:dyDescent="0.3">
      <c r="A391" t="s">
        <v>77</v>
      </c>
      <c r="B391" t="s">
        <v>17</v>
      </c>
      <c r="C391" t="s">
        <v>41</v>
      </c>
      <c r="D391" t="s">
        <v>19</v>
      </c>
      <c r="E391">
        <v>7</v>
      </c>
      <c r="F391">
        <v>160.6</v>
      </c>
      <c r="G391">
        <v>100</v>
      </c>
      <c r="H391">
        <v>4.5</v>
      </c>
      <c r="I391">
        <v>9</v>
      </c>
      <c r="J391">
        <v>9.31</v>
      </c>
      <c r="K391">
        <v>9.82</v>
      </c>
      <c r="L391">
        <v>0</v>
      </c>
      <c r="M391" t="s">
        <v>25</v>
      </c>
      <c r="N391" t="s">
        <v>26</v>
      </c>
      <c r="O391">
        <v>16.63</v>
      </c>
      <c r="P391" t="s">
        <v>32</v>
      </c>
    </row>
    <row r="392" spans="1:16" x14ac:dyDescent="0.3">
      <c r="A392" t="s">
        <v>77</v>
      </c>
      <c r="B392" t="s">
        <v>23</v>
      </c>
      <c r="C392" t="s">
        <v>37</v>
      </c>
      <c r="D392" t="s">
        <v>39</v>
      </c>
      <c r="E392">
        <v>1</v>
      </c>
      <c r="F392">
        <v>163</v>
      </c>
      <c r="G392">
        <v>100</v>
      </c>
      <c r="H392">
        <v>4.9000000000000004</v>
      </c>
      <c r="I392">
        <v>4</v>
      </c>
      <c r="J392">
        <v>6.97</v>
      </c>
      <c r="K392">
        <v>6.24</v>
      </c>
      <c r="L392">
        <v>1</v>
      </c>
      <c r="M392" t="s">
        <v>25</v>
      </c>
      <c r="N392" t="s">
        <v>26</v>
      </c>
      <c r="O392">
        <v>9.58</v>
      </c>
      <c r="P392" t="s">
        <v>36</v>
      </c>
    </row>
    <row r="393" spans="1:16" x14ac:dyDescent="0.3">
      <c r="A393" t="s">
        <v>77</v>
      </c>
      <c r="B393" t="s">
        <v>33</v>
      </c>
      <c r="C393" t="s">
        <v>24</v>
      </c>
      <c r="D393" t="s">
        <v>19</v>
      </c>
      <c r="E393">
        <v>9</v>
      </c>
      <c r="F393">
        <v>168.3</v>
      </c>
      <c r="G393">
        <v>98.3</v>
      </c>
      <c r="H393">
        <v>6.1</v>
      </c>
      <c r="I393">
        <v>4</v>
      </c>
      <c r="J393">
        <v>7.01</v>
      </c>
      <c r="K393">
        <v>9.61</v>
      </c>
      <c r="L393">
        <v>0</v>
      </c>
      <c r="M393" t="s">
        <v>20</v>
      </c>
      <c r="N393" t="s">
        <v>21</v>
      </c>
      <c r="O393">
        <v>11.6</v>
      </c>
      <c r="P393" t="s">
        <v>38</v>
      </c>
    </row>
    <row r="394" spans="1:16" x14ac:dyDescent="0.3">
      <c r="A394" t="s">
        <v>77</v>
      </c>
      <c r="B394" t="s">
        <v>17</v>
      </c>
      <c r="C394" t="s">
        <v>41</v>
      </c>
      <c r="D394" t="s">
        <v>39</v>
      </c>
      <c r="E394">
        <v>4</v>
      </c>
      <c r="F394">
        <v>162</v>
      </c>
      <c r="G394">
        <v>95.5</v>
      </c>
      <c r="H394">
        <v>5.0999999999999996</v>
      </c>
      <c r="I394">
        <v>5</v>
      </c>
      <c r="J394">
        <v>9.06</v>
      </c>
      <c r="K394">
        <v>8.91</v>
      </c>
      <c r="L394">
        <v>2</v>
      </c>
      <c r="M394" t="s">
        <v>25</v>
      </c>
      <c r="N394" t="s">
        <v>26</v>
      </c>
      <c r="O394">
        <v>25.58</v>
      </c>
      <c r="P394" t="s">
        <v>40</v>
      </c>
    </row>
    <row r="395" spans="1:16" x14ac:dyDescent="0.3">
      <c r="A395" t="s">
        <v>77</v>
      </c>
      <c r="B395" t="s">
        <v>27</v>
      </c>
      <c r="C395" t="s">
        <v>41</v>
      </c>
      <c r="D395" t="s">
        <v>19</v>
      </c>
      <c r="E395">
        <v>8</v>
      </c>
      <c r="F395">
        <v>142.9</v>
      </c>
      <c r="G395">
        <v>92.2</v>
      </c>
      <c r="H395">
        <v>3.9</v>
      </c>
      <c r="I395">
        <v>2</v>
      </c>
      <c r="J395">
        <v>7.69</v>
      </c>
      <c r="K395">
        <v>5.72</v>
      </c>
      <c r="L395">
        <v>1</v>
      </c>
      <c r="M395" t="s">
        <v>34</v>
      </c>
      <c r="N395" t="s">
        <v>21</v>
      </c>
      <c r="O395">
        <v>13.16</v>
      </c>
      <c r="P395" t="s">
        <v>42</v>
      </c>
    </row>
    <row r="396" spans="1:16" x14ac:dyDescent="0.3">
      <c r="A396" t="s">
        <v>77</v>
      </c>
      <c r="B396" t="s">
        <v>43</v>
      </c>
      <c r="C396" t="s">
        <v>31</v>
      </c>
      <c r="D396" t="s">
        <v>29</v>
      </c>
      <c r="E396">
        <v>6</v>
      </c>
      <c r="F396">
        <v>167</v>
      </c>
      <c r="G396">
        <v>96.8</v>
      </c>
      <c r="H396">
        <v>5</v>
      </c>
      <c r="I396">
        <v>9</v>
      </c>
      <c r="J396">
        <v>8.49</v>
      </c>
      <c r="K396">
        <v>9.5</v>
      </c>
      <c r="L396">
        <v>0</v>
      </c>
      <c r="M396" t="s">
        <v>34</v>
      </c>
      <c r="N396" t="s">
        <v>35</v>
      </c>
      <c r="O396">
        <v>18.670000000000002</v>
      </c>
      <c r="P396" t="s">
        <v>44</v>
      </c>
    </row>
    <row r="397" spans="1:16" x14ac:dyDescent="0.3">
      <c r="A397" t="s">
        <v>77</v>
      </c>
      <c r="B397" t="s">
        <v>33</v>
      </c>
      <c r="C397" t="s">
        <v>37</v>
      </c>
      <c r="D397" t="s">
        <v>19</v>
      </c>
      <c r="E397">
        <v>8</v>
      </c>
      <c r="F397">
        <v>149.30000000000001</v>
      </c>
      <c r="G397">
        <v>95.4</v>
      </c>
      <c r="H397">
        <v>4</v>
      </c>
      <c r="I397">
        <v>2</v>
      </c>
      <c r="J397">
        <v>10</v>
      </c>
      <c r="K397">
        <v>8.2899999999999991</v>
      </c>
      <c r="L397">
        <v>0</v>
      </c>
      <c r="M397" t="s">
        <v>25</v>
      </c>
      <c r="N397" t="s">
        <v>35</v>
      </c>
      <c r="O397">
        <v>13.43</v>
      </c>
      <c r="P397" t="s">
        <v>45</v>
      </c>
    </row>
    <row r="398" spans="1:16" x14ac:dyDescent="0.3">
      <c r="A398" t="s">
        <v>78</v>
      </c>
      <c r="B398" t="s">
        <v>17</v>
      </c>
      <c r="C398" t="s">
        <v>37</v>
      </c>
      <c r="D398" t="s">
        <v>29</v>
      </c>
      <c r="E398">
        <v>7</v>
      </c>
      <c r="F398">
        <v>154.9</v>
      </c>
      <c r="G398">
        <v>91.1</v>
      </c>
      <c r="H398">
        <v>5.3</v>
      </c>
      <c r="I398">
        <v>5</v>
      </c>
      <c r="J398">
        <v>6.96</v>
      </c>
      <c r="K398">
        <v>8.1</v>
      </c>
      <c r="L398">
        <v>0</v>
      </c>
      <c r="M398" t="s">
        <v>34</v>
      </c>
      <c r="N398" t="s">
        <v>26</v>
      </c>
      <c r="O398">
        <v>13.4</v>
      </c>
      <c r="P398" t="s">
        <v>22</v>
      </c>
    </row>
    <row r="399" spans="1:16" x14ac:dyDescent="0.3">
      <c r="A399" t="s">
        <v>78</v>
      </c>
      <c r="B399" t="s">
        <v>17</v>
      </c>
      <c r="C399" t="s">
        <v>41</v>
      </c>
      <c r="D399" t="s">
        <v>19</v>
      </c>
      <c r="E399">
        <v>7</v>
      </c>
      <c r="F399">
        <v>157.30000000000001</v>
      </c>
      <c r="G399">
        <v>94.9</v>
      </c>
      <c r="I399">
        <v>7</v>
      </c>
      <c r="J399">
        <v>7.65</v>
      </c>
      <c r="K399">
        <v>7.96</v>
      </c>
      <c r="L399">
        <v>2</v>
      </c>
      <c r="M399" t="s">
        <v>20</v>
      </c>
      <c r="N399" t="s">
        <v>21</v>
      </c>
      <c r="O399">
        <v>17.760000000000002</v>
      </c>
      <c r="P399" t="s">
        <v>22</v>
      </c>
    </row>
    <row r="400" spans="1:16" x14ac:dyDescent="0.3">
      <c r="A400" t="s">
        <v>78</v>
      </c>
      <c r="B400" t="s">
        <v>17</v>
      </c>
      <c r="C400" t="s">
        <v>37</v>
      </c>
      <c r="D400" t="s">
        <v>19</v>
      </c>
      <c r="E400">
        <v>2</v>
      </c>
      <c r="F400">
        <v>153.1</v>
      </c>
      <c r="G400">
        <v>91.7</v>
      </c>
      <c r="H400">
        <v>3.9</v>
      </c>
      <c r="I400">
        <v>2</v>
      </c>
      <c r="J400">
        <v>8.3000000000000007</v>
      </c>
      <c r="K400">
        <v>6.15</v>
      </c>
      <c r="L400">
        <v>1</v>
      </c>
      <c r="M400" t="s">
        <v>20</v>
      </c>
      <c r="N400" t="s">
        <v>26</v>
      </c>
      <c r="O400">
        <v>17.510000000000002</v>
      </c>
      <c r="P400" t="s">
        <v>28</v>
      </c>
    </row>
    <row r="401" spans="1:16" x14ac:dyDescent="0.3">
      <c r="A401" t="s">
        <v>78</v>
      </c>
      <c r="B401" t="s">
        <v>23</v>
      </c>
      <c r="C401" t="s">
        <v>31</v>
      </c>
      <c r="D401" t="s">
        <v>19</v>
      </c>
      <c r="E401">
        <v>2</v>
      </c>
      <c r="F401">
        <v>155.80000000000001</v>
      </c>
      <c r="G401">
        <v>93.5</v>
      </c>
      <c r="H401">
        <v>2.8</v>
      </c>
      <c r="I401">
        <v>8</v>
      </c>
      <c r="J401">
        <v>6.48</v>
      </c>
      <c r="K401">
        <v>7.81</v>
      </c>
      <c r="L401">
        <v>1</v>
      </c>
      <c r="M401" t="s">
        <v>20</v>
      </c>
      <c r="N401" t="s">
        <v>26</v>
      </c>
      <c r="O401">
        <v>13.56</v>
      </c>
      <c r="P401" t="s">
        <v>28</v>
      </c>
    </row>
    <row r="402" spans="1:16" x14ac:dyDescent="0.3">
      <c r="A402" t="s">
        <v>78</v>
      </c>
      <c r="B402" t="s">
        <v>23</v>
      </c>
      <c r="C402" t="s">
        <v>24</v>
      </c>
      <c r="D402" t="s">
        <v>29</v>
      </c>
      <c r="E402">
        <v>1</v>
      </c>
      <c r="F402">
        <v>148.30000000000001</v>
      </c>
      <c r="G402">
        <v>95</v>
      </c>
      <c r="H402">
        <v>1.1000000000000001</v>
      </c>
      <c r="I402">
        <v>3</v>
      </c>
      <c r="J402">
        <v>6.49</v>
      </c>
      <c r="K402">
        <v>5.24</v>
      </c>
      <c r="L402">
        <v>0</v>
      </c>
      <c r="M402" t="s">
        <v>34</v>
      </c>
      <c r="N402" t="s">
        <v>35</v>
      </c>
      <c r="O402">
        <v>19.05</v>
      </c>
      <c r="P402" t="s">
        <v>30</v>
      </c>
    </row>
    <row r="403" spans="1:16" x14ac:dyDescent="0.3">
      <c r="A403" t="s">
        <v>78</v>
      </c>
      <c r="B403" t="s">
        <v>17</v>
      </c>
      <c r="C403" t="s">
        <v>37</v>
      </c>
      <c r="D403" t="s">
        <v>29</v>
      </c>
      <c r="E403">
        <v>4</v>
      </c>
      <c r="F403">
        <v>150.1</v>
      </c>
      <c r="G403">
        <v>92.2</v>
      </c>
      <c r="H403">
        <v>2.7</v>
      </c>
      <c r="I403">
        <v>6</v>
      </c>
      <c r="J403">
        <v>7.88</v>
      </c>
      <c r="K403">
        <v>7.44</v>
      </c>
      <c r="L403">
        <v>1</v>
      </c>
      <c r="M403" t="s">
        <v>25</v>
      </c>
      <c r="N403" t="s">
        <v>21</v>
      </c>
      <c r="O403">
        <v>10.96</v>
      </c>
      <c r="P403" t="s">
        <v>32</v>
      </c>
    </row>
    <row r="404" spans="1:16" x14ac:dyDescent="0.3">
      <c r="A404" t="s">
        <v>78</v>
      </c>
      <c r="B404" t="s">
        <v>17</v>
      </c>
      <c r="C404" t="s">
        <v>37</v>
      </c>
      <c r="D404" t="s">
        <v>39</v>
      </c>
      <c r="E404">
        <v>4</v>
      </c>
      <c r="F404">
        <v>166.7</v>
      </c>
      <c r="G404">
        <v>94</v>
      </c>
      <c r="H404">
        <v>9.1999999999999993</v>
      </c>
      <c r="I404">
        <v>8</v>
      </c>
      <c r="J404">
        <v>7.56</v>
      </c>
      <c r="K404">
        <v>8.1</v>
      </c>
      <c r="L404">
        <v>0</v>
      </c>
      <c r="M404" t="s">
        <v>34</v>
      </c>
      <c r="N404" t="s">
        <v>35</v>
      </c>
      <c r="O404">
        <v>9.93</v>
      </c>
      <c r="P404" t="s">
        <v>36</v>
      </c>
    </row>
    <row r="405" spans="1:16" x14ac:dyDescent="0.3">
      <c r="A405" t="s">
        <v>78</v>
      </c>
      <c r="B405" t="s">
        <v>27</v>
      </c>
      <c r="C405" t="s">
        <v>31</v>
      </c>
      <c r="D405" t="s">
        <v>39</v>
      </c>
      <c r="E405">
        <v>1</v>
      </c>
      <c r="F405">
        <v>151.5</v>
      </c>
      <c r="G405">
        <v>99.6</v>
      </c>
      <c r="I405">
        <v>8</v>
      </c>
      <c r="J405">
        <v>6.73</v>
      </c>
      <c r="K405">
        <v>8.4499999999999993</v>
      </c>
      <c r="L405">
        <v>0</v>
      </c>
      <c r="M405" t="s">
        <v>25</v>
      </c>
      <c r="N405" t="s">
        <v>26</v>
      </c>
      <c r="O405">
        <v>14.63</v>
      </c>
      <c r="P405" t="s">
        <v>38</v>
      </c>
    </row>
    <row r="406" spans="1:16" x14ac:dyDescent="0.3">
      <c r="A406" t="s">
        <v>78</v>
      </c>
      <c r="B406" t="s">
        <v>23</v>
      </c>
      <c r="C406" t="s">
        <v>37</v>
      </c>
      <c r="D406" t="s">
        <v>39</v>
      </c>
      <c r="E406">
        <v>7</v>
      </c>
      <c r="F406">
        <v>162</v>
      </c>
      <c r="G406">
        <v>91.1</v>
      </c>
      <c r="H406">
        <v>5.3</v>
      </c>
      <c r="I406">
        <v>7</v>
      </c>
      <c r="J406">
        <v>6.87</v>
      </c>
      <c r="K406">
        <v>8.4</v>
      </c>
      <c r="L406">
        <v>2</v>
      </c>
      <c r="M406" t="s">
        <v>25</v>
      </c>
      <c r="N406" t="s">
        <v>26</v>
      </c>
      <c r="O406">
        <v>17.350000000000001</v>
      </c>
      <c r="P406" t="s">
        <v>40</v>
      </c>
    </row>
    <row r="407" spans="1:16" x14ac:dyDescent="0.3">
      <c r="A407" t="s">
        <v>78</v>
      </c>
      <c r="B407" t="s">
        <v>33</v>
      </c>
      <c r="C407" t="s">
        <v>37</v>
      </c>
      <c r="D407" t="s">
        <v>29</v>
      </c>
      <c r="E407">
        <v>10</v>
      </c>
      <c r="F407">
        <v>166</v>
      </c>
      <c r="G407">
        <v>99.8</v>
      </c>
      <c r="I407">
        <v>7</v>
      </c>
      <c r="J407">
        <v>8.26</v>
      </c>
      <c r="K407">
        <v>6.8</v>
      </c>
      <c r="L407">
        <v>1</v>
      </c>
      <c r="M407" t="s">
        <v>20</v>
      </c>
      <c r="N407" t="s">
        <v>35</v>
      </c>
      <c r="O407">
        <v>10.79</v>
      </c>
      <c r="P407" t="s">
        <v>42</v>
      </c>
    </row>
    <row r="408" spans="1:16" x14ac:dyDescent="0.3">
      <c r="A408" t="s">
        <v>78</v>
      </c>
      <c r="B408" t="s">
        <v>43</v>
      </c>
      <c r="C408" t="s">
        <v>31</v>
      </c>
      <c r="D408" t="s">
        <v>39</v>
      </c>
      <c r="E408">
        <v>3</v>
      </c>
      <c r="F408">
        <v>176</v>
      </c>
      <c r="G408">
        <v>99.1</v>
      </c>
      <c r="H408">
        <v>5</v>
      </c>
      <c r="I408">
        <v>6</v>
      </c>
      <c r="J408">
        <v>6.16</v>
      </c>
      <c r="K408">
        <v>4.03</v>
      </c>
      <c r="L408">
        <v>0</v>
      </c>
      <c r="M408" t="s">
        <v>20</v>
      </c>
      <c r="N408" t="s">
        <v>21</v>
      </c>
      <c r="O408">
        <v>3.74</v>
      </c>
      <c r="P408" t="s">
        <v>44</v>
      </c>
    </row>
    <row r="409" spans="1:16" x14ac:dyDescent="0.3">
      <c r="A409" t="s">
        <v>78</v>
      </c>
      <c r="B409" t="s">
        <v>43</v>
      </c>
      <c r="C409" t="s">
        <v>31</v>
      </c>
      <c r="D409" t="s">
        <v>39</v>
      </c>
      <c r="E409">
        <v>10</v>
      </c>
      <c r="F409">
        <v>164.4</v>
      </c>
      <c r="G409">
        <v>100</v>
      </c>
      <c r="H409">
        <v>7.3</v>
      </c>
      <c r="I409">
        <v>6</v>
      </c>
      <c r="J409">
        <v>6.72</v>
      </c>
      <c r="K409">
        <v>8.76</v>
      </c>
      <c r="L409">
        <v>1</v>
      </c>
      <c r="M409" t="s">
        <v>34</v>
      </c>
      <c r="N409" t="s">
        <v>35</v>
      </c>
      <c r="O409">
        <v>8.11</v>
      </c>
      <c r="P409" t="s">
        <v>45</v>
      </c>
    </row>
    <row r="410" spans="1:16" x14ac:dyDescent="0.3">
      <c r="A410" t="s">
        <v>79</v>
      </c>
      <c r="B410" t="s">
        <v>17</v>
      </c>
      <c r="C410" t="s">
        <v>31</v>
      </c>
      <c r="D410" t="s">
        <v>29</v>
      </c>
      <c r="E410">
        <v>8</v>
      </c>
      <c r="F410">
        <v>162.6</v>
      </c>
      <c r="G410">
        <v>100</v>
      </c>
      <c r="H410">
        <v>6</v>
      </c>
      <c r="I410">
        <v>5</v>
      </c>
      <c r="J410">
        <v>10</v>
      </c>
      <c r="K410">
        <v>10</v>
      </c>
      <c r="L410">
        <v>0</v>
      </c>
      <c r="M410" t="s">
        <v>20</v>
      </c>
      <c r="N410" t="s">
        <v>26</v>
      </c>
      <c r="O410">
        <v>23.17</v>
      </c>
      <c r="P410" t="s">
        <v>22</v>
      </c>
    </row>
    <row r="411" spans="1:16" x14ac:dyDescent="0.3">
      <c r="A411" t="s">
        <v>79</v>
      </c>
      <c r="B411" t="s">
        <v>23</v>
      </c>
      <c r="C411" t="s">
        <v>41</v>
      </c>
      <c r="D411" t="s">
        <v>39</v>
      </c>
      <c r="E411">
        <v>10</v>
      </c>
      <c r="F411">
        <v>166.1</v>
      </c>
      <c r="G411">
        <v>84.6</v>
      </c>
      <c r="H411">
        <v>6.4</v>
      </c>
      <c r="I411">
        <v>10</v>
      </c>
      <c r="J411">
        <v>5.88</v>
      </c>
      <c r="K411">
        <v>9.65</v>
      </c>
      <c r="L411">
        <v>1</v>
      </c>
      <c r="M411" t="s">
        <v>20</v>
      </c>
      <c r="N411" t="s">
        <v>21</v>
      </c>
      <c r="O411">
        <v>13.08</v>
      </c>
      <c r="P411" t="s">
        <v>22</v>
      </c>
    </row>
    <row r="412" spans="1:16" x14ac:dyDescent="0.3">
      <c r="A412" t="s">
        <v>79</v>
      </c>
      <c r="B412" t="s">
        <v>17</v>
      </c>
      <c r="C412" t="s">
        <v>37</v>
      </c>
      <c r="D412" t="s">
        <v>19</v>
      </c>
      <c r="E412">
        <v>5</v>
      </c>
      <c r="F412">
        <v>152.1</v>
      </c>
      <c r="G412">
        <v>91.3</v>
      </c>
      <c r="H412">
        <v>5</v>
      </c>
      <c r="I412">
        <v>3</v>
      </c>
      <c r="J412">
        <v>4.3</v>
      </c>
      <c r="K412">
        <v>7.95</v>
      </c>
      <c r="L412">
        <v>0</v>
      </c>
      <c r="M412" t="s">
        <v>20</v>
      </c>
      <c r="N412" t="s">
        <v>35</v>
      </c>
      <c r="O412">
        <v>8.31</v>
      </c>
      <c r="P412" t="s">
        <v>28</v>
      </c>
    </row>
    <row r="413" spans="1:16" x14ac:dyDescent="0.3">
      <c r="A413" t="s">
        <v>79</v>
      </c>
      <c r="B413" t="s">
        <v>43</v>
      </c>
      <c r="C413" t="s">
        <v>41</v>
      </c>
      <c r="D413" t="s">
        <v>19</v>
      </c>
      <c r="E413">
        <v>5</v>
      </c>
      <c r="F413">
        <v>169.3</v>
      </c>
      <c r="G413">
        <v>96.1</v>
      </c>
      <c r="H413">
        <v>5.6</v>
      </c>
      <c r="I413">
        <v>3</v>
      </c>
      <c r="J413">
        <v>8.23</v>
      </c>
      <c r="K413">
        <v>9.26</v>
      </c>
      <c r="L413">
        <v>0</v>
      </c>
      <c r="M413" t="s">
        <v>20</v>
      </c>
      <c r="N413" t="s">
        <v>21</v>
      </c>
      <c r="O413">
        <v>14.43</v>
      </c>
      <c r="P413" t="s">
        <v>28</v>
      </c>
    </row>
    <row r="414" spans="1:16" x14ac:dyDescent="0.3">
      <c r="A414" t="s">
        <v>79</v>
      </c>
      <c r="B414" t="s">
        <v>43</v>
      </c>
      <c r="C414" t="s">
        <v>37</v>
      </c>
      <c r="D414" t="s">
        <v>39</v>
      </c>
      <c r="E414">
        <v>2</v>
      </c>
      <c r="F414">
        <v>159.69999999999999</v>
      </c>
      <c r="G414">
        <v>94.1</v>
      </c>
      <c r="H414">
        <v>5.9</v>
      </c>
      <c r="I414">
        <v>8</v>
      </c>
      <c r="J414">
        <v>6.1</v>
      </c>
      <c r="K414">
        <v>8.1</v>
      </c>
      <c r="L414">
        <v>0</v>
      </c>
      <c r="M414" t="s">
        <v>25</v>
      </c>
      <c r="N414" t="s">
        <v>26</v>
      </c>
      <c r="O414">
        <v>15.55</v>
      </c>
      <c r="P414" t="s">
        <v>30</v>
      </c>
    </row>
    <row r="415" spans="1:16" x14ac:dyDescent="0.3">
      <c r="A415" t="s">
        <v>79</v>
      </c>
      <c r="B415" t="s">
        <v>33</v>
      </c>
      <c r="C415" t="s">
        <v>41</v>
      </c>
      <c r="D415" t="s">
        <v>39</v>
      </c>
      <c r="E415">
        <v>3</v>
      </c>
      <c r="F415">
        <v>143.9</v>
      </c>
      <c r="G415">
        <v>91.5</v>
      </c>
      <c r="H415">
        <v>1.4</v>
      </c>
      <c r="I415">
        <v>1</v>
      </c>
      <c r="J415">
        <v>8.31</v>
      </c>
      <c r="K415">
        <v>9.4499999999999993</v>
      </c>
      <c r="L415">
        <v>0</v>
      </c>
      <c r="M415" t="s">
        <v>20</v>
      </c>
      <c r="N415" t="s">
        <v>26</v>
      </c>
      <c r="O415">
        <v>11.38</v>
      </c>
      <c r="P415" t="s">
        <v>32</v>
      </c>
    </row>
    <row r="416" spans="1:16" x14ac:dyDescent="0.3">
      <c r="A416" t="s">
        <v>79</v>
      </c>
      <c r="B416" t="s">
        <v>17</v>
      </c>
      <c r="C416" t="s">
        <v>18</v>
      </c>
      <c r="D416" t="s">
        <v>19</v>
      </c>
      <c r="E416">
        <v>9</v>
      </c>
      <c r="F416">
        <v>149.9</v>
      </c>
      <c r="G416">
        <v>90.1</v>
      </c>
      <c r="H416">
        <v>4.4000000000000004</v>
      </c>
      <c r="I416">
        <v>7</v>
      </c>
      <c r="J416">
        <v>7.05</v>
      </c>
      <c r="K416">
        <v>7.67</v>
      </c>
      <c r="L416">
        <v>0</v>
      </c>
      <c r="M416" t="s">
        <v>34</v>
      </c>
      <c r="N416" t="s">
        <v>35</v>
      </c>
      <c r="O416">
        <v>18.09</v>
      </c>
      <c r="P416" t="s">
        <v>36</v>
      </c>
    </row>
    <row r="417" spans="1:16" x14ac:dyDescent="0.3">
      <c r="A417" t="s">
        <v>79</v>
      </c>
      <c r="B417" t="s">
        <v>33</v>
      </c>
      <c r="C417" t="s">
        <v>41</v>
      </c>
      <c r="D417" t="s">
        <v>19</v>
      </c>
      <c r="E417">
        <v>3</v>
      </c>
      <c r="F417">
        <v>170</v>
      </c>
      <c r="G417">
        <v>90.5</v>
      </c>
      <c r="H417">
        <v>5.5</v>
      </c>
      <c r="I417">
        <v>4</v>
      </c>
      <c r="J417">
        <v>7.46</v>
      </c>
      <c r="K417">
        <v>8.23</v>
      </c>
      <c r="L417">
        <v>1</v>
      </c>
      <c r="M417" t="s">
        <v>34</v>
      </c>
      <c r="N417" t="s">
        <v>21</v>
      </c>
      <c r="O417">
        <v>14.78</v>
      </c>
      <c r="P417" t="s">
        <v>38</v>
      </c>
    </row>
    <row r="418" spans="1:16" x14ac:dyDescent="0.3">
      <c r="A418" t="s">
        <v>79</v>
      </c>
      <c r="B418" t="s">
        <v>17</v>
      </c>
      <c r="C418" t="s">
        <v>24</v>
      </c>
      <c r="D418" t="s">
        <v>19</v>
      </c>
      <c r="E418">
        <v>1</v>
      </c>
      <c r="F418">
        <v>172.7</v>
      </c>
      <c r="G418">
        <v>96</v>
      </c>
      <c r="H418">
        <v>3.3</v>
      </c>
      <c r="I418">
        <v>5</v>
      </c>
      <c r="J418">
        <v>5.09</v>
      </c>
      <c r="K418">
        <v>5.62</v>
      </c>
      <c r="L418">
        <v>0</v>
      </c>
      <c r="M418" t="s">
        <v>34</v>
      </c>
      <c r="N418" t="s">
        <v>35</v>
      </c>
      <c r="O418">
        <v>12.8</v>
      </c>
      <c r="P418" t="s">
        <v>40</v>
      </c>
    </row>
    <row r="419" spans="1:16" x14ac:dyDescent="0.3">
      <c r="A419" t="s">
        <v>79</v>
      </c>
      <c r="B419" t="s">
        <v>17</v>
      </c>
      <c r="C419" t="s">
        <v>24</v>
      </c>
      <c r="D419" t="s">
        <v>29</v>
      </c>
      <c r="E419">
        <v>10</v>
      </c>
      <c r="F419">
        <v>165.7</v>
      </c>
      <c r="G419">
        <v>84.1</v>
      </c>
      <c r="H419">
        <v>6.2</v>
      </c>
      <c r="I419">
        <v>5</v>
      </c>
      <c r="J419">
        <v>8.2899999999999991</v>
      </c>
      <c r="K419">
        <v>9.1</v>
      </c>
      <c r="L419">
        <v>0</v>
      </c>
      <c r="M419" t="s">
        <v>25</v>
      </c>
      <c r="N419" t="s">
        <v>26</v>
      </c>
      <c r="O419">
        <v>15.98</v>
      </c>
      <c r="P419" t="s">
        <v>42</v>
      </c>
    </row>
    <row r="420" spans="1:16" x14ac:dyDescent="0.3">
      <c r="A420" t="s">
        <v>79</v>
      </c>
      <c r="B420" t="s">
        <v>33</v>
      </c>
      <c r="C420" t="s">
        <v>37</v>
      </c>
      <c r="D420" t="s">
        <v>39</v>
      </c>
      <c r="E420">
        <v>1</v>
      </c>
      <c r="F420">
        <v>164.3</v>
      </c>
      <c r="G420">
        <v>98.7</v>
      </c>
      <c r="H420">
        <v>10.1</v>
      </c>
      <c r="I420">
        <v>7</v>
      </c>
      <c r="J420">
        <v>4.13</v>
      </c>
      <c r="K420">
        <v>8.68</v>
      </c>
      <c r="L420">
        <v>1</v>
      </c>
      <c r="M420" t="s">
        <v>34</v>
      </c>
      <c r="N420" t="s">
        <v>21</v>
      </c>
      <c r="O420">
        <v>14.37</v>
      </c>
      <c r="P420" t="s">
        <v>44</v>
      </c>
    </row>
    <row r="421" spans="1:16" x14ac:dyDescent="0.3">
      <c r="A421" t="s">
        <v>79</v>
      </c>
      <c r="B421" t="s">
        <v>27</v>
      </c>
      <c r="C421" t="s">
        <v>24</v>
      </c>
      <c r="D421" t="s">
        <v>19</v>
      </c>
      <c r="E421">
        <v>2</v>
      </c>
      <c r="F421">
        <v>151.4</v>
      </c>
      <c r="G421">
        <v>93.8</v>
      </c>
      <c r="H421">
        <v>2.6</v>
      </c>
      <c r="I421">
        <v>9</v>
      </c>
      <c r="J421">
        <v>8.9700000000000006</v>
      </c>
      <c r="K421">
        <v>6.57</v>
      </c>
      <c r="L421">
        <v>0</v>
      </c>
      <c r="M421" t="s">
        <v>20</v>
      </c>
      <c r="N421" t="s">
        <v>35</v>
      </c>
      <c r="O421">
        <v>19.46</v>
      </c>
      <c r="P421" t="s">
        <v>45</v>
      </c>
    </row>
    <row r="422" spans="1:16" x14ac:dyDescent="0.3">
      <c r="A422" t="s">
        <v>80</v>
      </c>
      <c r="B422" t="s">
        <v>33</v>
      </c>
      <c r="C422" t="s">
        <v>31</v>
      </c>
      <c r="D422" t="s">
        <v>29</v>
      </c>
      <c r="E422">
        <v>3</v>
      </c>
      <c r="F422">
        <v>170.9</v>
      </c>
      <c r="G422">
        <v>87.6</v>
      </c>
      <c r="H422">
        <v>5.9</v>
      </c>
      <c r="I422">
        <v>5</v>
      </c>
      <c r="J422">
        <v>7.12</v>
      </c>
      <c r="K422">
        <v>5.28</v>
      </c>
      <c r="L422">
        <v>0</v>
      </c>
      <c r="M422" t="s">
        <v>34</v>
      </c>
      <c r="N422" t="s">
        <v>21</v>
      </c>
      <c r="O422">
        <v>4.49</v>
      </c>
      <c r="P422" t="s">
        <v>22</v>
      </c>
    </row>
    <row r="423" spans="1:16" x14ac:dyDescent="0.3">
      <c r="A423" t="s">
        <v>80</v>
      </c>
      <c r="B423" t="s">
        <v>27</v>
      </c>
      <c r="C423" t="s">
        <v>37</v>
      </c>
      <c r="D423" t="s">
        <v>39</v>
      </c>
      <c r="E423">
        <v>9</v>
      </c>
      <c r="F423">
        <v>160</v>
      </c>
      <c r="G423">
        <v>98</v>
      </c>
      <c r="H423">
        <v>5.4</v>
      </c>
      <c r="I423">
        <v>6</v>
      </c>
      <c r="J423">
        <v>6.42</v>
      </c>
      <c r="K423">
        <v>5.58</v>
      </c>
      <c r="L423">
        <v>0</v>
      </c>
      <c r="M423" t="s">
        <v>20</v>
      </c>
      <c r="N423" t="s">
        <v>26</v>
      </c>
      <c r="O423">
        <v>17.010000000000002</v>
      </c>
      <c r="P423" t="s">
        <v>22</v>
      </c>
    </row>
    <row r="424" spans="1:16" x14ac:dyDescent="0.3">
      <c r="A424" t="s">
        <v>80</v>
      </c>
      <c r="B424" t="s">
        <v>33</v>
      </c>
      <c r="C424" t="s">
        <v>24</v>
      </c>
      <c r="D424" t="s">
        <v>29</v>
      </c>
      <c r="E424">
        <v>3</v>
      </c>
      <c r="F424">
        <v>159.4</v>
      </c>
      <c r="G424">
        <v>100</v>
      </c>
      <c r="H424">
        <v>5.3</v>
      </c>
      <c r="I424">
        <v>5</v>
      </c>
      <c r="J424">
        <v>10</v>
      </c>
      <c r="K424">
        <v>7.27</v>
      </c>
      <c r="L424">
        <v>0</v>
      </c>
      <c r="M424" t="s">
        <v>25</v>
      </c>
      <c r="N424" t="s">
        <v>26</v>
      </c>
      <c r="O424">
        <v>21.31</v>
      </c>
      <c r="P424" t="s">
        <v>28</v>
      </c>
    </row>
    <row r="425" spans="1:16" x14ac:dyDescent="0.3">
      <c r="A425" t="s">
        <v>80</v>
      </c>
      <c r="B425" t="s">
        <v>23</v>
      </c>
      <c r="C425" t="s">
        <v>31</v>
      </c>
      <c r="D425" t="s">
        <v>19</v>
      </c>
      <c r="E425">
        <v>3</v>
      </c>
      <c r="F425">
        <v>163.5</v>
      </c>
      <c r="G425">
        <v>99.9</v>
      </c>
      <c r="H425">
        <v>6.5</v>
      </c>
      <c r="I425">
        <v>5</v>
      </c>
      <c r="J425">
        <v>8.64</v>
      </c>
      <c r="K425">
        <v>4.53</v>
      </c>
      <c r="L425">
        <v>1</v>
      </c>
      <c r="M425" t="s">
        <v>20</v>
      </c>
      <c r="N425" t="s">
        <v>26</v>
      </c>
      <c r="O425">
        <v>21.39</v>
      </c>
      <c r="P425" t="s">
        <v>28</v>
      </c>
    </row>
    <row r="426" spans="1:16" x14ac:dyDescent="0.3">
      <c r="A426" t="s">
        <v>80</v>
      </c>
      <c r="B426" t="s">
        <v>17</v>
      </c>
      <c r="C426" t="s">
        <v>37</v>
      </c>
      <c r="D426" t="s">
        <v>39</v>
      </c>
      <c r="E426">
        <v>4</v>
      </c>
      <c r="F426">
        <v>162.19999999999999</v>
      </c>
      <c r="G426">
        <v>98.8</v>
      </c>
      <c r="H426">
        <v>6.4</v>
      </c>
      <c r="I426">
        <v>4</v>
      </c>
      <c r="J426">
        <v>7.29</v>
      </c>
      <c r="K426">
        <v>10</v>
      </c>
      <c r="L426">
        <v>1</v>
      </c>
      <c r="M426" t="s">
        <v>34</v>
      </c>
      <c r="N426" t="s">
        <v>35</v>
      </c>
      <c r="O426">
        <v>8.57</v>
      </c>
      <c r="P426" t="s">
        <v>30</v>
      </c>
    </row>
    <row r="427" spans="1:16" x14ac:dyDescent="0.3">
      <c r="A427" t="s">
        <v>80</v>
      </c>
      <c r="B427" t="s">
        <v>23</v>
      </c>
      <c r="C427" t="s">
        <v>41</v>
      </c>
      <c r="D427" t="s">
        <v>39</v>
      </c>
      <c r="E427">
        <v>10</v>
      </c>
      <c r="F427">
        <v>153.69999999999999</v>
      </c>
      <c r="G427">
        <v>93.6</v>
      </c>
      <c r="H427">
        <v>2.9</v>
      </c>
      <c r="I427">
        <v>9</v>
      </c>
      <c r="J427">
        <v>7.19</v>
      </c>
      <c r="K427">
        <v>10</v>
      </c>
      <c r="L427">
        <v>0</v>
      </c>
      <c r="M427" t="s">
        <v>34</v>
      </c>
      <c r="N427" t="s">
        <v>35</v>
      </c>
      <c r="O427">
        <v>16.440000000000001</v>
      </c>
      <c r="P427" t="s">
        <v>32</v>
      </c>
    </row>
    <row r="428" spans="1:16" x14ac:dyDescent="0.3">
      <c r="A428" t="s">
        <v>80</v>
      </c>
      <c r="B428" t="s">
        <v>23</v>
      </c>
      <c r="C428" t="s">
        <v>18</v>
      </c>
      <c r="D428" t="s">
        <v>29</v>
      </c>
      <c r="E428">
        <v>2</v>
      </c>
      <c r="F428">
        <v>163.19999999999999</v>
      </c>
      <c r="G428">
        <v>94</v>
      </c>
      <c r="H428">
        <v>4.9000000000000004</v>
      </c>
      <c r="I428">
        <v>10</v>
      </c>
      <c r="K428">
        <v>8.2200000000000006</v>
      </c>
      <c r="L428">
        <v>1</v>
      </c>
      <c r="M428" t="s">
        <v>25</v>
      </c>
      <c r="N428" t="s">
        <v>35</v>
      </c>
      <c r="O428">
        <v>15.59</v>
      </c>
      <c r="P428" t="s">
        <v>36</v>
      </c>
    </row>
    <row r="429" spans="1:16" x14ac:dyDescent="0.3">
      <c r="A429" t="s">
        <v>80</v>
      </c>
      <c r="B429" t="s">
        <v>23</v>
      </c>
      <c r="C429" t="s">
        <v>31</v>
      </c>
      <c r="D429" t="s">
        <v>29</v>
      </c>
      <c r="E429">
        <v>7</v>
      </c>
      <c r="F429">
        <v>178.7</v>
      </c>
      <c r="G429">
        <v>100</v>
      </c>
      <c r="H429">
        <v>4.0999999999999996</v>
      </c>
      <c r="I429">
        <v>4</v>
      </c>
      <c r="J429">
        <v>8.67</v>
      </c>
      <c r="K429">
        <v>10</v>
      </c>
      <c r="L429">
        <v>0</v>
      </c>
      <c r="M429" t="s">
        <v>34</v>
      </c>
      <c r="N429" t="s">
        <v>35</v>
      </c>
      <c r="O429">
        <v>14.71</v>
      </c>
      <c r="P429" t="s">
        <v>38</v>
      </c>
    </row>
    <row r="430" spans="1:16" x14ac:dyDescent="0.3">
      <c r="A430" t="s">
        <v>80</v>
      </c>
      <c r="B430" t="s">
        <v>33</v>
      </c>
      <c r="C430" t="s">
        <v>18</v>
      </c>
      <c r="D430" t="s">
        <v>19</v>
      </c>
      <c r="E430">
        <v>9</v>
      </c>
      <c r="F430">
        <v>155.19999999999999</v>
      </c>
      <c r="G430">
        <v>99.2</v>
      </c>
      <c r="H430">
        <v>2.9</v>
      </c>
      <c r="I430">
        <v>3</v>
      </c>
      <c r="J430">
        <v>3.7</v>
      </c>
      <c r="K430">
        <v>6.55</v>
      </c>
      <c r="L430">
        <v>1</v>
      </c>
      <c r="M430" t="s">
        <v>34</v>
      </c>
      <c r="N430" t="s">
        <v>35</v>
      </c>
      <c r="O430">
        <v>12.09</v>
      </c>
      <c r="P430" t="s">
        <v>40</v>
      </c>
    </row>
    <row r="431" spans="1:16" x14ac:dyDescent="0.3">
      <c r="A431" t="s">
        <v>80</v>
      </c>
      <c r="B431" t="s">
        <v>33</v>
      </c>
      <c r="C431" t="s">
        <v>24</v>
      </c>
      <c r="D431" t="s">
        <v>19</v>
      </c>
      <c r="E431">
        <v>2</v>
      </c>
      <c r="F431">
        <v>149.5</v>
      </c>
      <c r="G431">
        <v>83.7</v>
      </c>
      <c r="H431">
        <v>6.8</v>
      </c>
      <c r="I431">
        <v>6</v>
      </c>
      <c r="J431">
        <v>8.34</v>
      </c>
      <c r="K431">
        <v>4.71</v>
      </c>
      <c r="L431">
        <v>0</v>
      </c>
      <c r="M431" t="s">
        <v>34</v>
      </c>
      <c r="N431" t="s">
        <v>26</v>
      </c>
      <c r="O431">
        <v>16.309999999999999</v>
      </c>
      <c r="P431" t="s">
        <v>42</v>
      </c>
    </row>
    <row r="432" spans="1:16" x14ac:dyDescent="0.3">
      <c r="A432" t="s">
        <v>80</v>
      </c>
      <c r="B432" t="s">
        <v>23</v>
      </c>
      <c r="C432" t="s">
        <v>37</v>
      </c>
      <c r="D432" t="s">
        <v>19</v>
      </c>
      <c r="E432">
        <v>9</v>
      </c>
      <c r="F432">
        <v>151.4</v>
      </c>
      <c r="G432">
        <v>91.9</v>
      </c>
      <c r="H432">
        <v>7.2</v>
      </c>
      <c r="I432">
        <v>5</v>
      </c>
      <c r="J432">
        <v>7.52</v>
      </c>
      <c r="K432">
        <v>6.68</v>
      </c>
      <c r="L432">
        <v>0</v>
      </c>
      <c r="M432" t="s">
        <v>25</v>
      </c>
      <c r="N432" t="s">
        <v>21</v>
      </c>
      <c r="O432">
        <v>26</v>
      </c>
      <c r="P432" t="s">
        <v>44</v>
      </c>
    </row>
    <row r="433" spans="1:16" x14ac:dyDescent="0.3">
      <c r="A433" t="s">
        <v>80</v>
      </c>
      <c r="B433" t="s">
        <v>23</v>
      </c>
      <c r="C433" t="s">
        <v>24</v>
      </c>
      <c r="D433" t="s">
        <v>29</v>
      </c>
      <c r="E433">
        <v>4</v>
      </c>
      <c r="F433">
        <v>149.4</v>
      </c>
      <c r="G433">
        <v>93.2</v>
      </c>
      <c r="H433">
        <v>2.5</v>
      </c>
      <c r="I433">
        <v>9</v>
      </c>
      <c r="J433">
        <v>8.93</v>
      </c>
      <c r="K433">
        <v>5.05</v>
      </c>
      <c r="L433">
        <v>1</v>
      </c>
      <c r="M433" t="s">
        <v>20</v>
      </c>
      <c r="N433" t="s">
        <v>21</v>
      </c>
      <c r="O433">
        <v>15.71</v>
      </c>
      <c r="P433" t="s">
        <v>45</v>
      </c>
    </row>
    <row r="434" spans="1:16" x14ac:dyDescent="0.3">
      <c r="A434" t="s">
        <v>81</v>
      </c>
      <c r="B434" t="s">
        <v>33</v>
      </c>
      <c r="C434" t="s">
        <v>41</v>
      </c>
      <c r="D434" t="s">
        <v>19</v>
      </c>
      <c r="E434">
        <v>9</v>
      </c>
      <c r="F434">
        <v>170.3</v>
      </c>
      <c r="G434">
        <v>98.4</v>
      </c>
      <c r="H434">
        <v>4.2</v>
      </c>
      <c r="I434">
        <v>8</v>
      </c>
      <c r="J434">
        <v>7.98</v>
      </c>
      <c r="K434">
        <v>5.08</v>
      </c>
      <c r="L434">
        <v>0</v>
      </c>
      <c r="M434" t="s">
        <v>20</v>
      </c>
      <c r="N434" t="s">
        <v>35</v>
      </c>
      <c r="O434">
        <v>2.7</v>
      </c>
      <c r="P434" t="s">
        <v>22</v>
      </c>
    </row>
    <row r="435" spans="1:16" x14ac:dyDescent="0.3">
      <c r="A435" t="s">
        <v>81</v>
      </c>
      <c r="B435" t="s">
        <v>27</v>
      </c>
      <c r="C435" t="s">
        <v>24</v>
      </c>
      <c r="D435" t="s">
        <v>19</v>
      </c>
      <c r="E435">
        <v>8</v>
      </c>
      <c r="F435">
        <v>140.1</v>
      </c>
      <c r="G435">
        <v>91.9</v>
      </c>
      <c r="H435">
        <v>2.2000000000000002</v>
      </c>
      <c r="I435">
        <v>3</v>
      </c>
      <c r="J435">
        <v>6.59</v>
      </c>
      <c r="K435">
        <v>6.65</v>
      </c>
      <c r="L435">
        <v>0</v>
      </c>
      <c r="M435" t="s">
        <v>25</v>
      </c>
      <c r="N435" t="s">
        <v>21</v>
      </c>
      <c r="O435">
        <v>12.53</v>
      </c>
      <c r="P435" t="s">
        <v>22</v>
      </c>
    </row>
    <row r="436" spans="1:16" x14ac:dyDescent="0.3">
      <c r="A436" t="s">
        <v>81</v>
      </c>
      <c r="B436" t="s">
        <v>33</v>
      </c>
      <c r="C436" t="s">
        <v>31</v>
      </c>
      <c r="D436" t="s">
        <v>19</v>
      </c>
      <c r="E436">
        <v>4</v>
      </c>
      <c r="F436">
        <v>153.6</v>
      </c>
      <c r="G436">
        <v>81.3</v>
      </c>
      <c r="I436">
        <v>2</v>
      </c>
      <c r="J436">
        <v>9.81</v>
      </c>
      <c r="K436">
        <v>7.45</v>
      </c>
      <c r="L436">
        <v>0</v>
      </c>
      <c r="M436" t="s">
        <v>34</v>
      </c>
      <c r="N436" t="s">
        <v>35</v>
      </c>
      <c r="O436">
        <v>14.57</v>
      </c>
      <c r="P436" t="s">
        <v>28</v>
      </c>
    </row>
    <row r="437" spans="1:16" x14ac:dyDescent="0.3">
      <c r="A437" t="s">
        <v>81</v>
      </c>
      <c r="B437" t="s">
        <v>27</v>
      </c>
      <c r="C437" t="s">
        <v>31</v>
      </c>
      <c r="D437" t="s">
        <v>39</v>
      </c>
      <c r="E437">
        <v>10</v>
      </c>
      <c r="F437">
        <v>171.6</v>
      </c>
      <c r="G437">
        <v>96.6</v>
      </c>
      <c r="H437">
        <v>2.1</v>
      </c>
      <c r="I437">
        <v>1</v>
      </c>
      <c r="J437">
        <v>8.5299999999999994</v>
      </c>
      <c r="K437">
        <v>7.97</v>
      </c>
      <c r="L437">
        <v>0</v>
      </c>
      <c r="M437" t="s">
        <v>34</v>
      </c>
      <c r="N437" t="s">
        <v>21</v>
      </c>
      <c r="O437">
        <v>11.42</v>
      </c>
      <c r="P437" t="s">
        <v>28</v>
      </c>
    </row>
    <row r="438" spans="1:16" x14ac:dyDescent="0.3">
      <c r="A438" t="s">
        <v>81</v>
      </c>
      <c r="B438" t="s">
        <v>23</v>
      </c>
      <c r="C438" t="s">
        <v>37</v>
      </c>
      <c r="D438" t="s">
        <v>19</v>
      </c>
      <c r="E438">
        <v>5</v>
      </c>
      <c r="F438">
        <v>158.30000000000001</v>
      </c>
      <c r="G438">
        <v>98.8</v>
      </c>
      <c r="H438">
        <v>5.2</v>
      </c>
      <c r="I438">
        <v>6</v>
      </c>
      <c r="J438">
        <v>5.42</v>
      </c>
      <c r="K438">
        <v>9.08</v>
      </c>
      <c r="L438">
        <v>0</v>
      </c>
      <c r="M438" t="s">
        <v>25</v>
      </c>
      <c r="N438" t="s">
        <v>35</v>
      </c>
      <c r="O438">
        <v>14.49</v>
      </c>
      <c r="P438" t="s">
        <v>30</v>
      </c>
    </row>
    <row r="439" spans="1:16" x14ac:dyDescent="0.3">
      <c r="A439" t="s">
        <v>81</v>
      </c>
      <c r="B439" t="s">
        <v>43</v>
      </c>
      <c r="C439" t="s">
        <v>41</v>
      </c>
      <c r="D439" t="s">
        <v>39</v>
      </c>
      <c r="E439">
        <v>1</v>
      </c>
      <c r="F439">
        <v>158.30000000000001</v>
      </c>
      <c r="G439">
        <v>93.4</v>
      </c>
      <c r="H439">
        <v>5.8</v>
      </c>
      <c r="I439">
        <v>8</v>
      </c>
      <c r="J439">
        <v>7.27</v>
      </c>
      <c r="K439">
        <v>7.7</v>
      </c>
      <c r="L439">
        <v>0</v>
      </c>
      <c r="M439" t="s">
        <v>25</v>
      </c>
      <c r="N439" t="s">
        <v>26</v>
      </c>
      <c r="O439">
        <v>11.46</v>
      </c>
      <c r="P439" t="s">
        <v>32</v>
      </c>
    </row>
    <row r="440" spans="1:16" x14ac:dyDescent="0.3">
      <c r="A440" t="s">
        <v>81</v>
      </c>
      <c r="B440" t="s">
        <v>27</v>
      </c>
      <c r="C440" t="s">
        <v>24</v>
      </c>
      <c r="D440" t="s">
        <v>29</v>
      </c>
      <c r="E440">
        <v>9</v>
      </c>
      <c r="F440">
        <v>169.5</v>
      </c>
      <c r="G440">
        <v>99.1</v>
      </c>
      <c r="H440">
        <v>4.4000000000000004</v>
      </c>
      <c r="I440">
        <v>8</v>
      </c>
      <c r="J440">
        <v>5.31</v>
      </c>
      <c r="K440">
        <v>8.52</v>
      </c>
      <c r="L440">
        <v>1</v>
      </c>
      <c r="M440" t="s">
        <v>20</v>
      </c>
      <c r="N440" t="s">
        <v>26</v>
      </c>
      <c r="O440">
        <v>5.76</v>
      </c>
      <c r="P440" t="s">
        <v>36</v>
      </c>
    </row>
    <row r="441" spans="1:16" x14ac:dyDescent="0.3">
      <c r="A441" t="s">
        <v>81</v>
      </c>
      <c r="B441" t="s">
        <v>17</v>
      </c>
      <c r="C441" t="s">
        <v>18</v>
      </c>
      <c r="D441" t="s">
        <v>19</v>
      </c>
      <c r="E441">
        <v>10</v>
      </c>
      <c r="F441">
        <v>160</v>
      </c>
      <c r="G441">
        <v>100</v>
      </c>
      <c r="H441">
        <v>9.1</v>
      </c>
      <c r="I441">
        <v>8</v>
      </c>
      <c r="J441">
        <v>5.8</v>
      </c>
      <c r="K441">
        <v>5.82</v>
      </c>
      <c r="L441">
        <v>0</v>
      </c>
      <c r="M441" t="s">
        <v>25</v>
      </c>
      <c r="N441" t="s">
        <v>35</v>
      </c>
      <c r="O441">
        <v>25.04</v>
      </c>
      <c r="P441" t="s">
        <v>38</v>
      </c>
    </row>
    <row r="442" spans="1:16" x14ac:dyDescent="0.3">
      <c r="A442" t="s">
        <v>81</v>
      </c>
      <c r="B442" t="s">
        <v>23</v>
      </c>
      <c r="C442" t="s">
        <v>24</v>
      </c>
      <c r="D442" t="s">
        <v>39</v>
      </c>
      <c r="E442">
        <v>1</v>
      </c>
      <c r="F442">
        <v>158.4</v>
      </c>
      <c r="G442">
        <v>85.1</v>
      </c>
      <c r="H442">
        <v>0</v>
      </c>
      <c r="I442">
        <v>4</v>
      </c>
      <c r="J442">
        <v>4.54</v>
      </c>
      <c r="K442">
        <v>8.59</v>
      </c>
      <c r="L442">
        <v>1</v>
      </c>
      <c r="M442" t="s">
        <v>34</v>
      </c>
      <c r="N442" t="s">
        <v>21</v>
      </c>
      <c r="O442">
        <v>15.31</v>
      </c>
      <c r="P442" t="s">
        <v>40</v>
      </c>
    </row>
    <row r="443" spans="1:16" x14ac:dyDescent="0.3">
      <c r="A443" t="s">
        <v>81</v>
      </c>
      <c r="B443" t="s">
        <v>33</v>
      </c>
      <c r="C443" t="s">
        <v>41</v>
      </c>
      <c r="D443" t="s">
        <v>39</v>
      </c>
      <c r="E443">
        <v>3</v>
      </c>
      <c r="F443">
        <v>149.19999999999999</v>
      </c>
      <c r="G443">
        <v>95.6</v>
      </c>
      <c r="H443">
        <v>4.7</v>
      </c>
      <c r="I443">
        <v>4</v>
      </c>
      <c r="J443">
        <v>8.26</v>
      </c>
      <c r="K443">
        <v>5.87</v>
      </c>
      <c r="L443">
        <v>0</v>
      </c>
      <c r="M443" t="s">
        <v>25</v>
      </c>
      <c r="N443" t="s">
        <v>35</v>
      </c>
      <c r="O443">
        <v>5.63</v>
      </c>
      <c r="P443" t="s">
        <v>42</v>
      </c>
    </row>
    <row r="444" spans="1:16" x14ac:dyDescent="0.3">
      <c r="A444" t="s">
        <v>81</v>
      </c>
      <c r="B444" t="s">
        <v>23</v>
      </c>
      <c r="C444" t="s">
        <v>41</v>
      </c>
      <c r="D444" t="s">
        <v>39</v>
      </c>
      <c r="E444">
        <v>10</v>
      </c>
      <c r="F444">
        <v>163.9</v>
      </c>
      <c r="G444">
        <v>97.5</v>
      </c>
      <c r="H444">
        <v>5.9</v>
      </c>
      <c r="I444">
        <v>9</v>
      </c>
      <c r="J444">
        <v>7.57</v>
      </c>
      <c r="K444">
        <v>5.44</v>
      </c>
      <c r="L444">
        <v>1</v>
      </c>
      <c r="M444" t="s">
        <v>25</v>
      </c>
      <c r="N444" t="s">
        <v>26</v>
      </c>
      <c r="O444">
        <v>19.38</v>
      </c>
      <c r="P444" t="s">
        <v>44</v>
      </c>
    </row>
    <row r="445" spans="1:16" x14ac:dyDescent="0.3">
      <c r="A445" t="s">
        <v>81</v>
      </c>
      <c r="B445" t="s">
        <v>33</v>
      </c>
      <c r="C445" t="s">
        <v>41</v>
      </c>
      <c r="D445" t="s">
        <v>19</v>
      </c>
      <c r="E445">
        <v>9</v>
      </c>
      <c r="F445">
        <v>169.7</v>
      </c>
      <c r="G445">
        <v>96.5</v>
      </c>
      <c r="H445">
        <v>3.5</v>
      </c>
      <c r="I445">
        <v>5</v>
      </c>
      <c r="J445">
        <v>10</v>
      </c>
      <c r="K445">
        <v>8.7100000000000009</v>
      </c>
      <c r="L445">
        <v>0</v>
      </c>
      <c r="M445" t="s">
        <v>25</v>
      </c>
      <c r="N445" t="s">
        <v>26</v>
      </c>
      <c r="O445">
        <v>16.239999999999998</v>
      </c>
      <c r="P445" t="s">
        <v>45</v>
      </c>
    </row>
    <row r="446" spans="1:16" x14ac:dyDescent="0.3">
      <c r="A446" t="s">
        <v>82</v>
      </c>
      <c r="B446" t="s">
        <v>23</v>
      </c>
      <c r="C446" t="s">
        <v>41</v>
      </c>
      <c r="D446" t="s">
        <v>19</v>
      </c>
      <c r="E446">
        <v>8</v>
      </c>
      <c r="F446">
        <v>153.69999999999999</v>
      </c>
      <c r="G446">
        <v>85.6</v>
      </c>
      <c r="H446">
        <v>2.2999999999999998</v>
      </c>
      <c r="I446">
        <v>10</v>
      </c>
      <c r="J446">
        <v>9.94</v>
      </c>
      <c r="K446">
        <v>6.86</v>
      </c>
      <c r="L446">
        <v>0</v>
      </c>
      <c r="M446" t="s">
        <v>25</v>
      </c>
      <c r="N446" t="s">
        <v>21</v>
      </c>
      <c r="O446">
        <v>10.64</v>
      </c>
      <c r="P446" t="s">
        <v>22</v>
      </c>
    </row>
    <row r="447" spans="1:16" x14ac:dyDescent="0.3">
      <c r="A447" t="s">
        <v>82</v>
      </c>
      <c r="B447" t="s">
        <v>27</v>
      </c>
      <c r="C447" t="s">
        <v>41</v>
      </c>
      <c r="D447" t="s">
        <v>39</v>
      </c>
      <c r="E447">
        <v>10</v>
      </c>
      <c r="F447">
        <v>161.4</v>
      </c>
      <c r="G447">
        <v>94.7</v>
      </c>
      <c r="I447">
        <v>7</v>
      </c>
      <c r="J447">
        <v>7.56</v>
      </c>
      <c r="K447">
        <v>7.68</v>
      </c>
      <c r="L447">
        <v>0</v>
      </c>
      <c r="M447" t="s">
        <v>34</v>
      </c>
      <c r="N447" t="s">
        <v>21</v>
      </c>
      <c r="O447">
        <v>9.17</v>
      </c>
      <c r="P447" t="s">
        <v>22</v>
      </c>
    </row>
    <row r="448" spans="1:16" x14ac:dyDescent="0.3">
      <c r="A448" t="s">
        <v>82</v>
      </c>
      <c r="B448" t="s">
        <v>17</v>
      </c>
      <c r="C448" t="s">
        <v>18</v>
      </c>
      <c r="D448" t="s">
        <v>29</v>
      </c>
      <c r="E448">
        <v>9</v>
      </c>
      <c r="F448">
        <v>142.30000000000001</v>
      </c>
      <c r="G448">
        <v>96.8</v>
      </c>
      <c r="H448">
        <v>4.2</v>
      </c>
      <c r="I448">
        <v>4</v>
      </c>
      <c r="J448">
        <v>7.8</v>
      </c>
      <c r="K448">
        <v>2.46</v>
      </c>
      <c r="L448">
        <v>0</v>
      </c>
      <c r="M448" t="s">
        <v>34</v>
      </c>
      <c r="N448" t="s">
        <v>26</v>
      </c>
      <c r="O448">
        <v>11.85</v>
      </c>
      <c r="P448" t="s">
        <v>28</v>
      </c>
    </row>
    <row r="449" spans="1:16" x14ac:dyDescent="0.3">
      <c r="A449" t="s">
        <v>82</v>
      </c>
      <c r="B449" t="s">
        <v>33</v>
      </c>
      <c r="C449" t="s">
        <v>24</v>
      </c>
      <c r="D449" t="s">
        <v>19</v>
      </c>
      <c r="E449">
        <v>8</v>
      </c>
      <c r="F449">
        <v>145.69999999999999</v>
      </c>
      <c r="G449">
        <v>99.5</v>
      </c>
      <c r="H449">
        <v>8</v>
      </c>
      <c r="I449">
        <v>5</v>
      </c>
      <c r="J449">
        <v>5.84</v>
      </c>
      <c r="K449">
        <v>10</v>
      </c>
      <c r="L449">
        <v>0</v>
      </c>
      <c r="M449" t="s">
        <v>20</v>
      </c>
      <c r="N449" t="s">
        <v>26</v>
      </c>
      <c r="O449">
        <v>12.91</v>
      </c>
      <c r="P449" t="s">
        <v>28</v>
      </c>
    </row>
    <row r="450" spans="1:16" x14ac:dyDescent="0.3">
      <c r="A450" t="s">
        <v>82</v>
      </c>
      <c r="B450" t="s">
        <v>17</v>
      </c>
      <c r="C450" t="s">
        <v>31</v>
      </c>
      <c r="D450" t="s">
        <v>19</v>
      </c>
      <c r="E450">
        <v>4</v>
      </c>
      <c r="F450">
        <v>161.1</v>
      </c>
      <c r="G450">
        <v>93.4</v>
      </c>
      <c r="H450">
        <v>6.3</v>
      </c>
      <c r="I450">
        <v>5</v>
      </c>
      <c r="J450">
        <v>7.38</v>
      </c>
      <c r="K450">
        <v>8.4</v>
      </c>
      <c r="L450">
        <v>0</v>
      </c>
      <c r="M450" t="s">
        <v>34</v>
      </c>
      <c r="N450" t="s">
        <v>35</v>
      </c>
      <c r="O450">
        <v>9.35</v>
      </c>
      <c r="P450" t="s">
        <v>30</v>
      </c>
    </row>
    <row r="451" spans="1:16" x14ac:dyDescent="0.3">
      <c r="A451" t="s">
        <v>82</v>
      </c>
      <c r="B451" t="s">
        <v>33</v>
      </c>
      <c r="C451" t="s">
        <v>31</v>
      </c>
      <c r="D451" t="s">
        <v>29</v>
      </c>
      <c r="E451">
        <v>9</v>
      </c>
      <c r="F451">
        <v>160.30000000000001</v>
      </c>
      <c r="G451">
        <v>89.2</v>
      </c>
      <c r="H451">
        <v>4.0999999999999996</v>
      </c>
      <c r="I451">
        <v>5</v>
      </c>
      <c r="J451">
        <v>9.0500000000000007</v>
      </c>
      <c r="K451">
        <v>10</v>
      </c>
      <c r="L451">
        <v>0</v>
      </c>
      <c r="M451" t="s">
        <v>34</v>
      </c>
      <c r="N451" t="s">
        <v>35</v>
      </c>
      <c r="O451">
        <v>17.54</v>
      </c>
      <c r="P451" t="s">
        <v>32</v>
      </c>
    </row>
    <row r="452" spans="1:16" x14ac:dyDescent="0.3">
      <c r="A452" t="s">
        <v>82</v>
      </c>
      <c r="B452" t="s">
        <v>33</v>
      </c>
      <c r="C452" t="s">
        <v>31</v>
      </c>
      <c r="D452" t="s">
        <v>29</v>
      </c>
      <c r="E452">
        <v>5</v>
      </c>
      <c r="F452">
        <v>165.1</v>
      </c>
      <c r="G452">
        <v>91.8</v>
      </c>
      <c r="H452">
        <v>5.6</v>
      </c>
      <c r="I452">
        <v>8</v>
      </c>
      <c r="J452">
        <v>7.14</v>
      </c>
      <c r="K452">
        <v>7.58</v>
      </c>
      <c r="L452">
        <v>0</v>
      </c>
      <c r="M452" t="s">
        <v>34</v>
      </c>
      <c r="N452" t="s">
        <v>21</v>
      </c>
      <c r="O452">
        <v>17.16</v>
      </c>
      <c r="P452" t="s">
        <v>36</v>
      </c>
    </row>
    <row r="453" spans="1:16" x14ac:dyDescent="0.3">
      <c r="A453" t="s">
        <v>82</v>
      </c>
      <c r="B453" t="s">
        <v>23</v>
      </c>
      <c r="C453" t="s">
        <v>31</v>
      </c>
      <c r="D453" t="s">
        <v>39</v>
      </c>
      <c r="E453">
        <v>10</v>
      </c>
      <c r="F453">
        <v>149.5</v>
      </c>
      <c r="G453">
        <v>90.5</v>
      </c>
      <c r="H453">
        <v>4.0999999999999996</v>
      </c>
      <c r="I453">
        <v>10</v>
      </c>
      <c r="J453">
        <v>5.93</v>
      </c>
      <c r="K453">
        <v>9.6</v>
      </c>
      <c r="L453">
        <v>0</v>
      </c>
      <c r="M453" t="s">
        <v>20</v>
      </c>
      <c r="N453" t="s">
        <v>35</v>
      </c>
      <c r="O453">
        <v>9.85</v>
      </c>
      <c r="P453" t="s">
        <v>38</v>
      </c>
    </row>
    <row r="454" spans="1:16" x14ac:dyDescent="0.3">
      <c r="A454" t="s">
        <v>82</v>
      </c>
      <c r="B454" t="s">
        <v>23</v>
      </c>
      <c r="C454" t="s">
        <v>37</v>
      </c>
      <c r="D454" t="s">
        <v>19</v>
      </c>
      <c r="E454">
        <v>5</v>
      </c>
      <c r="F454">
        <v>163.1</v>
      </c>
      <c r="G454">
        <v>98.3</v>
      </c>
      <c r="H454">
        <v>6.3</v>
      </c>
      <c r="I454">
        <v>6</v>
      </c>
      <c r="J454">
        <v>10</v>
      </c>
      <c r="K454">
        <v>4.01</v>
      </c>
      <c r="L454">
        <v>0</v>
      </c>
      <c r="M454" t="s">
        <v>25</v>
      </c>
      <c r="N454" t="s">
        <v>35</v>
      </c>
      <c r="O454">
        <v>3.4</v>
      </c>
      <c r="P454" t="s">
        <v>40</v>
      </c>
    </row>
    <row r="455" spans="1:16" x14ac:dyDescent="0.3">
      <c r="A455" t="s">
        <v>82</v>
      </c>
      <c r="B455" t="s">
        <v>33</v>
      </c>
      <c r="C455" t="s">
        <v>37</v>
      </c>
      <c r="D455" t="s">
        <v>39</v>
      </c>
      <c r="E455">
        <v>5</v>
      </c>
      <c r="F455">
        <v>170.9</v>
      </c>
      <c r="G455">
        <v>89.4</v>
      </c>
      <c r="H455">
        <v>4.2</v>
      </c>
      <c r="I455">
        <v>4</v>
      </c>
      <c r="J455">
        <v>8.6300000000000008</v>
      </c>
      <c r="K455">
        <v>5.1100000000000003</v>
      </c>
      <c r="L455">
        <v>0</v>
      </c>
      <c r="M455" t="s">
        <v>25</v>
      </c>
      <c r="N455" t="s">
        <v>35</v>
      </c>
      <c r="O455">
        <v>14.52</v>
      </c>
      <c r="P455" t="s">
        <v>42</v>
      </c>
    </row>
    <row r="456" spans="1:16" x14ac:dyDescent="0.3">
      <c r="A456" t="s">
        <v>82</v>
      </c>
      <c r="B456" t="s">
        <v>27</v>
      </c>
      <c r="C456" t="s">
        <v>41</v>
      </c>
      <c r="D456" t="s">
        <v>29</v>
      </c>
      <c r="E456">
        <v>1</v>
      </c>
      <c r="F456">
        <v>163.4</v>
      </c>
      <c r="G456">
        <v>98.2</v>
      </c>
      <c r="H456">
        <v>3.8</v>
      </c>
      <c r="I456">
        <v>5</v>
      </c>
      <c r="J456">
        <v>6.69</v>
      </c>
      <c r="K456">
        <v>6.46</v>
      </c>
      <c r="L456">
        <v>1</v>
      </c>
      <c r="M456" t="s">
        <v>20</v>
      </c>
      <c r="N456" t="s">
        <v>21</v>
      </c>
      <c r="O456">
        <v>20.73</v>
      </c>
      <c r="P456" t="s">
        <v>44</v>
      </c>
    </row>
    <row r="457" spans="1:16" x14ac:dyDescent="0.3">
      <c r="A457" t="s">
        <v>82</v>
      </c>
      <c r="B457" t="s">
        <v>43</v>
      </c>
      <c r="C457" t="s">
        <v>18</v>
      </c>
      <c r="D457" t="s">
        <v>39</v>
      </c>
      <c r="E457">
        <v>1</v>
      </c>
      <c r="F457">
        <v>172.7</v>
      </c>
      <c r="G457">
        <v>90.1</v>
      </c>
      <c r="I457">
        <v>8</v>
      </c>
      <c r="J457">
        <v>8.07</v>
      </c>
      <c r="K457">
        <v>4.22</v>
      </c>
      <c r="L457">
        <v>0</v>
      </c>
      <c r="M457" t="s">
        <v>20</v>
      </c>
      <c r="N457" t="s">
        <v>21</v>
      </c>
      <c r="O457">
        <v>10.27</v>
      </c>
      <c r="P457" t="s">
        <v>45</v>
      </c>
    </row>
    <row r="458" spans="1:16" x14ac:dyDescent="0.3">
      <c r="A458" t="s">
        <v>83</v>
      </c>
      <c r="B458" t="s">
        <v>23</v>
      </c>
      <c r="C458" t="s">
        <v>18</v>
      </c>
      <c r="D458" t="s">
        <v>29</v>
      </c>
      <c r="E458">
        <v>1</v>
      </c>
      <c r="F458">
        <v>163.5</v>
      </c>
      <c r="G458">
        <v>100</v>
      </c>
      <c r="H458">
        <v>7.1</v>
      </c>
      <c r="I458">
        <v>6</v>
      </c>
      <c r="J458">
        <v>7.75</v>
      </c>
      <c r="K458">
        <v>10</v>
      </c>
      <c r="L458">
        <v>1</v>
      </c>
      <c r="M458" t="s">
        <v>20</v>
      </c>
      <c r="N458" t="s">
        <v>35</v>
      </c>
      <c r="O458">
        <v>18.149999999999999</v>
      </c>
      <c r="P458" t="s">
        <v>22</v>
      </c>
    </row>
    <row r="459" spans="1:16" x14ac:dyDescent="0.3">
      <c r="A459" t="s">
        <v>83</v>
      </c>
      <c r="B459" t="s">
        <v>27</v>
      </c>
      <c r="C459" t="s">
        <v>31</v>
      </c>
      <c r="D459" t="s">
        <v>29</v>
      </c>
      <c r="E459">
        <v>8</v>
      </c>
      <c r="F459">
        <v>140.1</v>
      </c>
      <c r="G459">
        <v>91.6</v>
      </c>
      <c r="H459">
        <v>4.5999999999999996</v>
      </c>
      <c r="I459">
        <v>8</v>
      </c>
      <c r="J459">
        <v>5.85</v>
      </c>
      <c r="K459">
        <v>8.6</v>
      </c>
      <c r="L459">
        <v>1</v>
      </c>
      <c r="M459" t="s">
        <v>25</v>
      </c>
      <c r="N459" t="s">
        <v>35</v>
      </c>
      <c r="O459">
        <v>4.43</v>
      </c>
      <c r="P459" t="s">
        <v>22</v>
      </c>
    </row>
    <row r="460" spans="1:16" x14ac:dyDescent="0.3">
      <c r="A460" t="s">
        <v>83</v>
      </c>
      <c r="B460" t="s">
        <v>27</v>
      </c>
      <c r="C460" t="s">
        <v>37</v>
      </c>
      <c r="D460" t="s">
        <v>29</v>
      </c>
      <c r="E460">
        <v>8</v>
      </c>
      <c r="F460">
        <v>160.9</v>
      </c>
      <c r="G460">
        <v>100</v>
      </c>
      <c r="H460">
        <v>5.3</v>
      </c>
      <c r="I460">
        <v>8</v>
      </c>
      <c r="J460">
        <v>3.65</v>
      </c>
      <c r="K460">
        <v>6.93</v>
      </c>
      <c r="L460">
        <v>2</v>
      </c>
      <c r="M460" t="s">
        <v>25</v>
      </c>
      <c r="N460" t="s">
        <v>35</v>
      </c>
      <c r="O460">
        <v>6.41</v>
      </c>
      <c r="P460" t="s">
        <v>28</v>
      </c>
    </row>
    <row r="461" spans="1:16" x14ac:dyDescent="0.3">
      <c r="A461" t="s">
        <v>83</v>
      </c>
      <c r="B461" t="s">
        <v>27</v>
      </c>
      <c r="C461" t="s">
        <v>31</v>
      </c>
      <c r="D461" t="s">
        <v>39</v>
      </c>
      <c r="E461">
        <v>10</v>
      </c>
      <c r="F461">
        <v>171.8</v>
      </c>
      <c r="G461">
        <v>97</v>
      </c>
      <c r="H461">
        <v>3.1</v>
      </c>
      <c r="I461">
        <v>6</v>
      </c>
      <c r="J461">
        <v>6.31</v>
      </c>
      <c r="K461">
        <v>9.7100000000000009</v>
      </c>
      <c r="L461">
        <v>0</v>
      </c>
      <c r="M461" t="s">
        <v>20</v>
      </c>
      <c r="N461" t="s">
        <v>35</v>
      </c>
      <c r="O461">
        <v>23.07</v>
      </c>
      <c r="P461" t="s">
        <v>28</v>
      </c>
    </row>
    <row r="462" spans="1:16" x14ac:dyDescent="0.3">
      <c r="A462" t="s">
        <v>83</v>
      </c>
      <c r="B462" t="s">
        <v>17</v>
      </c>
      <c r="C462" t="s">
        <v>18</v>
      </c>
      <c r="D462" t="s">
        <v>39</v>
      </c>
      <c r="E462">
        <v>2</v>
      </c>
      <c r="F462">
        <v>156.5</v>
      </c>
      <c r="G462">
        <v>94</v>
      </c>
      <c r="H462">
        <v>4.4000000000000004</v>
      </c>
      <c r="I462">
        <v>8</v>
      </c>
      <c r="J462">
        <v>6.89</v>
      </c>
      <c r="K462">
        <v>7.27</v>
      </c>
      <c r="L462">
        <v>0</v>
      </c>
      <c r="M462" t="s">
        <v>34</v>
      </c>
      <c r="N462" t="s">
        <v>35</v>
      </c>
      <c r="O462">
        <v>13.79</v>
      </c>
      <c r="P462" t="s">
        <v>30</v>
      </c>
    </row>
    <row r="463" spans="1:16" x14ac:dyDescent="0.3">
      <c r="A463" t="s">
        <v>83</v>
      </c>
      <c r="B463" t="s">
        <v>23</v>
      </c>
      <c r="C463" t="s">
        <v>24</v>
      </c>
      <c r="D463" t="s">
        <v>19</v>
      </c>
      <c r="E463">
        <v>6</v>
      </c>
      <c r="F463">
        <v>144.19999999999999</v>
      </c>
      <c r="G463">
        <v>93.8</v>
      </c>
      <c r="H463">
        <v>5.3</v>
      </c>
      <c r="I463">
        <v>6</v>
      </c>
      <c r="J463">
        <v>8.41</v>
      </c>
      <c r="K463">
        <v>3.9</v>
      </c>
      <c r="L463">
        <v>0</v>
      </c>
      <c r="M463" t="s">
        <v>20</v>
      </c>
      <c r="N463" t="s">
        <v>21</v>
      </c>
      <c r="O463">
        <v>14.49</v>
      </c>
      <c r="P463" t="s">
        <v>32</v>
      </c>
    </row>
    <row r="464" spans="1:16" x14ac:dyDescent="0.3">
      <c r="A464" t="s">
        <v>83</v>
      </c>
      <c r="B464" t="s">
        <v>17</v>
      </c>
      <c r="C464" t="s">
        <v>37</v>
      </c>
      <c r="D464" t="s">
        <v>39</v>
      </c>
      <c r="E464">
        <v>8</v>
      </c>
      <c r="F464">
        <v>160.80000000000001</v>
      </c>
      <c r="G464">
        <v>93.6</v>
      </c>
      <c r="H464">
        <v>2.4</v>
      </c>
      <c r="I464">
        <v>5</v>
      </c>
      <c r="J464">
        <v>6.06</v>
      </c>
      <c r="K464">
        <v>7.27</v>
      </c>
      <c r="L464">
        <v>1</v>
      </c>
      <c r="M464" t="s">
        <v>34</v>
      </c>
      <c r="N464" t="s">
        <v>26</v>
      </c>
      <c r="O464">
        <v>15.49</v>
      </c>
      <c r="P464" t="s">
        <v>36</v>
      </c>
    </row>
    <row r="465" spans="1:16" x14ac:dyDescent="0.3">
      <c r="A465" t="s">
        <v>83</v>
      </c>
      <c r="B465" t="s">
        <v>43</v>
      </c>
      <c r="C465" t="s">
        <v>37</v>
      </c>
      <c r="D465" t="s">
        <v>19</v>
      </c>
      <c r="E465">
        <v>4</v>
      </c>
      <c r="F465">
        <v>176.5</v>
      </c>
      <c r="G465">
        <v>98.1</v>
      </c>
      <c r="H465">
        <v>5.5</v>
      </c>
      <c r="I465">
        <v>2</v>
      </c>
      <c r="J465">
        <v>8.23</v>
      </c>
      <c r="K465">
        <v>7.19</v>
      </c>
      <c r="L465">
        <v>1</v>
      </c>
      <c r="M465" t="s">
        <v>25</v>
      </c>
      <c r="N465" t="s">
        <v>21</v>
      </c>
      <c r="O465">
        <v>8.09</v>
      </c>
      <c r="P465" t="s">
        <v>38</v>
      </c>
    </row>
    <row r="466" spans="1:16" x14ac:dyDescent="0.3">
      <c r="A466" t="s">
        <v>83</v>
      </c>
      <c r="B466" t="s">
        <v>43</v>
      </c>
      <c r="C466" t="s">
        <v>24</v>
      </c>
      <c r="D466" t="s">
        <v>39</v>
      </c>
      <c r="E466">
        <v>8</v>
      </c>
      <c r="F466">
        <v>166</v>
      </c>
      <c r="G466">
        <v>92.4</v>
      </c>
      <c r="H466">
        <v>2.8</v>
      </c>
      <c r="I466">
        <v>7</v>
      </c>
      <c r="J466">
        <v>10</v>
      </c>
      <c r="K466">
        <v>5.2</v>
      </c>
      <c r="L466">
        <v>0</v>
      </c>
      <c r="M466" t="s">
        <v>34</v>
      </c>
      <c r="N466" t="s">
        <v>35</v>
      </c>
      <c r="O466">
        <v>19</v>
      </c>
      <c r="P466" t="s">
        <v>40</v>
      </c>
    </row>
    <row r="467" spans="1:16" x14ac:dyDescent="0.3">
      <c r="A467" t="s">
        <v>83</v>
      </c>
      <c r="B467" t="s">
        <v>43</v>
      </c>
      <c r="C467" t="s">
        <v>37</v>
      </c>
      <c r="D467" t="s">
        <v>29</v>
      </c>
      <c r="E467">
        <v>2</v>
      </c>
      <c r="F467">
        <v>168.6</v>
      </c>
      <c r="G467">
        <v>95.9</v>
      </c>
      <c r="H467">
        <v>7.3</v>
      </c>
      <c r="I467">
        <v>5</v>
      </c>
      <c r="J467">
        <v>5.67</v>
      </c>
      <c r="K467">
        <v>6.57</v>
      </c>
      <c r="L467">
        <v>0</v>
      </c>
      <c r="M467" t="s">
        <v>20</v>
      </c>
      <c r="N467" t="s">
        <v>21</v>
      </c>
      <c r="O467">
        <v>17.440000000000001</v>
      </c>
      <c r="P467" t="s">
        <v>42</v>
      </c>
    </row>
    <row r="468" spans="1:16" x14ac:dyDescent="0.3">
      <c r="A468" t="s">
        <v>83</v>
      </c>
      <c r="B468" t="s">
        <v>27</v>
      </c>
      <c r="C468" t="s">
        <v>41</v>
      </c>
      <c r="D468" t="s">
        <v>29</v>
      </c>
      <c r="E468">
        <v>4</v>
      </c>
      <c r="F468">
        <v>155.30000000000001</v>
      </c>
      <c r="G468">
        <v>95.7</v>
      </c>
      <c r="H468">
        <v>6.1</v>
      </c>
      <c r="I468">
        <v>5</v>
      </c>
      <c r="J468">
        <v>5.99</v>
      </c>
      <c r="K468">
        <v>5.15</v>
      </c>
      <c r="L468">
        <v>0</v>
      </c>
      <c r="M468" t="s">
        <v>20</v>
      </c>
      <c r="N468" t="s">
        <v>26</v>
      </c>
      <c r="O468">
        <v>11.94</v>
      </c>
      <c r="P468" t="s">
        <v>44</v>
      </c>
    </row>
    <row r="469" spans="1:16" x14ac:dyDescent="0.3">
      <c r="A469" t="s">
        <v>83</v>
      </c>
      <c r="B469" t="s">
        <v>33</v>
      </c>
      <c r="C469" t="s">
        <v>18</v>
      </c>
      <c r="D469" t="s">
        <v>39</v>
      </c>
      <c r="E469">
        <v>1</v>
      </c>
      <c r="F469">
        <v>170.1</v>
      </c>
      <c r="G469">
        <v>95.4</v>
      </c>
      <c r="H469">
        <v>5.3</v>
      </c>
      <c r="I469">
        <v>5</v>
      </c>
      <c r="J469">
        <v>5.91</v>
      </c>
      <c r="K469">
        <v>5.28</v>
      </c>
      <c r="L469">
        <v>0</v>
      </c>
      <c r="M469" t="s">
        <v>34</v>
      </c>
      <c r="N469" t="s">
        <v>35</v>
      </c>
      <c r="O469">
        <v>14.38</v>
      </c>
      <c r="P469" t="s">
        <v>45</v>
      </c>
    </row>
    <row r="470" spans="1:16" x14ac:dyDescent="0.3">
      <c r="A470" t="s">
        <v>84</v>
      </c>
      <c r="B470" t="s">
        <v>27</v>
      </c>
      <c r="C470" t="s">
        <v>37</v>
      </c>
      <c r="D470" t="s">
        <v>19</v>
      </c>
      <c r="E470">
        <v>4</v>
      </c>
      <c r="F470">
        <v>152.9</v>
      </c>
      <c r="G470">
        <v>95.8</v>
      </c>
      <c r="H470">
        <v>6.2</v>
      </c>
      <c r="I470">
        <v>7</v>
      </c>
      <c r="J470">
        <v>8.59</v>
      </c>
      <c r="K470">
        <v>2.52</v>
      </c>
      <c r="L470">
        <v>0</v>
      </c>
      <c r="M470" t="s">
        <v>34</v>
      </c>
      <c r="N470" t="s">
        <v>26</v>
      </c>
      <c r="O470">
        <v>13.49</v>
      </c>
      <c r="P470" t="s">
        <v>22</v>
      </c>
    </row>
    <row r="471" spans="1:16" x14ac:dyDescent="0.3">
      <c r="A471" t="s">
        <v>84</v>
      </c>
      <c r="B471" t="s">
        <v>17</v>
      </c>
      <c r="C471" t="s">
        <v>24</v>
      </c>
      <c r="D471" t="s">
        <v>29</v>
      </c>
      <c r="E471">
        <v>5</v>
      </c>
      <c r="F471">
        <v>167.5</v>
      </c>
      <c r="G471">
        <v>97</v>
      </c>
      <c r="H471">
        <v>7.4</v>
      </c>
      <c r="I471">
        <v>8</v>
      </c>
      <c r="J471">
        <v>6.46</v>
      </c>
      <c r="K471">
        <v>7.1</v>
      </c>
      <c r="L471">
        <v>0</v>
      </c>
      <c r="M471" t="s">
        <v>20</v>
      </c>
      <c r="N471" t="s">
        <v>35</v>
      </c>
      <c r="O471">
        <v>17.93</v>
      </c>
      <c r="P471" t="s">
        <v>22</v>
      </c>
    </row>
    <row r="472" spans="1:16" x14ac:dyDescent="0.3">
      <c r="A472" t="s">
        <v>84</v>
      </c>
      <c r="B472" t="s">
        <v>33</v>
      </c>
      <c r="C472" t="s">
        <v>41</v>
      </c>
      <c r="D472" t="s">
        <v>39</v>
      </c>
      <c r="E472">
        <v>8</v>
      </c>
      <c r="F472">
        <v>159.9</v>
      </c>
      <c r="G472">
        <v>100</v>
      </c>
      <c r="I472">
        <v>7</v>
      </c>
      <c r="J472">
        <v>6.7</v>
      </c>
      <c r="K472">
        <v>9.4</v>
      </c>
      <c r="L472">
        <v>1</v>
      </c>
      <c r="M472" t="s">
        <v>25</v>
      </c>
      <c r="N472" t="s">
        <v>21</v>
      </c>
      <c r="O472">
        <v>13.9</v>
      </c>
      <c r="P472" t="s">
        <v>28</v>
      </c>
    </row>
    <row r="473" spans="1:16" x14ac:dyDescent="0.3">
      <c r="A473" t="s">
        <v>84</v>
      </c>
      <c r="B473" t="s">
        <v>27</v>
      </c>
      <c r="C473" t="s">
        <v>41</v>
      </c>
      <c r="D473" t="s">
        <v>39</v>
      </c>
      <c r="E473">
        <v>1</v>
      </c>
      <c r="F473">
        <v>167.4</v>
      </c>
      <c r="G473">
        <v>100</v>
      </c>
      <c r="H473">
        <v>4.0999999999999996</v>
      </c>
      <c r="I473">
        <v>5</v>
      </c>
      <c r="J473">
        <v>7.29</v>
      </c>
      <c r="K473">
        <v>4.41</v>
      </c>
      <c r="L473">
        <v>0</v>
      </c>
      <c r="M473" t="s">
        <v>34</v>
      </c>
      <c r="N473" t="s">
        <v>21</v>
      </c>
      <c r="O473">
        <v>9.93</v>
      </c>
      <c r="P473" t="s">
        <v>28</v>
      </c>
    </row>
    <row r="474" spans="1:16" x14ac:dyDescent="0.3">
      <c r="A474" t="s">
        <v>84</v>
      </c>
      <c r="B474" t="s">
        <v>17</v>
      </c>
      <c r="C474" t="s">
        <v>18</v>
      </c>
      <c r="D474" t="s">
        <v>29</v>
      </c>
      <c r="E474">
        <v>5</v>
      </c>
      <c r="F474">
        <v>164.4</v>
      </c>
      <c r="G474">
        <v>91</v>
      </c>
      <c r="H474">
        <v>5.7</v>
      </c>
      <c r="I474">
        <v>3</v>
      </c>
      <c r="J474">
        <v>6.07</v>
      </c>
      <c r="K474">
        <v>8.49</v>
      </c>
      <c r="L474">
        <v>0</v>
      </c>
      <c r="M474" t="s">
        <v>34</v>
      </c>
      <c r="N474" t="s">
        <v>35</v>
      </c>
      <c r="O474">
        <v>13.29</v>
      </c>
      <c r="P474" t="s">
        <v>30</v>
      </c>
    </row>
    <row r="475" spans="1:16" x14ac:dyDescent="0.3">
      <c r="A475" t="s">
        <v>84</v>
      </c>
      <c r="B475" t="s">
        <v>43</v>
      </c>
      <c r="C475" t="s">
        <v>41</v>
      </c>
      <c r="D475" t="s">
        <v>39</v>
      </c>
      <c r="E475">
        <v>7</v>
      </c>
      <c r="F475">
        <v>167</v>
      </c>
      <c r="G475">
        <v>94.4</v>
      </c>
      <c r="H475">
        <v>8.3000000000000007</v>
      </c>
      <c r="I475">
        <v>1</v>
      </c>
      <c r="J475">
        <v>10</v>
      </c>
      <c r="K475">
        <v>8.41</v>
      </c>
      <c r="L475">
        <v>0</v>
      </c>
      <c r="M475" t="s">
        <v>25</v>
      </c>
      <c r="N475" t="s">
        <v>26</v>
      </c>
      <c r="O475">
        <v>14.72</v>
      </c>
      <c r="P475" t="s">
        <v>32</v>
      </c>
    </row>
    <row r="476" spans="1:16" x14ac:dyDescent="0.3">
      <c r="A476" t="s">
        <v>84</v>
      </c>
      <c r="B476" t="s">
        <v>27</v>
      </c>
      <c r="C476" t="s">
        <v>24</v>
      </c>
      <c r="D476" t="s">
        <v>39</v>
      </c>
      <c r="E476">
        <v>8</v>
      </c>
      <c r="F476">
        <v>161.80000000000001</v>
      </c>
      <c r="G476">
        <v>91.3</v>
      </c>
      <c r="H476">
        <v>6</v>
      </c>
      <c r="I476">
        <v>6</v>
      </c>
      <c r="J476">
        <v>6.41</v>
      </c>
      <c r="K476">
        <v>7.96</v>
      </c>
      <c r="L476">
        <v>0</v>
      </c>
      <c r="M476" t="s">
        <v>34</v>
      </c>
      <c r="N476" t="s">
        <v>35</v>
      </c>
      <c r="O476">
        <v>9.1300000000000008</v>
      </c>
      <c r="P476" t="s">
        <v>36</v>
      </c>
    </row>
    <row r="477" spans="1:16" x14ac:dyDescent="0.3">
      <c r="A477" t="s">
        <v>84</v>
      </c>
      <c r="B477" t="s">
        <v>23</v>
      </c>
      <c r="C477" t="s">
        <v>31</v>
      </c>
      <c r="D477" t="s">
        <v>19</v>
      </c>
      <c r="E477">
        <v>6</v>
      </c>
      <c r="F477">
        <v>168.2</v>
      </c>
      <c r="G477">
        <v>90.8</v>
      </c>
      <c r="H477">
        <v>6.1</v>
      </c>
      <c r="I477">
        <v>6</v>
      </c>
      <c r="J477">
        <v>6.98</v>
      </c>
      <c r="K477">
        <v>4.12</v>
      </c>
      <c r="L477">
        <v>0</v>
      </c>
      <c r="M477" t="s">
        <v>34</v>
      </c>
      <c r="N477" t="s">
        <v>35</v>
      </c>
      <c r="O477">
        <v>16.989999999999998</v>
      </c>
      <c r="P477" t="s">
        <v>38</v>
      </c>
    </row>
    <row r="478" spans="1:16" x14ac:dyDescent="0.3">
      <c r="A478" t="s">
        <v>84</v>
      </c>
      <c r="B478" t="s">
        <v>27</v>
      </c>
      <c r="C478" t="s">
        <v>37</v>
      </c>
      <c r="D478" t="s">
        <v>19</v>
      </c>
      <c r="E478">
        <v>9</v>
      </c>
      <c r="F478">
        <v>146.6</v>
      </c>
      <c r="G478">
        <v>100</v>
      </c>
      <c r="H478">
        <v>7.3</v>
      </c>
      <c r="I478">
        <v>9</v>
      </c>
      <c r="J478">
        <v>7.36</v>
      </c>
      <c r="K478">
        <v>4.24</v>
      </c>
      <c r="L478">
        <v>0</v>
      </c>
      <c r="M478" t="s">
        <v>34</v>
      </c>
      <c r="N478" t="s">
        <v>26</v>
      </c>
      <c r="O478">
        <v>19.2</v>
      </c>
      <c r="P478" t="s">
        <v>40</v>
      </c>
    </row>
    <row r="479" spans="1:16" x14ac:dyDescent="0.3">
      <c r="A479" t="s">
        <v>84</v>
      </c>
      <c r="B479" t="s">
        <v>43</v>
      </c>
      <c r="C479" t="s">
        <v>41</v>
      </c>
      <c r="D479" t="s">
        <v>39</v>
      </c>
      <c r="E479">
        <v>7</v>
      </c>
      <c r="F479">
        <v>165.9</v>
      </c>
      <c r="G479">
        <v>93.9</v>
      </c>
      <c r="H479">
        <v>5.0999999999999996</v>
      </c>
      <c r="I479">
        <v>5</v>
      </c>
      <c r="K479">
        <v>5.45</v>
      </c>
      <c r="L479">
        <v>0</v>
      </c>
      <c r="M479" t="s">
        <v>20</v>
      </c>
      <c r="N479" t="s">
        <v>21</v>
      </c>
      <c r="O479">
        <v>8.76</v>
      </c>
      <c r="P479" t="s">
        <v>42</v>
      </c>
    </row>
    <row r="480" spans="1:16" x14ac:dyDescent="0.3">
      <c r="A480" t="s">
        <v>84</v>
      </c>
      <c r="B480" t="s">
        <v>33</v>
      </c>
      <c r="C480" t="s">
        <v>37</v>
      </c>
      <c r="D480" t="s">
        <v>19</v>
      </c>
      <c r="E480">
        <v>8</v>
      </c>
      <c r="F480">
        <v>179.7</v>
      </c>
      <c r="G480">
        <v>92.3</v>
      </c>
      <c r="H480">
        <v>3</v>
      </c>
      <c r="I480">
        <v>8</v>
      </c>
      <c r="J480">
        <v>5.21</v>
      </c>
      <c r="K480">
        <v>9.26</v>
      </c>
      <c r="L480">
        <v>0</v>
      </c>
      <c r="M480" t="s">
        <v>25</v>
      </c>
      <c r="N480" t="s">
        <v>35</v>
      </c>
      <c r="O480">
        <v>4.74</v>
      </c>
      <c r="P480" t="s">
        <v>44</v>
      </c>
    </row>
    <row r="481" spans="1:16" x14ac:dyDescent="0.3">
      <c r="A481" t="s">
        <v>84</v>
      </c>
      <c r="B481" t="s">
        <v>27</v>
      </c>
      <c r="C481" t="s">
        <v>37</v>
      </c>
      <c r="D481" t="s">
        <v>19</v>
      </c>
      <c r="E481">
        <v>7</v>
      </c>
      <c r="F481">
        <v>161.4</v>
      </c>
      <c r="G481">
        <v>99.4</v>
      </c>
      <c r="H481">
        <v>2.5</v>
      </c>
      <c r="I481">
        <v>7</v>
      </c>
      <c r="J481">
        <v>5.2</v>
      </c>
      <c r="K481">
        <v>6.24</v>
      </c>
      <c r="L481">
        <v>0</v>
      </c>
      <c r="M481" t="s">
        <v>34</v>
      </c>
      <c r="N481" t="s">
        <v>26</v>
      </c>
      <c r="O481">
        <v>7.05</v>
      </c>
      <c r="P481" t="s">
        <v>45</v>
      </c>
    </row>
    <row r="482" spans="1:16" x14ac:dyDescent="0.3">
      <c r="A482" t="s">
        <v>85</v>
      </c>
      <c r="B482" t="s">
        <v>17</v>
      </c>
      <c r="C482" t="s">
        <v>41</v>
      </c>
      <c r="D482" t="s">
        <v>39</v>
      </c>
      <c r="E482">
        <v>6</v>
      </c>
      <c r="F482">
        <v>180.8</v>
      </c>
      <c r="G482">
        <v>96.8</v>
      </c>
      <c r="H482">
        <v>4.8</v>
      </c>
      <c r="I482">
        <v>6</v>
      </c>
      <c r="J482">
        <v>9.36</v>
      </c>
      <c r="K482">
        <v>4.4400000000000004</v>
      </c>
      <c r="L482">
        <v>1</v>
      </c>
      <c r="M482" t="s">
        <v>20</v>
      </c>
      <c r="N482" t="s">
        <v>26</v>
      </c>
      <c r="O482">
        <v>17.46</v>
      </c>
      <c r="P482" t="s">
        <v>22</v>
      </c>
    </row>
    <row r="483" spans="1:16" x14ac:dyDescent="0.3">
      <c r="A483" t="s">
        <v>85</v>
      </c>
      <c r="B483" t="s">
        <v>27</v>
      </c>
      <c r="C483" t="s">
        <v>41</v>
      </c>
      <c r="D483" t="s">
        <v>29</v>
      </c>
      <c r="E483">
        <v>3</v>
      </c>
      <c r="F483">
        <v>132.9</v>
      </c>
      <c r="G483">
        <v>94.3</v>
      </c>
      <c r="H483">
        <v>2.1</v>
      </c>
      <c r="I483">
        <v>2</v>
      </c>
      <c r="J483">
        <v>6.79</v>
      </c>
      <c r="K483">
        <v>4.05</v>
      </c>
      <c r="L483">
        <v>2</v>
      </c>
      <c r="M483" t="s">
        <v>34</v>
      </c>
      <c r="N483" t="s">
        <v>21</v>
      </c>
      <c r="O483">
        <v>16.93</v>
      </c>
      <c r="P483" t="s">
        <v>22</v>
      </c>
    </row>
    <row r="484" spans="1:16" x14ac:dyDescent="0.3">
      <c r="A484" t="s">
        <v>85</v>
      </c>
      <c r="B484" t="s">
        <v>27</v>
      </c>
      <c r="C484" t="s">
        <v>31</v>
      </c>
      <c r="D484" t="s">
        <v>29</v>
      </c>
      <c r="E484">
        <v>10</v>
      </c>
      <c r="F484">
        <v>162.9</v>
      </c>
      <c r="G484">
        <v>94.8</v>
      </c>
      <c r="H484">
        <v>6.6</v>
      </c>
      <c r="I484">
        <v>5</v>
      </c>
      <c r="K484">
        <v>4.0599999999999996</v>
      </c>
      <c r="L484">
        <v>0</v>
      </c>
      <c r="M484" t="s">
        <v>34</v>
      </c>
      <c r="N484" t="s">
        <v>26</v>
      </c>
      <c r="O484">
        <v>11.3</v>
      </c>
      <c r="P484" t="s">
        <v>28</v>
      </c>
    </row>
    <row r="485" spans="1:16" x14ac:dyDescent="0.3">
      <c r="A485" t="s">
        <v>85</v>
      </c>
      <c r="B485" t="s">
        <v>27</v>
      </c>
      <c r="C485" t="s">
        <v>31</v>
      </c>
      <c r="D485" t="s">
        <v>29</v>
      </c>
      <c r="E485">
        <v>6</v>
      </c>
      <c r="F485">
        <v>159.4</v>
      </c>
      <c r="G485">
        <v>91.7</v>
      </c>
      <c r="H485">
        <v>7</v>
      </c>
      <c r="I485">
        <v>4</v>
      </c>
      <c r="J485">
        <v>7.69</v>
      </c>
      <c r="K485">
        <v>4.83</v>
      </c>
      <c r="L485">
        <v>0</v>
      </c>
      <c r="M485" t="s">
        <v>34</v>
      </c>
      <c r="N485" t="s">
        <v>21</v>
      </c>
      <c r="O485">
        <v>11.29</v>
      </c>
      <c r="P485" t="s">
        <v>28</v>
      </c>
    </row>
    <row r="486" spans="1:16" x14ac:dyDescent="0.3">
      <c r="A486" t="s">
        <v>85</v>
      </c>
      <c r="B486" t="s">
        <v>17</v>
      </c>
      <c r="C486" t="s">
        <v>41</v>
      </c>
      <c r="D486" t="s">
        <v>19</v>
      </c>
      <c r="E486">
        <v>7</v>
      </c>
      <c r="F486">
        <v>162.1</v>
      </c>
      <c r="G486">
        <v>92.9</v>
      </c>
      <c r="H486">
        <v>6.9</v>
      </c>
      <c r="I486">
        <v>8</v>
      </c>
      <c r="J486">
        <v>7.44</v>
      </c>
      <c r="K486">
        <v>4.7699999999999996</v>
      </c>
      <c r="L486">
        <v>1</v>
      </c>
      <c r="M486" t="s">
        <v>25</v>
      </c>
      <c r="N486" t="s">
        <v>21</v>
      </c>
      <c r="O486">
        <v>8.64</v>
      </c>
      <c r="P486" t="s">
        <v>30</v>
      </c>
    </row>
    <row r="487" spans="1:16" x14ac:dyDescent="0.3">
      <c r="A487" t="s">
        <v>85</v>
      </c>
      <c r="B487" t="s">
        <v>17</v>
      </c>
      <c r="C487" t="s">
        <v>31</v>
      </c>
      <c r="D487" t="s">
        <v>39</v>
      </c>
      <c r="E487">
        <v>8</v>
      </c>
      <c r="F487">
        <v>170.2</v>
      </c>
      <c r="G487">
        <v>83.2</v>
      </c>
      <c r="H487">
        <v>6.6</v>
      </c>
      <c r="I487">
        <v>5</v>
      </c>
      <c r="J487">
        <v>5.82</v>
      </c>
      <c r="K487">
        <v>8.32</v>
      </c>
      <c r="L487">
        <v>1</v>
      </c>
      <c r="M487" t="s">
        <v>20</v>
      </c>
      <c r="N487" t="s">
        <v>21</v>
      </c>
      <c r="O487">
        <v>10.26</v>
      </c>
      <c r="P487" t="s">
        <v>32</v>
      </c>
    </row>
    <row r="488" spans="1:16" x14ac:dyDescent="0.3">
      <c r="A488" t="s">
        <v>85</v>
      </c>
      <c r="B488" t="s">
        <v>43</v>
      </c>
      <c r="C488" t="s">
        <v>24</v>
      </c>
      <c r="D488" t="s">
        <v>39</v>
      </c>
      <c r="E488">
        <v>8</v>
      </c>
      <c r="F488">
        <v>163.9</v>
      </c>
      <c r="G488">
        <v>93</v>
      </c>
      <c r="H488">
        <v>6</v>
      </c>
      <c r="I488">
        <v>5</v>
      </c>
      <c r="J488">
        <v>9.61</v>
      </c>
      <c r="K488">
        <v>2.54</v>
      </c>
      <c r="L488">
        <v>1</v>
      </c>
      <c r="M488" t="s">
        <v>34</v>
      </c>
      <c r="N488" t="s">
        <v>26</v>
      </c>
      <c r="O488">
        <v>11.11</v>
      </c>
      <c r="P488" t="s">
        <v>36</v>
      </c>
    </row>
    <row r="489" spans="1:16" x14ac:dyDescent="0.3">
      <c r="A489" t="s">
        <v>85</v>
      </c>
      <c r="B489" t="s">
        <v>43</v>
      </c>
      <c r="C489" t="s">
        <v>18</v>
      </c>
      <c r="D489" t="s">
        <v>19</v>
      </c>
      <c r="E489">
        <v>9</v>
      </c>
      <c r="F489">
        <v>155.5</v>
      </c>
      <c r="G489">
        <v>93.1</v>
      </c>
      <c r="H489">
        <v>2.5</v>
      </c>
      <c r="I489">
        <v>8</v>
      </c>
      <c r="J489">
        <v>9.4499999999999993</v>
      </c>
      <c r="K489">
        <v>7.96</v>
      </c>
      <c r="L489">
        <v>0</v>
      </c>
      <c r="M489" t="s">
        <v>25</v>
      </c>
      <c r="N489" t="s">
        <v>26</v>
      </c>
      <c r="O489">
        <v>21.53</v>
      </c>
      <c r="P489" t="s">
        <v>38</v>
      </c>
    </row>
    <row r="490" spans="1:16" x14ac:dyDescent="0.3">
      <c r="A490" t="s">
        <v>85</v>
      </c>
      <c r="B490" t="s">
        <v>23</v>
      </c>
      <c r="C490" t="s">
        <v>41</v>
      </c>
      <c r="D490" t="s">
        <v>39</v>
      </c>
      <c r="E490">
        <v>7</v>
      </c>
      <c r="F490">
        <v>183.9</v>
      </c>
      <c r="G490">
        <v>91.2</v>
      </c>
      <c r="H490">
        <v>4.8</v>
      </c>
      <c r="I490">
        <v>10</v>
      </c>
      <c r="J490">
        <v>6.82</v>
      </c>
      <c r="K490">
        <v>5.81</v>
      </c>
      <c r="L490">
        <v>1</v>
      </c>
      <c r="M490" t="s">
        <v>34</v>
      </c>
      <c r="N490" t="s">
        <v>35</v>
      </c>
      <c r="O490">
        <v>10.76</v>
      </c>
      <c r="P490" t="s">
        <v>40</v>
      </c>
    </row>
    <row r="491" spans="1:16" x14ac:dyDescent="0.3">
      <c r="A491" t="s">
        <v>85</v>
      </c>
      <c r="B491" t="s">
        <v>27</v>
      </c>
      <c r="C491" t="s">
        <v>31</v>
      </c>
      <c r="D491" t="s">
        <v>39</v>
      </c>
      <c r="E491">
        <v>8</v>
      </c>
      <c r="F491">
        <v>158.19999999999999</v>
      </c>
      <c r="G491">
        <v>85.2</v>
      </c>
      <c r="H491">
        <v>6.8</v>
      </c>
      <c r="I491">
        <v>9</v>
      </c>
      <c r="J491">
        <v>6.78</v>
      </c>
      <c r="K491">
        <v>9.06</v>
      </c>
      <c r="L491">
        <v>1</v>
      </c>
      <c r="M491" t="s">
        <v>25</v>
      </c>
      <c r="N491" t="s">
        <v>35</v>
      </c>
      <c r="O491">
        <v>8.57</v>
      </c>
      <c r="P491" t="s">
        <v>42</v>
      </c>
    </row>
    <row r="492" spans="1:16" x14ac:dyDescent="0.3">
      <c r="A492" t="s">
        <v>85</v>
      </c>
      <c r="B492" t="s">
        <v>27</v>
      </c>
      <c r="C492" t="s">
        <v>37</v>
      </c>
      <c r="D492" t="s">
        <v>19</v>
      </c>
      <c r="E492">
        <v>2</v>
      </c>
      <c r="F492">
        <v>153.80000000000001</v>
      </c>
      <c r="G492">
        <v>96.4</v>
      </c>
      <c r="H492">
        <v>5.3</v>
      </c>
      <c r="I492">
        <v>4</v>
      </c>
      <c r="J492">
        <v>8.67</v>
      </c>
      <c r="K492">
        <v>6.63</v>
      </c>
      <c r="L492">
        <v>0</v>
      </c>
      <c r="M492" t="s">
        <v>20</v>
      </c>
      <c r="N492" t="s">
        <v>26</v>
      </c>
      <c r="O492">
        <v>19.420000000000002</v>
      </c>
      <c r="P492" t="s">
        <v>44</v>
      </c>
    </row>
    <row r="493" spans="1:16" x14ac:dyDescent="0.3">
      <c r="A493" t="s">
        <v>85</v>
      </c>
      <c r="B493" t="s">
        <v>33</v>
      </c>
      <c r="C493" t="s">
        <v>41</v>
      </c>
      <c r="D493" t="s">
        <v>39</v>
      </c>
      <c r="E493">
        <v>3</v>
      </c>
      <c r="F493">
        <v>135.30000000000001</v>
      </c>
      <c r="G493">
        <v>97.8</v>
      </c>
      <c r="H493">
        <v>6.9</v>
      </c>
      <c r="I493">
        <v>5</v>
      </c>
      <c r="J493">
        <v>6.57</v>
      </c>
      <c r="K493">
        <v>10</v>
      </c>
      <c r="L493">
        <v>0</v>
      </c>
      <c r="M493" t="s">
        <v>25</v>
      </c>
      <c r="N493" t="s">
        <v>21</v>
      </c>
      <c r="O493">
        <v>12.58</v>
      </c>
      <c r="P493" t="s">
        <v>45</v>
      </c>
    </row>
    <row r="494" spans="1:16" x14ac:dyDescent="0.3">
      <c r="A494" t="s">
        <v>86</v>
      </c>
      <c r="B494" t="s">
        <v>33</v>
      </c>
      <c r="C494" t="s">
        <v>41</v>
      </c>
      <c r="D494" t="s">
        <v>39</v>
      </c>
      <c r="E494">
        <v>4</v>
      </c>
      <c r="F494">
        <v>161.4</v>
      </c>
      <c r="G494">
        <v>87.3</v>
      </c>
      <c r="H494">
        <v>3.9</v>
      </c>
      <c r="I494">
        <v>4</v>
      </c>
      <c r="J494">
        <v>9.18</v>
      </c>
      <c r="K494">
        <v>8.3800000000000008</v>
      </c>
      <c r="L494">
        <v>0</v>
      </c>
      <c r="M494" t="s">
        <v>25</v>
      </c>
      <c r="N494" t="s">
        <v>35</v>
      </c>
      <c r="O494">
        <v>10.53</v>
      </c>
      <c r="P494" t="s">
        <v>22</v>
      </c>
    </row>
    <row r="495" spans="1:16" x14ac:dyDescent="0.3">
      <c r="A495" t="s">
        <v>86</v>
      </c>
      <c r="B495" t="s">
        <v>33</v>
      </c>
      <c r="C495" t="s">
        <v>24</v>
      </c>
      <c r="D495" t="s">
        <v>19</v>
      </c>
      <c r="E495">
        <v>7</v>
      </c>
      <c r="F495">
        <v>150.69999999999999</v>
      </c>
      <c r="G495">
        <v>94.4</v>
      </c>
      <c r="H495">
        <v>4.7</v>
      </c>
      <c r="I495">
        <v>9</v>
      </c>
      <c r="J495">
        <v>7.25</v>
      </c>
      <c r="K495">
        <v>2.85</v>
      </c>
      <c r="L495">
        <v>0</v>
      </c>
      <c r="M495" t="s">
        <v>34</v>
      </c>
      <c r="N495" t="s">
        <v>35</v>
      </c>
      <c r="O495">
        <v>12.4</v>
      </c>
      <c r="P495" t="s">
        <v>22</v>
      </c>
    </row>
    <row r="496" spans="1:16" x14ac:dyDescent="0.3">
      <c r="A496" t="s">
        <v>86</v>
      </c>
      <c r="B496" t="s">
        <v>33</v>
      </c>
      <c r="C496" t="s">
        <v>31</v>
      </c>
      <c r="D496" t="s">
        <v>39</v>
      </c>
      <c r="E496">
        <v>10</v>
      </c>
      <c r="F496">
        <v>154.80000000000001</v>
      </c>
      <c r="G496">
        <v>93.2</v>
      </c>
      <c r="H496">
        <v>4.3</v>
      </c>
      <c r="I496">
        <v>11</v>
      </c>
      <c r="J496">
        <v>7.76</v>
      </c>
      <c r="K496">
        <v>2.0699999999999998</v>
      </c>
      <c r="L496">
        <v>1</v>
      </c>
      <c r="M496" t="s">
        <v>34</v>
      </c>
      <c r="N496" t="s">
        <v>26</v>
      </c>
      <c r="O496">
        <v>18.38</v>
      </c>
      <c r="P496" t="s">
        <v>28</v>
      </c>
    </row>
    <row r="497" spans="1:16" x14ac:dyDescent="0.3">
      <c r="A497" t="s">
        <v>86</v>
      </c>
      <c r="B497" t="s">
        <v>33</v>
      </c>
      <c r="C497" t="s">
        <v>37</v>
      </c>
      <c r="D497" t="s">
        <v>29</v>
      </c>
      <c r="E497">
        <v>4</v>
      </c>
      <c r="F497">
        <v>153.5</v>
      </c>
      <c r="G497">
        <v>88.4</v>
      </c>
      <c r="H497">
        <v>5.7</v>
      </c>
      <c r="I497">
        <v>5</v>
      </c>
      <c r="J497">
        <v>5.25</v>
      </c>
      <c r="K497">
        <v>8.48</v>
      </c>
      <c r="L497">
        <v>1</v>
      </c>
      <c r="M497" t="s">
        <v>34</v>
      </c>
      <c r="N497" t="s">
        <v>26</v>
      </c>
      <c r="O497">
        <v>9.6300000000000008</v>
      </c>
      <c r="P497" t="s">
        <v>28</v>
      </c>
    </row>
    <row r="498" spans="1:16" x14ac:dyDescent="0.3">
      <c r="A498" t="s">
        <v>86</v>
      </c>
      <c r="B498" t="s">
        <v>27</v>
      </c>
      <c r="C498" t="s">
        <v>31</v>
      </c>
      <c r="D498" t="s">
        <v>39</v>
      </c>
      <c r="E498">
        <v>9</v>
      </c>
      <c r="F498">
        <v>147.30000000000001</v>
      </c>
      <c r="G498">
        <v>97.2</v>
      </c>
      <c r="H498">
        <v>8.4</v>
      </c>
      <c r="I498">
        <v>8</v>
      </c>
      <c r="J498">
        <v>7.45</v>
      </c>
      <c r="K498">
        <v>7.23</v>
      </c>
      <c r="L498">
        <v>0</v>
      </c>
      <c r="M498" t="s">
        <v>20</v>
      </c>
      <c r="N498" t="s">
        <v>21</v>
      </c>
      <c r="O498">
        <v>8.3800000000000008</v>
      </c>
      <c r="P498" t="s">
        <v>30</v>
      </c>
    </row>
    <row r="499" spans="1:16" x14ac:dyDescent="0.3">
      <c r="A499" t="s">
        <v>86</v>
      </c>
      <c r="B499" t="s">
        <v>33</v>
      </c>
      <c r="C499" t="s">
        <v>18</v>
      </c>
      <c r="D499" t="s">
        <v>39</v>
      </c>
      <c r="E499">
        <v>5</v>
      </c>
      <c r="F499">
        <v>159.6</v>
      </c>
      <c r="G499">
        <v>94.4</v>
      </c>
      <c r="H499">
        <v>4.4000000000000004</v>
      </c>
      <c r="I499">
        <v>5</v>
      </c>
      <c r="J499">
        <v>6.75</v>
      </c>
      <c r="K499">
        <v>6.19</v>
      </c>
      <c r="L499">
        <v>0</v>
      </c>
      <c r="M499" t="s">
        <v>34</v>
      </c>
      <c r="N499" t="s">
        <v>21</v>
      </c>
      <c r="O499">
        <v>14.68</v>
      </c>
      <c r="P499" t="s">
        <v>32</v>
      </c>
    </row>
    <row r="500" spans="1:16" x14ac:dyDescent="0.3">
      <c r="A500" t="s">
        <v>86</v>
      </c>
      <c r="B500" t="s">
        <v>33</v>
      </c>
      <c r="C500" t="s">
        <v>31</v>
      </c>
      <c r="D500" t="s">
        <v>19</v>
      </c>
      <c r="E500">
        <v>9</v>
      </c>
      <c r="F500">
        <v>151.69999999999999</v>
      </c>
      <c r="G500">
        <v>100</v>
      </c>
      <c r="H500">
        <v>4.5999999999999996</v>
      </c>
      <c r="I500">
        <v>4</v>
      </c>
      <c r="J500">
        <v>9</v>
      </c>
      <c r="K500">
        <v>9.0299999999999994</v>
      </c>
      <c r="L500">
        <v>0</v>
      </c>
      <c r="M500" t="s">
        <v>20</v>
      </c>
      <c r="N500" t="s">
        <v>26</v>
      </c>
      <c r="O500">
        <v>10.9</v>
      </c>
      <c r="P500" t="s">
        <v>36</v>
      </c>
    </row>
    <row r="501" spans="1:16" x14ac:dyDescent="0.3">
      <c r="A501" t="s">
        <v>86</v>
      </c>
      <c r="B501" t="s">
        <v>43</v>
      </c>
      <c r="C501" t="s">
        <v>24</v>
      </c>
      <c r="D501" t="s">
        <v>29</v>
      </c>
      <c r="E501">
        <v>3</v>
      </c>
      <c r="F501">
        <v>149.6</v>
      </c>
      <c r="G501">
        <v>98</v>
      </c>
      <c r="H501">
        <v>5</v>
      </c>
      <c r="I501">
        <v>8</v>
      </c>
      <c r="J501">
        <v>10</v>
      </c>
      <c r="K501">
        <v>10</v>
      </c>
      <c r="L501">
        <v>0</v>
      </c>
      <c r="M501" t="s">
        <v>34</v>
      </c>
      <c r="N501" t="s">
        <v>35</v>
      </c>
      <c r="O501">
        <v>21.11</v>
      </c>
      <c r="P501" t="s">
        <v>38</v>
      </c>
    </row>
    <row r="502" spans="1:16" x14ac:dyDescent="0.3">
      <c r="A502" t="s">
        <v>86</v>
      </c>
      <c r="B502" t="s">
        <v>27</v>
      </c>
      <c r="C502" t="s">
        <v>37</v>
      </c>
      <c r="D502" t="s">
        <v>29</v>
      </c>
      <c r="E502">
        <v>3</v>
      </c>
      <c r="F502">
        <v>169.6</v>
      </c>
      <c r="G502">
        <v>88</v>
      </c>
      <c r="H502">
        <v>3.1</v>
      </c>
      <c r="I502">
        <v>3</v>
      </c>
      <c r="J502">
        <v>6.33</v>
      </c>
      <c r="K502">
        <v>6.12</v>
      </c>
      <c r="L502">
        <v>1</v>
      </c>
      <c r="M502" t="s">
        <v>25</v>
      </c>
      <c r="N502" t="s">
        <v>26</v>
      </c>
      <c r="O502">
        <v>8.75</v>
      </c>
      <c r="P502" t="s">
        <v>40</v>
      </c>
    </row>
    <row r="503" spans="1:16" x14ac:dyDescent="0.3">
      <c r="A503" t="s">
        <v>86</v>
      </c>
      <c r="B503" t="s">
        <v>27</v>
      </c>
      <c r="C503" t="s">
        <v>24</v>
      </c>
      <c r="D503" t="s">
        <v>29</v>
      </c>
      <c r="E503">
        <v>10</v>
      </c>
      <c r="F503">
        <v>164.1</v>
      </c>
      <c r="G503">
        <v>91.2</v>
      </c>
      <c r="H503">
        <v>4.4000000000000004</v>
      </c>
      <c r="I503">
        <v>6</v>
      </c>
      <c r="J503">
        <v>6.85</v>
      </c>
      <c r="K503">
        <v>9.82</v>
      </c>
      <c r="L503">
        <v>0</v>
      </c>
      <c r="M503" t="s">
        <v>25</v>
      </c>
      <c r="N503" t="s">
        <v>26</v>
      </c>
      <c r="O503">
        <v>11.32</v>
      </c>
      <c r="P503" t="s">
        <v>42</v>
      </c>
    </row>
    <row r="504" spans="1:16" x14ac:dyDescent="0.3">
      <c r="A504" t="s">
        <v>86</v>
      </c>
      <c r="B504" t="s">
        <v>27</v>
      </c>
      <c r="C504" t="s">
        <v>24</v>
      </c>
      <c r="D504" t="s">
        <v>19</v>
      </c>
      <c r="E504">
        <v>1</v>
      </c>
      <c r="F504">
        <v>158.5</v>
      </c>
      <c r="G504">
        <v>93.3</v>
      </c>
      <c r="H504">
        <v>4.3</v>
      </c>
      <c r="I504">
        <v>4</v>
      </c>
      <c r="J504">
        <v>6.99</v>
      </c>
      <c r="K504">
        <v>3.34</v>
      </c>
      <c r="L504">
        <v>0</v>
      </c>
      <c r="M504" t="s">
        <v>25</v>
      </c>
      <c r="N504" t="s">
        <v>21</v>
      </c>
      <c r="O504">
        <v>15.24</v>
      </c>
      <c r="P504" t="s">
        <v>44</v>
      </c>
    </row>
    <row r="505" spans="1:16" x14ac:dyDescent="0.3">
      <c r="A505" t="s">
        <v>86</v>
      </c>
      <c r="B505" t="s">
        <v>17</v>
      </c>
      <c r="C505" t="s">
        <v>31</v>
      </c>
      <c r="D505" t="s">
        <v>39</v>
      </c>
      <c r="E505">
        <v>10</v>
      </c>
      <c r="F505">
        <v>155</v>
      </c>
      <c r="G505">
        <v>91.7</v>
      </c>
      <c r="H505">
        <v>3</v>
      </c>
      <c r="I505">
        <v>4</v>
      </c>
      <c r="J505">
        <v>6.78</v>
      </c>
      <c r="K505">
        <v>7.56</v>
      </c>
      <c r="L505">
        <v>0</v>
      </c>
      <c r="M505" t="s">
        <v>34</v>
      </c>
      <c r="N505" t="s">
        <v>35</v>
      </c>
      <c r="O505">
        <v>3.14</v>
      </c>
      <c r="P505" t="s">
        <v>45</v>
      </c>
    </row>
    <row r="506" spans="1:16" x14ac:dyDescent="0.3">
      <c r="A506" t="s">
        <v>87</v>
      </c>
      <c r="B506" t="s">
        <v>17</v>
      </c>
      <c r="C506" t="s">
        <v>24</v>
      </c>
      <c r="D506" t="s">
        <v>29</v>
      </c>
      <c r="E506">
        <v>5</v>
      </c>
      <c r="F506">
        <v>169.6</v>
      </c>
      <c r="G506">
        <v>98.3</v>
      </c>
      <c r="H506">
        <v>2.9</v>
      </c>
      <c r="I506">
        <v>4</v>
      </c>
      <c r="J506">
        <v>8.07</v>
      </c>
      <c r="K506">
        <v>4.79</v>
      </c>
      <c r="L506">
        <v>0</v>
      </c>
      <c r="M506" t="s">
        <v>34</v>
      </c>
      <c r="N506" t="s">
        <v>21</v>
      </c>
      <c r="O506">
        <v>16.399999999999999</v>
      </c>
      <c r="P506" t="s">
        <v>22</v>
      </c>
    </row>
    <row r="507" spans="1:16" x14ac:dyDescent="0.3">
      <c r="A507" t="s">
        <v>87</v>
      </c>
      <c r="B507" t="s">
        <v>43</v>
      </c>
      <c r="C507" t="s">
        <v>31</v>
      </c>
      <c r="D507" t="s">
        <v>39</v>
      </c>
      <c r="E507">
        <v>3</v>
      </c>
      <c r="F507">
        <v>147.30000000000001</v>
      </c>
      <c r="G507">
        <v>100</v>
      </c>
      <c r="H507">
        <v>4.2</v>
      </c>
      <c r="I507">
        <v>6</v>
      </c>
      <c r="J507">
        <v>8.41</v>
      </c>
      <c r="K507">
        <v>4.55</v>
      </c>
      <c r="L507">
        <v>0</v>
      </c>
      <c r="M507" t="s">
        <v>34</v>
      </c>
      <c r="N507" t="s">
        <v>21</v>
      </c>
      <c r="O507">
        <v>20.83</v>
      </c>
      <c r="P507" t="s">
        <v>22</v>
      </c>
    </row>
    <row r="508" spans="1:16" x14ac:dyDescent="0.3">
      <c r="A508" t="s">
        <v>87</v>
      </c>
      <c r="B508" t="s">
        <v>33</v>
      </c>
      <c r="C508" t="s">
        <v>37</v>
      </c>
      <c r="D508" t="s">
        <v>39</v>
      </c>
      <c r="E508">
        <v>7</v>
      </c>
      <c r="F508">
        <v>148.80000000000001</v>
      </c>
      <c r="G508">
        <v>94.9</v>
      </c>
      <c r="H508">
        <v>5.6</v>
      </c>
      <c r="I508">
        <v>2</v>
      </c>
      <c r="J508">
        <v>8.7200000000000006</v>
      </c>
      <c r="K508">
        <v>4.6399999999999997</v>
      </c>
      <c r="L508">
        <v>0</v>
      </c>
      <c r="M508" t="s">
        <v>34</v>
      </c>
      <c r="N508" t="s">
        <v>21</v>
      </c>
      <c r="O508">
        <v>14.81</v>
      </c>
      <c r="P508" t="s">
        <v>28</v>
      </c>
    </row>
    <row r="509" spans="1:16" x14ac:dyDescent="0.3">
      <c r="A509" t="s">
        <v>87</v>
      </c>
      <c r="B509" t="s">
        <v>17</v>
      </c>
      <c r="C509" t="s">
        <v>41</v>
      </c>
      <c r="D509" t="s">
        <v>29</v>
      </c>
      <c r="E509">
        <v>7</v>
      </c>
      <c r="F509">
        <v>156.30000000000001</v>
      </c>
      <c r="G509">
        <v>99</v>
      </c>
      <c r="H509">
        <v>7.2</v>
      </c>
      <c r="I509">
        <v>2</v>
      </c>
      <c r="J509">
        <v>7.92</v>
      </c>
      <c r="K509">
        <v>8</v>
      </c>
      <c r="L509">
        <v>1</v>
      </c>
      <c r="M509" t="s">
        <v>34</v>
      </c>
      <c r="N509" t="s">
        <v>26</v>
      </c>
      <c r="O509">
        <v>13.82</v>
      </c>
      <c r="P509" t="s">
        <v>28</v>
      </c>
    </row>
    <row r="510" spans="1:16" x14ac:dyDescent="0.3">
      <c r="A510" t="s">
        <v>87</v>
      </c>
      <c r="B510" t="s">
        <v>17</v>
      </c>
      <c r="C510" t="s">
        <v>24</v>
      </c>
      <c r="D510" t="s">
        <v>39</v>
      </c>
      <c r="E510">
        <v>8</v>
      </c>
      <c r="F510">
        <v>165.8</v>
      </c>
      <c r="G510">
        <v>91.7</v>
      </c>
      <c r="H510">
        <v>5.7</v>
      </c>
      <c r="I510">
        <v>5</v>
      </c>
      <c r="J510">
        <v>9.1199999999999992</v>
      </c>
      <c r="K510">
        <v>5.94</v>
      </c>
      <c r="L510">
        <v>0</v>
      </c>
      <c r="M510" t="s">
        <v>25</v>
      </c>
      <c r="N510" t="s">
        <v>21</v>
      </c>
      <c r="O510">
        <v>10.94</v>
      </c>
      <c r="P510" t="s">
        <v>30</v>
      </c>
    </row>
    <row r="511" spans="1:16" x14ac:dyDescent="0.3">
      <c r="A511" t="s">
        <v>87</v>
      </c>
      <c r="B511" t="s">
        <v>43</v>
      </c>
      <c r="C511" t="s">
        <v>31</v>
      </c>
      <c r="D511" t="s">
        <v>29</v>
      </c>
      <c r="E511">
        <v>3</v>
      </c>
      <c r="F511">
        <v>127.5</v>
      </c>
      <c r="G511">
        <v>100</v>
      </c>
      <c r="H511">
        <v>1.9</v>
      </c>
      <c r="I511">
        <v>7</v>
      </c>
      <c r="J511">
        <v>9.85</v>
      </c>
      <c r="K511">
        <v>5.57</v>
      </c>
      <c r="L511">
        <v>1</v>
      </c>
      <c r="M511" t="s">
        <v>34</v>
      </c>
      <c r="N511" t="s">
        <v>35</v>
      </c>
      <c r="O511">
        <v>13.57</v>
      </c>
      <c r="P511" t="s">
        <v>32</v>
      </c>
    </row>
    <row r="512" spans="1:16" x14ac:dyDescent="0.3">
      <c r="A512" t="s">
        <v>87</v>
      </c>
      <c r="B512" t="s">
        <v>17</v>
      </c>
      <c r="C512" t="s">
        <v>18</v>
      </c>
      <c r="D512" t="s">
        <v>39</v>
      </c>
      <c r="E512">
        <v>8</v>
      </c>
      <c r="F512">
        <v>176.6</v>
      </c>
      <c r="G512">
        <v>93.8</v>
      </c>
      <c r="H512">
        <v>7.4</v>
      </c>
      <c r="I512">
        <v>9</v>
      </c>
      <c r="J512">
        <v>8.2200000000000006</v>
      </c>
      <c r="K512">
        <v>8.01</v>
      </c>
      <c r="L512">
        <v>1</v>
      </c>
      <c r="M512" t="s">
        <v>34</v>
      </c>
      <c r="N512" t="s">
        <v>26</v>
      </c>
      <c r="O512">
        <v>14.58</v>
      </c>
      <c r="P512" t="s">
        <v>36</v>
      </c>
    </row>
    <row r="513" spans="1:16" x14ac:dyDescent="0.3">
      <c r="A513" t="s">
        <v>87</v>
      </c>
      <c r="B513" t="s">
        <v>17</v>
      </c>
      <c r="C513" t="s">
        <v>37</v>
      </c>
      <c r="D513" t="s">
        <v>39</v>
      </c>
      <c r="E513">
        <v>6</v>
      </c>
      <c r="F513">
        <v>159.6</v>
      </c>
      <c r="G513">
        <v>92.4</v>
      </c>
      <c r="H513">
        <v>7.1</v>
      </c>
      <c r="I513">
        <v>4</v>
      </c>
      <c r="J513">
        <v>8.19</v>
      </c>
      <c r="K513">
        <v>7.51</v>
      </c>
      <c r="L513">
        <v>0</v>
      </c>
      <c r="M513" t="s">
        <v>20</v>
      </c>
      <c r="N513" t="s">
        <v>26</v>
      </c>
      <c r="O513">
        <v>4.4400000000000004</v>
      </c>
      <c r="P513" t="s">
        <v>38</v>
      </c>
    </row>
    <row r="514" spans="1:16" x14ac:dyDescent="0.3">
      <c r="A514" t="s">
        <v>87</v>
      </c>
      <c r="B514" t="s">
        <v>27</v>
      </c>
      <c r="C514" t="s">
        <v>41</v>
      </c>
      <c r="D514" t="s">
        <v>39</v>
      </c>
      <c r="E514">
        <v>9</v>
      </c>
      <c r="F514">
        <v>174.6</v>
      </c>
      <c r="G514">
        <v>99.5</v>
      </c>
      <c r="I514">
        <v>7</v>
      </c>
      <c r="J514">
        <v>7.62</v>
      </c>
      <c r="K514">
        <v>4.93</v>
      </c>
      <c r="L514">
        <v>0</v>
      </c>
      <c r="M514" t="s">
        <v>25</v>
      </c>
      <c r="N514" t="s">
        <v>26</v>
      </c>
      <c r="O514">
        <v>9.43</v>
      </c>
      <c r="P514" t="s">
        <v>40</v>
      </c>
    </row>
    <row r="515" spans="1:16" x14ac:dyDescent="0.3">
      <c r="A515" t="s">
        <v>87</v>
      </c>
      <c r="B515" t="s">
        <v>43</v>
      </c>
      <c r="C515" t="s">
        <v>37</v>
      </c>
      <c r="D515" t="s">
        <v>29</v>
      </c>
      <c r="E515">
        <v>7</v>
      </c>
      <c r="F515">
        <v>165.2</v>
      </c>
      <c r="G515">
        <v>81.599999999999994</v>
      </c>
      <c r="H515">
        <v>6</v>
      </c>
      <c r="I515">
        <v>6</v>
      </c>
      <c r="J515">
        <v>6.01</v>
      </c>
      <c r="K515">
        <v>5.43</v>
      </c>
      <c r="L515">
        <v>1</v>
      </c>
      <c r="M515" t="s">
        <v>25</v>
      </c>
      <c r="N515" t="s">
        <v>35</v>
      </c>
      <c r="O515">
        <v>13.04</v>
      </c>
      <c r="P515" t="s">
        <v>42</v>
      </c>
    </row>
    <row r="516" spans="1:16" x14ac:dyDescent="0.3">
      <c r="A516" t="s">
        <v>87</v>
      </c>
      <c r="B516" t="s">
        <v>23</v>
      </c>
      <c r="C516" t="s">
        <v>31</v>
      </c>
      <c r="D516" t="s">
        <v>19</v>
      </c>
      <c r="E516">
        <v>4</v>
      </c>
      <c r="F516">
        <v>141.4</v>
      </c>
      <c r="G516">
        <v>100</v>
      </c>
      <c r="H516">
        <v>6.7</v>
      </c>
      <c r="I516">
        <v>8</v>
      </c>
      <c r="J516">
        <v>6.57</v>
      </c>
      <c r="K516">
        <v>7.01</v>
      </c>
      <c r="L516">
        <v>0</v>
      </c>
      <c r="M516" t="s">
        <v>20</v>
      </c>
      <c r="N516" t="s">
        <v>26</v>
      </c>
      <c r="O516">
        <v>14.05</v>
      </c>
      <c r="P516" t="s">
        <v>44</v>
      </c>
    </row>
    <row r="517" spans="1:16" x14ac:dyDescent="0.3">
      <c r="A517" t="s">
        <v>87</v>
      </c>
      <c r="B517" t="s">
        <v>23</v>
      </c>
      <c r="C517" t="s">
        <v>18</v>
      </c>
      <c r="D517" t="s">
        <v>19</v>
      </c>
      <c r="E517">
        <v>3</v>
      </c>
      <c r="F517">
        <v>149.1</v>
      </c>
      <c r="G517">
        <v>94.3</v>
      </c>
      <c r="I517">
        <v>4</v>
      </c>
      <c r="J517">
        <v>8.1199999999999992</v>
      </c>
      <c r="K517">
        <v>6.21</v>
      </c>
      <c r="L517">
        <v>0</v>
      </c>
      <c r="M517" t="s">
        <v>20</v>
      </c>
      <c r="N517" t="s">
        <v>35</v>
      </c>
      <c r="O517">
        <v>9.52</v>
      </c>
      <c r="P517" t="s">
        <v>45</v>
      </c>
    </row>
    <row r="518" spans="1:16" x14ac:dyDescent="0.3">
      <c r="A518" t="s">
        <v>88</v>
      </c>
      <c r="B518" t="s">
        <v>27</v>
      </c>
      <c r="C518" t="s">
        <v>24</v>
      </c>
      <c r="D518" t="s">
        <v>29</v>
      </c>
      <c r="E518">
        <v>5</v>
      </c>
      <c r="F518">
        <v>133</v>
      </c>
      <c r="G518">
        <v>94.5</v>
      </c>
      <c r="H518">
        <v>3.9</v>
      </c>
      <c r="I518">
        <v>4</v>
      </c>
      <c r="J518">
        <v>5.92</v>
      </c>
      <c r="K518">
        <v>3.66</v>
      </c>
      <c r="L518">
        <v>0</v>
      </c>
      <c r="M518" t="s">
        <v>34</v>
      </c>
      <c r="N518" t="s">
        <v>26</v>
      </c>
      <c r="O518">
        <v>13.82</v>
      </c>
      <c r="P518" t="s">
        <v>22</v>
      </c>
    </row>
    <row r="519" spans="1:16" x14ac:dyDescent="0.3">
      <c r="A519" t="s">
        <v>88</v>
      </c>
      <c r="B519" t="s">
        <v>43</v>
      </c>
      <c r="C519" t="s">
        <v>31</v>
      </c>
      <c r="D519" t="s">
        <v>19</v>
      </c>
      <c r="E519">
        <v>1</v>
      </c>
      <c r="F519">
        <v>171.1</v>
      </c>
      <c r="G519">
        <v>96</v>
      </c>
      <c r="H519">
        <v>5.5</v>
      </c>
      <c r="I519">
        <v>6</v>
      </c>
      <c r="J519">
        <v>6.98</v>
      </c>
      <c r="K519">
        <v>7.93</v>
      </c>
      <c r="L519">
        <v>0</v>
      </c>
      <c r="M519" t="s">
        <v>20</v>
      </c>
      <c r="N519" t="s">
        <v>21</v>
      </c>
      <c r="O519">
        <v>13.04</v>
      </c>
      <c r="P519" t="s">
        <v>22</v>
      </c>
    </row>
    <row r="520" spans="1:16" x14ac:dyDescent="0.3">
      <c r="A520" t="s">
        <v>88</v>
      </c>
      <c r="B520" t="s">
        <v>43</v>
      </c>
      <c r="C520" t="s">
        <v>18</v>
      </c>
      <c r="D520" t="s">
        <v>29</v>
      </c>
      <c r="E520">
        <v>7</v>
      </c>
      <c r="F520">
        <v>170.9</v>
      </c>
      <c r="G520">
        <v>98.9</v>
      </c>
      <c r="H520">
        <v>9.4</v>
      </c>
      <c r="I520">
        <v>5</v>
      </c>
      <c r="K520">
        <v>8.8800000000000008</v>
      </c>
      <c r="L520">
        <v>0</v>
      </c>
      <c r="M520" t="s">
        <v>25</v>
      </c>
      <c r="N520" t="s">
        <v>35</v>
      </c>
      <c r="O520">
        <v>20.63</v>
      </c>
      <c r="P520" t="s">
        <v>28</v>
      </c>
    </row>
    <row r="521" spans="1:16" x14ac:dyDescent="0.3">
      <c r="A521" t="s">
        <v>88</v>
      </c>
      <c r="B521" t="s">
        <v>33</v>
      </c>
      <c r="C521" t="s">
        <v>24</v>
      </c>
      <c r="D521" t="s">
        <v>29</v>
      </c>
      <c r="E521">
        <v>10</v>
      </c>
      <c r="F521">
        <v>163.69999999999999</v>
      </c>
      <c r="G521">
        <v>95.6</v>
      </c>
      <c r="H521">
        <v>6.9</v>
      </c>
      <c r="I521">
        <v>3</v>
      </c>
      <c r="J521">
        <v>8.67</v>
      </c>
      <c r="K521">
        <v>6.37</v>
      </c>
      <c r="L521">
        <v>0</v>
      </c>
      <c r="M521" t="s">
        <v>20</v>
      </c>
      <c r="N521" t="s">
        <v>35</v>
      </c>
      <c r="O521">
        <v>14.94</v>
      </c>
      <c r="P521" t="s">
        <v>28</v>
      </c>
    </row>
    <row r="522" spans="1:16" x14ac:dyDescent="0.3">
      <c r="A522" t="s">
        <v>88</v>
      </c>
      <c r="B522" t="s">
        <v>23</v>
      </c>
      <c r="C522" t="s">
        <v>31</v>
      </c>
      <c r="D522" t="s">
        <v>39</v>
      </c>
      <c r="E522">
        <v>1</v>
      </c>
      <c r="F522">
        <v>147.5</v>
      </c>
      <c r="G522">
        <v>96.1</v>
      </c>
      <c r="H522">
        <v>3.5</v>
      </c>
      <c r="I522">
        <v>5</v>
      </c>
      <c r="J522">
        <v>4.83</v>
      </c>
      <c r="K522">
        <v>8.5500000000000007</v>
      </c>
      <c r="L522">
        <v>0</v>
      </c>
      <c r="M522" t="s">
        <v>20</v>
      </c>
      <c r="N522" t="s">
        <v>35</v>
      </c>
      <c r="O522">
        <v>13.91</v>
      </c>
      <c r="P522" t="s">
        <v>30</v>
      </c>
    </row>
    <row r="523" spans="1:16" x14ac:dyDescent="0.3">
      <c r="A523" t="s">
        <v>88</v>
      </c>
      <c r="B523" t="s">
        <v>27</v>
      </c>
      <c r="C523" t="s">
        <v>41</v>
      </c>
      <c r="D523" t="s">
        <v>29</v>
      </c>
      <c r="E523">
        <v>5</v>
      </c>
      <c r="F523">
        <v>158.69999999999999</v>
      </c>
      <c r="G523">
        <v>100</v>
      </c>
      <c r="H523">
        <v>4.5</v>
      </c>
      <c r="I523">
        <v>6</v>
      </c>
      <c r="J523">
        <v>5.84</v>
      </c>
      <c r="K523">
        <v>6.94</v>
      </c>
      <c r="L523">
        <v>1</v>
      </c>
      <c r="M523" t="s">
        <v>20</v>
      </c>
      <c r="N523" t="s">
        <v>26</v>
      </c>
      <c r="O523">
        <v>8.89</v>
      </c>
      <c r="P523" t="s">
        <v>32</v>
      </c>
    </row>
    <row r="524" spans="1:16" x14ac:dyDescent="0.3">
      <c r="A524" t="s">
        <v>88</v>
      </c>
      <c r="B524" t="s">
        <v>33</v>
      </c>
      <c r="C524" t="s">
        <v>24</v>
      </c>
      <c r="D524" t="s">
        <v>29</v>
      </c>
      <c r="E524">
        <v>4</v>
      </c>
      <c r="F524">
        <v>175.8</v>
      </c>
      <c r="G524">
        <v>88</v>
      </c>
      <c r="H524">
        <v>2.1</v>
      </c>
      <c r="I524">
        <v>6</v>
      </c>
      <c r="J524">
        <v>4.95</v>
      </c>
      <c r="K524">
        <v>6.55</v>
      </c>
      <c r="L524">
        <v>1</v>
      </c>
      <c r="M524" t="s">
        <v>34</v>
      </c>
      <c r="N524" t="s">
        <v>21</v>
      </c>
      <c r="O524">
        <v>13.1</v>
      </c>
      <c r="P524" t="s">
        <v>36</v>
      </c>
    </row>
    <row r="525" spans="1:16" x14ac:dyDescent="0.3">
      <c r="A525" t="s">
        <v>88</v>
      </c>
      <c r="B525" t="s">
        <v>43</v>
      </c>
      <c r="C525" t="s">
        <v>37</v>
      </c>
      <c r="D525" t="s">
        <v>29</v>
      </c>
      <c r="E525">
        <v>8</v>
      </c>
      <c r="F525">
        <v>163.30000000000001</v>
      </c>
      <c r="G525">
        <v>82.5</v>
      </c>
      <c r="H525">
        <v>4</v>
      </c>
      <c r="I525">
        <v>4</v>
      </c>
      <c r="J525">
        <v>9.3000000000000007</v>
      </c>
      <c r="K525">
        <v>3.57</v>
      </c>
      <c r="L525">
        <v>1</v>
      </c>
      <c r="M525" t="s">
        <v>20</v>
      </c>
      <c r="N525" t="s">
        <v>26</v>
      </c>
      <c r="O525">
        <v>3.89</v>
      </c>
      <c r="P525" t="s">
        <v>38</v>
      </c>
    </row>
    <row r="526" spans="1:16" x14ac:dyDescent="0.3">
      <c r="A526" t="s">
        <v>88</v>
      </c>
      <c r="B526" t="s">
        <v>27</v>
      </c>
      <c r="C526" t="s">
        <v>37</v>
      </c>
      <c r="D526" t="s">
        <v>19</v>
      </c>
      <c r="E526">
        <v>10</v>
      </c>
      <c r="F526">
        <v>174.1</v>
      </c>
      <c r="G526">
        <v>97.4</v>
      </c>
      <c r="H526">
        <v>4.2</v>
      </c>
      <c r="I526">
        <v>10</v>
      </c>
      <c r="J526">
        <v>8.07</v>
      </c>
      <c r="K526">
        <v>5</v>
      </c>
      <c r="L526">
        <v>1</v>
      </c>
      <c r="M526" t="s">
        <v>25</v>
      </c>
      <c r="N526" t="s">
        <v>26</v>
      </c>
      <c r="O526">
        <v>10.01</v>
      </c>
      <c r="P526" t="s">
        <v>40</v>
      </c>
    </row>
    <row r="527" spans="1:16" x14ac:dyDescent="0.3">
      <c r="A527" t="s">
        <v>88</v>
      </c>
      <c r="B527" t="s">
        <v>33</v>
      </c>
      <c r="C527" t="s">
        <v>37</v>
      </c>
      <c r="D527" t="s">
        <v>19</v>
      </c>
      <c r="E527">
        <v>5</v>
      </c>
      <c r="F527">
        <v>151.19999999999999</v>
      </c>
      <c r="G527">
        <v>89</v>
      </c>
      <c r="H527">
        <v>2.4</v>
      </c>
      <c r="I527">
        <v>3</v>
      </c>
      <c r="J527">
        <v>8.98</v>
      </c>
      <c r="K527">
        <v>7.74</v>
      </c>
      <c r="L527">
        <v>1</v>
      </c>
      <c r="M527" t="s">
        <v>25</v>
      </c>
      <c r="N527" t="s">
        <v>21</v>
      </c>
      <c r="O527">
        <v>10.07</v>
      </c>
      <c r="P527" t="s">
        <v>42</v>
      </c>
    </row>
    <row r="528" spans="1:16" x14ac:dyDescent="0.3">
      <c r="A528" t="s">
        <v>88</v>
      </c>
      <c r="B528" t="s">
        <v>23</v>
      </c>
      <c r="C528" t="s">
        <v>31</v>
      </c>
      <c r="D528" t="s">
        <v>29</v>
      </c>
      <c r="E528">
        <v>3</v>
      </c>
      <c r="F528">
        <v>168.2</v>
      </c>
      <c r="G528">
        <v>94</v>
      </c>
      <c r="H528">
        <v>5.6</v>
      </c>
      <c r="I528">
        <v>8</v>
      </c>
      <c r="J528">
        <v>10</v>
      </c>
      <c r="K528">
        <v>10</v>
      </c>
      <c r="L528">
        <v>0</v>
      </c>
      <c r="M528" t="s">
        <v>20</v>
      </c>
      <c r="N528" t="s">
        <v>26</v>
      </c>
      <c r="O528">
        <v>10.6</v>
      </c>
      <c r="P528" t="s">
        <v>44</v>
      </c>
    </row>
    <row r="529" spans="1:16" x14ac:dyDescent="0.3">
      <c r="A529" t="s">
        <v>88</v>
      </c>
      <c r="B529" t="s">
        <v>27</v>
      </c>
      <c r="C529" t="s">
        <v>37</v>
      </c>
      <c r="D529" t="s">
        <v>39</v>
      </c>
      <c r="E529">
        <v>9</v>
      </c>
      <c r="F529">
        <v>156.1</v>
      </c>
      <c r="G529">
        <v>89.8</v>
      </c>
      <c r="H529">
        <v>3.4</v>
      </c>
      <c r="I529">
        <v>10</v>
      </c>
      <c r="J529">
        <v>4.79</v>
      </c>
      <c r="K529">
        <v>9.11</v>
      </c>
      <c r="L529">
        <v>1</v>
      </c>
      <c r="M529" t="s">
        <v>34</v>
      </c>
      <c r="N529" t="s">
        <v>26</v>
      </c>
      <c r="O529">
        <v>16.02</v>
      </c>
      <c r="P529" t="s">
        <v>45</v>
      </c>
    </row>
    <row r="530" spans="1:16" x14ac:dyDescent="0.3">
      <c r="A530" t="s">
        <v>89</v>
      </c>
      <c r="B530" t="s">
        <v>43</v>
      </c>
      <c r="C530" t="s">
        <v>41</v>
      </c>
      <c r="D530" t="s">
        <v>19</v>
      </c>
      <c r="E530">
        <v>9</v>
      </c>
      <c r="F530">
        <v>155.80000000000001</v>
      </c>
      <c r="G530">
        <v>98.5</v>
      </c>
      <c r="H530">
        <v>7.2</v>
      </c>
      <c r="I530">
        <v>3</v>
      </c>
      <c r="J530">
        <v>9.3000000000000007</v>
      </c>
      <c r="K530">
        <v>8.08</v>
      </c>
      <c r="L530">
        <v>0</v>
      </c>
      <c r="M530" t="s">
        <v>25</v>
      </c>
      <c r="N530" t="s">
        <v>21</v>
      </c>
      <c r="O530">
        <v>17</v>
      </c>
      <c r="P530" t="s">
        <v>22</v>
      </c>
    </row>
    <row r="531" spans="1:16" x14ac:dyDescent="0.3">
      <c r="A531" t="s">
        <v>89</v>
      </c>
      <c r="B531" t="s">
        <v>27</v>
      </c>
      <c r="C531" t="s">
        <v>18</v>
      </c>
      <c r="D531" t="s">
        <v>19</v>
      </c>
      <c r="E531">
        <v>10</v>
      </c>
      <c r="F531">
        <v>157.19999999999999</v>
      </c>
      <c r="G531">
        <v>100</v>
      </c>
      <c r="H531">
        <v>3.1</v>
      </c>
      <c r="I531">
        <v>5</v>
      </c>
      <c r="J531">
        <v>6.14</v>
      </c>
      <c r="K531">
        <v>6.25</v>
      </c>
      <c r="L531">
        <v>0</v>
      </c>
      <c r="M531" t="s">
        <v>20</v>
      </c>
      <c r="N531" t="s">
        <v>26</v>
      </c>
      <c r="O531">
        <v>7.14</v>
      </c>
      <c r="P531" t="s">
        <v>22</v>
      </c>
    </row>
    <row r="532" spans="1:16" x14ac:dyDescent="0.3">
      <c r="A532" t="s">
        <v>89</v>
      </c>
      <c r="B532" t="s">
        <v>33</v>
      </c>
      <c r="C532" t="s">
        <v>18</v>
      </c>
      <c r="D532" t="s">
        <v>19</v>
      </c>
      <c r="E532">
        <v>2</v>
      </c>
      <c r="F532">
        <v>151.6</v>
      </c>
      <c r="G532">
        <v>84.5</v>
      </c>
      <c r="H532">
        <v>2.2000000000000002</v>
      </c>
      <c r="I532">
        <v>4</v>
      </c>
      <c r="J532">
        <v>7.77</v>
      </c>
      <c r="K532">
        <v>10</v>
      </c>
      <c r="L532">
        <v>0</v>
      </c>
      <c r="M532" t="s">
        <v>25</v>
      </c>
      <c r="N532" t="s">
        <v>21</v>
      </c>
      <c r="O532">
        <v>11.67</v>
      </c>
      <c r="P532" t="s">
        <v>28</v>
      </c>
    </row>
    <row r="533" spans="1:16" x14ac:dyDescent="0.3">
      <c r="A533" t="s">
        <v>89</v>
      </c>
      <c r="B533" t="s">
        <v>27</v>
      </c>
      <c r="C533" t="s">
        <v>41</v>
      </c>
      <c r="D533" t="s">
        <v>29</v>
      </c>
      <c r="E533">
        <v>6</v>
      </c>
      <c r="F533">
        <v>164.8</v>
      </c>
      <c r="G533">
        <v>89.9</v>
      </c>
      <c r="H533">
        <v>5.0999999999999996</v>
      </c>
      <c r="I533">
        <v>3</v>
      </c>
      <c r="J533">
        <v>5.21</v>
      </c>
      <c r="K533">
        <v>4.82</v>
      </c>
      <c r="L533">
        <v>0</v>
      </c>
      <c r="M533" t="s">
        <v>34</v>
      </c>
      <c r="N533" t="s">
        <v>26</v>
      </c>
      <c r="O533">
        <v>13.36</v>
      </c>
      <c r="P533" t="s">
        <v>28</v>
      </c>
    </row>
    <row r="534" spans="1:16" x14ac:dyDescent="0.3">
      <c r="A534" t="s">
        <v>89</v>
      </c>
      <c r="B534" t="s">
        <v>23</v>
      </c>
      <c r="C534" t="s">
        <v>24</v>
      </c>
      <c r="D534" t="s">
        <v>39</v>
      </c>
      <c r="E534">
        <v>7</v>
      </c>
      <c r="F534">
        <v>163.9</v>
      </c>
      <c r="G534">
        <v>89.1</v>
      </c>
      <c r="H534">
        <v>6.9</v>
      </c>
      <c r="I534">
        <v>3</v>
      </c>
      <c r="J534">
        <v>4.84</v>
      </c>
      <c r="K534">
        <v>10</v>
      </c>
      <c r="L534">
        <v>0</v>
      </c>
      <c r="M534" t="s">
        <v>34</v>
      </c>
      <c r="N534" t="s">
        <v>35</v>
      </c>
      <c r="O534">
        <v>8.52</v>
      </c>
      <c r="P534" t="s">
        <v>30</v>
      </c>
    </row>
    <row r="535" spans="1:16" x14ac:dyDescent="0.3">
      <c r="A535" t="s">
        <v>89</v>
      </c>
      <c r="B535" t="s">
        <v>17</v>
      </c>
      <c r="C535" t="s">
        <v>24</v>
      </c>
      <c r="D535" t="s">
        <v>19</v>
      </c>
      <c r="E535">
        <v>10</v>
      </c>
      <c r="F535">
        <v>148.80000000000001</v>
      </c>
      <c r="G535">
        <v>83.3</v>
      </c>
      <c r="H535">
        <v>7.5</v>
      </c>
      <c r="I535">
        <v>13</v>
      </c>
      <c r="J535">
        <v>5.29</v>
      </c>
      <c r="K535">
        <v>9.31</v>
      </c>
      <c r="L535">
        <v>1</v>
      </c>
      <c r="M535" t="s">
        <v>34</v>
      </c>
      <c r="N535" t="s">
        <v>35</v>
      </c>
      <c r="O535">
        <v>19.63</v>
      </c>
      <c r="P535" t="s">
        <v>32</v>
      </c>
    </row>
    <row r="536" spans="1:16" x14ac:dyDescent="0.3">
      <c r="A536" t="s">
        <v>89</v>
      </c>
      <c r="B536" t="s">
        <v>17</v>
      </c>
      <c r="C536" t="s">
        <v>41</v>
      </c>
      <c r="D536" t="s">
        <v>39</v>
      </c>
      <c r="E536">
        <v>3</v>
      </c>
      <c r="F536">
        <v>146.5</v>
      </c>
      <c r="G536">
        <v>92.7</v>
      </c>
      <c r="H536">
        <v>2.2999999999999998</v>
      </c>
      <c r="I536">
        <v>6</v>
      </c>
      <c r="J536">
        <v>6.15</v>
      </c>
      <c r="K536">
        <v>10</v>
      </c>
      <c r="L536">
        <v>0</v>
      </c>
      <c r="M536" t="s">
        <v>25</v>
      </c>
      <c r="N536" t="s">
        <v>35</v>
      </c>
      <c r="O536">
        <v>21</v>
      </c>
      <c r="P536" t="s">
        <v>36</v>
      </c>
    </row>
    <row r="537" spans="1:16" x14ac:dyDescent="0.3">
      <c r="A537" t="s">
        <v>89</v>
      </c>
      <c r="B537" t="s">
        <v>23</v>
      </c>
      <c r="C537" t="s">
        <v>41</v>
      </c>
      <c r="D537" t="s">
        <v>39</v>
      </c>
      <c r="E537">
        <v>2</v>
      </c>
      <c r="F537">
        <v>173.6</v>
      </c>
      <c r="G537">
        <v>98.1</v>
      </c>
      <c r="H537">
        <v>6.5</v>
      </c>
      <c r="I537">
        <v>7</v>
      </c>
      <c r="J537">
        <v>7.45</v>
      </c>
      <c r="K537">
        <v>5.93</v>
      </c>
      <c r="L537">
        <v>1</v>
      </c>
      <c r="M537" t="s">
        <v>20</v>
      </c>
      <c r="N537" t="s">
        <v>26</v>
      </c>
      <c r="O537">
        <v>21.76</v>
      </c>
      <c r="P537" t="s">
        <v>38</v>
      </c>
    </row>
    <row r="538" spans="1:16" x14ac:dyDescent="0.3">
      <c r="A538" t="s">
        <v>89</v>
      </c>
      <c r="B538" t="s">
        <v>17</v>
      </c>
      <c r="C538" t="s">
        <v>41</v>
      </c>
      <c r="D538" t="s">
        <v>39</v>
      </c>
      <c r="E538">
        <v>5</v>
      </c>
      <c r="F538">
        <v>153.80000000000001</v>
      </c>
      <c r="G538">
        <v>98.8</v>
      </c>
      <c r="H538">
        <v>6.1</v>
      </c>
      <c r="I538">
        <v>1</v>
      </c>
      <c r="J538">
        <v>5.26</v>
      </c>
      <c r="K538">
        <v>7.54</v>
      </c>
      <c r="L538">
        <v>1</v>
      </c>
      <c r="M538" t="s">
        <v>34</v>
      </c>
      <c r="N538" t="s">
        <v>35</v>
      </c>
      <c r="O538">
        <v>4.45</v>
      </c>
      <c r="P538" t="s">
        <v>40</v>
      </c>
    </row>
    <row r="539" spans="1:16" x14ac:dyDescent="0.3">
      <c r="A539" t="s">
        <v>89</v>
      </c>
      <c r="B539" t="s">
        <v>17</v>
      </c>
      <c r="C539" t="s">
        <v>31</v>
      </c>
      <c r="D539" t="s">
        <v>39</v>
      </c>
      <c r="E539">
        <v>7</v>
      </c>
      <c r="F539">
        <v>154.5</v>
      </c>
      <c r="G539">
        <v>94.9</v>
      </c>
      <c r="H539">
        <v>8.6999999999999993</v>
      </c>
      <c r="I539">
        <v>5</v>
      </c>
      <c r="J539">
        <v>7.98</v>
      </c>
      <c r="K539">
        <v>5.17</v>
      </c>
      <c r="L539">
        <v>0</v>
      </c>
      <c r="M539" t="s">
        <v>25</v>
      </c>
      <c r="N539" t="s">
        <v>26</v>
      </c>
      <c r="O539">
        <v>11.23</v>
      </c>
      <c r="P539" t="s">
        <v>42</v>
      </c>
    </row>
    <row r="540" spans="1:16" x14ac:dyDescent="0.3">
      <c r="A540" t="s">
        <v>89</v>
      </c>
      <c r="B540" t="s">
        <v>23</v>
      </c>
      <c r="C540" t="s">
        <v>41</v>
      </c>
      <c r="D540" t="s">
        <v>29</v>
      </c>
      <c r="E540">
        <v>8</v>
      </c>
      <c r="F540">
        <v>159.19999999999999</v>
      </c>
      <c r="G540">
        <v>94.7</v>
      </c>
      <c r="H540">
        <v>5.5</v>
      </c>
      <c r="I540">
        <v>4</v>
      </c>
      <c r="J540">
        <v>7.37</v>
      </c>
      <c r="K540">
        <v>1</v>
      </c>
      <c r="L540">
        <v>0</v>
      </c>
      <c r="M540" t="s">
        <v>25</v>
      </c>
      <c r="N540" t="s">
        <v>35</v>
      </c>
      <c r="O540">
        <v>12.85</v>
      </c>
      <c r="P540" t="s">
        <v>44</v>
      </c>
    </row>
    <row r="541" spans="1:16" x14ac:dyDescent="0.3">
      <c r="A541" t="s">
        <v>89</v>
      </c>
      <c r="B541" t="s">
        <v>33</v>
      </c>
      <c r="C541" t="s">
        <v>18</v>
      </c>
      <c r="D541" t="s">
        <v>19</v>
      </c>
      <c r="E541">
        <v>3</v>
      </c>
      <c r="F541">
        <v>138.69999999999999</v>
      </c>
      <c r="G541">
        <v>94.5</v>
      </c>
      <c r="H541">
        <v>5.3</v>
      </c>
      <c r="I541">
        <v>6</v>
      </c>
      <c r="J541">
        <v>5.78</v>
      </c>
      <c r="K541">
        <v>4.03</v>
      </c>
      <c r="L541">
        <v>0</v>
      </c>
      <c r="M541" t="s">
        <v>25</v>
      </c>
      <c r="N541" t="s">
        <v>21</v>
      </c>
      <c r="O541">
        <v>17.149999999999999</v>
      </c>
      <c r="P541" t="s">
        <v>45</v>
      </c>
    </row>
    <row r="542" spans="1:16" x14ac:dyDescent="0.3">
      <c r="A542" t="s">
        <v>90</v>
      </c>
      <c r="B542" t="s">
        <v>43</v>
      </c>
      <c r="C542" t="s">
        <v>18</v>
      </c>
      <c r="D542" t="s">
        <v>39</v>
      </c>
      <c r="E542">
        <v>4</v>
      </c>
      <c r="F542">
        <v>155.80000000000001</v>
      </c>
      <c r="G542">
        <v>85.4</v>
      </c>
      <c r="H542">
        <v>6.3</v>
      </c>
      <c r="I542">
        <v>6</v>
      </c>
      <c r="J542">
        <v>5.52</v>
      </c>
      <c r="K542">
        <v>7.56</v>
      </c>
      <c r="L542">
        <v>0</v>
      </c>
      <c r="M542" t="s">
        <v>20</v>
      </c>
      <c r="N542" t="s">
        <v>21</v>
      </c>
      <c r="O542">
        <v>18.29</v>
      </c>
      <c r="P542" t="s">
        <v>22</v>
      </c>
    </row>
    <row r="543" spans="1:16" x14ac:dyDescent="0.3">
      <c r="A543" t="s">
        <v>90</v>
      </c>
      <c r="B543" t="s">
        <v>23</v>
      </c>
      <c r="C543" t="s">
        <v>31</v>
      </c>
      <c r="D543" t="s">
        <v>39</v>
      </c>
      <c r="E543">
        <v>8</v>
      </c>
      <c r="F543">
        <v>160.9</v>
      </c>
      <c r="G543">
        <v>100</v>
      </c>
      <c r="H543">
        <v>10.3</v>
      </c>
      <c r="I543">
        <v>6</v>
      </c>
      <c r="J543">
        <v>7.65</v>
      </c>
      <c r="K543">
        <v>7.46</v>
      </c>
      <c r="L543">
        <v>1</v>
      </c>
      <c r="M543" t="s">
        <v>20</v>
      </c>
      <c r="N543" t="s">
        <v>35</v>
      </c>
      <c r="O543">
        <v>15.52</v>
      </c>
      <c r="P543" t="s">
        <v>22</v>
      </c>
    </row>
    <row r="544" spans="1:16" x14ac:dyDescent="0.3">
      <c r="A544" t="s">
        <v>90</v>
      </c>
      <c r="B544" t="s">
        <v>43</v>
      </c>
      <c r="C544" t="s">
        <v>31</v>
      </c>
      <c r="D544" t="s">
        <v>29</v>
      </c>
      <c r="E544">
        <v>9</v>
      </c>
      <c r="F544">
        <v>154.9</v>
      </c>
      <c r="G544">
        <v>95.9</v>
      </c>
      <c r="H544">
        <v>4.0999999999999996</v>
      </c>
      <c r="I544">
        <v>6</v>
      </c>
      <c r="J544">
        <v>10</v>
      </c>
      <c r="K544">
        <v>3.86</v>
      </c>
      <c r="L544">
        <v>1</v>
      </c>
      <c r="M544" t="s">
        <v>34</v>
      </c>
      <c r="N544" t="s">
        <v>26</v>
      </c>
      <c r="O544">
        <v>12.35</v>
      </c>
      <c r="P544" t="s">
        <v>28</v>
      </c>
    </row>
    <row r="545" spans="1:16" x14ac:dyDescent="0.3">
      <c r="A545" t="s">
        <v>90</v>
      </c>
      <c r="B545" t="s">
        <v>27</v>
      </c>
      <c r="C545" t="s">
        <v>24</v>
      </c>
      <c r="D545" t="s">
        <v>19</v>
      </c>
      <c r="E545">
        <v>6</v>
      </c>
      <c r="F545">
        <v>165.5</v>
      </c>
      <c r="G545">
        <v>99</v>
      </c>
      <c r="H545">
        <v>4.0999999999999996</v>
      </c>
      <c r="I545">
        <v>7</v>
      </c>
      <c r="J545">
        <v>8.24</v>
      </c>
      <c r="K545">
        <v>7.81</v>
      </c>
      <c r="L545">
        <v>1</v>
      </c>
      <c r="M545" t="s">
        <v>20</v>
      </c>
      <c r="N545" t="s">
        <v>21</v>
      </c>
      <c r="O545">
        <v>12.05</v>
      </c>
      <c r="P545" t="s">
        <v>28</v>
      </c>
    </row>
    <row r="546" spans="1:16" x14ac:dyDescent="0.3">
      <c r="A546" t="s">
        <v>90</v>
      </c>
      <c r="B546" t="s">
        <v>23</v>
      </c>
      <c r="C546" t="s">
        <v>41</v>
      </c>
      <c r="D546" t="s">
        <v>39</v>
      </c>
      <c r="E546">
        <v>1</v>
      </c>
      <c r="F546">
        <v>161</v>
      </c>
      <c r="G546">
        <v>99.2</v>
      </c>
      <c r="I546">
        <v>5</v>
      </c>
      <c r="J546">
        <v>6.49</v>
      </c>
      <c r="K546">
        <v>7.15</v>
      </c>
      <c r="L546">
        <v>0</v>
      </c>
      <c r="M546" t="s">
        <v>34</v>
      </c>
      <c r="N546" t="s">
        <v>21</v>
      </c>
      <c r="O546">
        <v>26.23</v>
      </c>
      <c r="P546" t="s">
        <v>30</v>
      </c>
    </row>
    <row r="547" spans="1:16" x14ac:dyDescent="0.3">
      <c r="A547" t="s">
        <v>90</v>
      </c>
      <c r="B547" t="s">
        <v>23</v>
      </c>
      <c r="C547" t="s">
        <v>18</v>
      </c>
      <c r="D547" t="s">
        <v>29</v>
      </c>
      <c r="E547">
        <v>1</v>
      </c>
      <c r="F547">
        <v>167.1</v>
      </c>
      <c r="G547">
        <v>93.8</v>
      </c>
      <c r="H547">
        <v>6.4</v>
      </c>
      <c r="I547">
        <v>10</v>
      </c>
      <c r="J547">
        <v>8.67</v>
      </c>
      <c r="K547">
        <v>10</v>
      </c>
      <c r="L547">
        <v>1</v>
      </c>
      <c r="M547" t="s">
        <v>20</v>
      </c>
      <c r="N547" t="s">
        <v>35</v>
      </c>
      <c r="O547">
        <v>1.24</v>
      </c>
      <c r="P547" t="s">
        <v>32</v>
      </c>
    </row>
    <row r="548" spans="1:16" x14ac:dyDescent="0.3">
      <c r="A548" t="s">
        <v>90</v>
      </c>
      <c r="B548" t="s">
        <v>27</v>
      </c>
      <c r="C548" t="s">
        <v>31</v>
      </c>
      <c r="D548" t="s">
        <v>19</v>
      </c>
      <c r="E548">
        <v>1</v>
      </c>
      <c r="F548">
        <v>154.69999999999999</v>
      </c>
      <c r="G548">
        <v>96.6</v>
      </c>
      <c r="H548">
        <v>5.2</v>
      </c>
      <c r="I548">
        <v>3</v>
      </c>
      <c r="J548">
        <v>7.69</v>
      </c>
      <c r="K548">
        <v>9.2200000000000006</v>
      </c>
      <c r="L548">
        <v>0</v>
      </c>
      <c r="M548" t="s">
        <v>20</v>
      </c>
      <c r="N548" t="s">
        <v>21</v>
      </c>
      <c r="O548">
        <v>14.85</v>
      </c>
      <c r="P548" t="s">
        <v>36</v>
      </c>
    </row>
    <row r="549" spans="1:16" x14ac:dyDescent="0.3">
      <c r="A549" t="s">
        <v>90</v>
      </c>
      <c r="B549" t="s">
        <v>23</v>
      </c>
      <c r="C549" t="s">
        <v>31</v>
      </c>
      <c r="D549" t="s">
        <v>39</v>
      </c>
      <c r="E549">
        <v>4</v>
      </c>
      <c r="F549">
        <v>154.6</v>
      </c>
      <c r="G549">
        <v>96.6</v>
      </c>
      <c r="H549">
        <v>4.0999999999999996</v>
      </c>
      <c r="I549">
        <v>6</v>
      </c>
      <c r="J549">
        <v>6.94</v>
      </c>
      <c r="K549">
        <v>8.9600000000000009</v>
      </c>
      <c r="L549">
        <v>0</v>
      </c>
      <c r="M549" t="s">
        <v>25</v>
      </c>
      <c r="N549" t="s">
        <v>35</v>
      </c>
      <c r="O549">
        <v>10.92</v>
      </c>
      <c r="P549" t="s">
        <v>38</v>
      </c>
    </row>
    <row r="550" spans="1:16" x14ac:dyDescent="0.3">
      <c r="A550" t="s">
        <v>90</v>
      </c>
      <c r="B550" t="s">
        <v>23</v>
      </c>
      <c r="C550" t="s">
        <v>18</v>
      </c>
      <c r="D550" t="s">
        <v>29</v>
      </c>
      <c r="E550">
        <v>3</v>
      </c>
      <c r="F550">
        <v>164.6</v>
      </c>
      <c r="G550">
        <v>87.4</v>
      </c>
      <c r="H550">
        <v>6.6</v>
      </c>
      <c r="I550">
        <v>2</v>
      </c>
      <c r="J550">
        <v>6.67</v>
      </c>
      <c r="K550">
        <v>9.24</v>
      </c>
      <c r="L550">
        <v>1</v>
      </c>
      <c r="M550" t="s">
        <v>34</v>
      </c>
      <c r="N550" t="s">
        <v>35</v>
      </c>
      <c r="O550">
        <v>5.49</v>
      </c>
      <c r="P550" t="s">
        <v>40</v>
      </c>
    </row>
    <row r="551" spans="1:16" x14ac:dyDescent="0.3">
      <c r="A551" t="s">
        <v>90</v>
      </c>
      <c r="B551" t="s">
        <v>27</v>
      </c>
      <c r="C551" t="s">
        <v>18</v>
      </c>
      <c r="D551" t="s">
        <v>29</v>
      </c>
      <c r="E551">
        <v>2</v>
      </c>
      <c r="F551">
        <v>171.4</v>
      </c>
      <c r="G551">
        <v>91.8</v>
      </c>
      <c r="H551">
        <v>6</v>
      </c>
      <c r="I551">
        <v>10</v>
      </c>
      <c r="J551">
        <v>5.79</v>
      </c>
      <c r="K551">
        <v>5.51</v>
      </c>
      <c r="L551">
        <v>1</v>
      </c>
      <c r="M551" t="s">
        <v>25</v>
      </c>
      <c r="N551" t="s">
        <v>21</v>
      </c>
      <c r="O551">
        <v>10.95</v>
      </c>
      <c r="P551" t="s">
        <v>42</v>
      </c>
    </row>
    <row r="552" spans="1:16" x14ac:dyDescent="0.3">
      <c r="A552" t="s">
        <v>90</v>
      </c>
      <c r="B552" t="s">
        <v>17</v>
      </c>
      <c r="C552" t="s">
        <v>41</v>
      </c>
      <c r="D552" t="s">
        <v>29</v>
      </c>
      <c r="E552">
        <v>6</v>
      </c>
      <c r="F552">
        <v>150</v>
      </c>
      <c r="G552">
        <v>100</v>
      </c>
      <c r="H552">
        <v>6.7</v>
      </c>
      <c r="I552">
        <v>11</v>
      </c>
      <c r="J552">
        <v>6.3</v>
      </c>
      <c r="K552">
        <v>5.43</v>
      </c>
      <c r="L552">
        <v>1</v>
      </c>
      <c r="M552" t="s">
        <v>20</v>
      </c>
      <c r="N552" t="s">
        <v>26</v>
      </c>
      <c r="O552">
        <v>16.149999999999999</v>
      </c>
      <c r="P552" t="s">
        <v>44</v>
      </c>
    </row>
    <row r="553" spans="1:16" x14ac:dyDescent="0.3">
      <c r="A553" t="s">
        <v>90</v>
      </c>
      <c r="B553" t="s">
        <v>17</v>
      </c>
      <c r="C553" t="s">
        <v>24</v>
      </c>
      <c r="D553" t="s">
        <v>19</v>
      </c>
      <c r="E553">
        <v>1</v>
      </c>
      <c r="F553">
        <v>170</v>
      </c>
      <c r="G553">
        <v>84.9</v>
      </c>
      <c r="H553">
        <v>6.7</v>
      </c>
      <c r="I553">
        <v>5</v>
      </c>
      <c r="J553">
        <v>5.87</v>
      </c>
      <c r="K553">
        <v>10</v>
      </c>
      <c r="L553">
        <v>1</v>
      </c>
      <c r="M553" t="s">
        <v>25</v>
      </c>
      <c r="N553" t="s">
        <v>35</v>
      </c>
      <c r="O553">
        <v>9.92</v>
      </c>
      <c r="P553" t="s">
        <v>45</v>
      </c>
    </row>
    <row r="554" spans="1:16" x14ac:dyDescent="0.3">
      <c r="A554" t="s">
        <v>91</v>
      </c>
      <c r="B554" t="s">
        <v>43</v>
      </c>
      <c r="C554" t="s">
        <v>24</v>
      </c>
      <c r="D554" t="s">
        <v>19</v>
      </c>
      <c r="E554">
        <v>6</v>
      </c>
      <c r="F554">
        <v>161</v>
      </c>
      <c r="G554">
        <v>93.5</v>
      </c>
      <c r="H554">
        <v>6.3</v>
      </c>
      <c r="I554">
        <v>5</v>
      </c>
      <c r="J554">
        <v>6.92</v>
      </c>
      <c r="K554">
        <v>9.6300000000000008</v>
      </c>
      <c r="L554">
        <v>0</v>
      </c>
      <c r="M554" t="s">
        <v>25</v>
      </c>
      <c r="N554" t="s">
        <v>21</v>
      </c>
      <c r="O554">
        <v>9.02</v>
      </c>
      <c r="P554" t="s">
        <v>22</v>
      </c>
    </row>
    <row r="555" spans="1:16" x14ac:dyDescent="0.3">
      <c r="A555" t="s">
        <v>91</v>
      </c>
      <c r="B555" t="s">
        <v>23</v>
      </c>
      <c r="C555" t="s">
        <v>41</v>
      </c>
      <c r="D555" t="s">
        <v>39</v>
      </c>
      <c r="E555">
        <v>9</v>
      </c>
      <c r="F555">
        <v>160.19999999999999</v>
      </c>
      <c r="G555">
        <v>92.9</v>
      </c>
      <c r="H555">
        <v>7.7</v>
      </c>
      <c r="I555">
        <v>8</v>
      </c>
      <c r="J555">
        <v>4.6900000000000004</v>
      </c>
      <c r="K555">
        <v>1.57</v>
      </c>
      <c r="L555">
        <v>2</v>
      </c>
      <c r="M555" t="s">
        <v>25</v>
      </c>
      <c r="N555" t="s">
        <v>26</v>
      </c>
      <c r="O555">
        <v>16.55</v>
      </c>
      <c r="P555" t="s">
        <v>22</v>
      </c>
    </row>
    <row r="556" spans="1:16" x14ac:dyDescent="0.3">
      <c r="A556" t="s">
        <v>91</v>
      </c>
      <c r="B556" t="s">
        <v>27</v>
      </c>
      <c r="C556" t="s">
        <v>37</v>
      </c>
      <c r="D556" t="s">
        <v>19</v>
      </c>
      <c r="E556">
        <v>8</v>
      </c>
      <c r="F556">
        <v>161.9</v>
      </c>
      <c r="G556">
        <v>100</v>
      </c>
      <c r="H556">
        <v>4.9000000000000004</v>
      </c>
      <c r="I556">
        <v>9</v>
      </c>
      <c r="J556">
        <v>7.22</v>
      </c>
      <c r="K556">
        <v>1</v>
      </c>
      <c r="L556">
        <v>0</v>
      </c>
      <c r="M556" t="s">
        <v>34</v>
      </c>
      <c r="N556" t="s">
        <v>26</v>
      </c>
      <c r="O556">
        <v>15.9</v>
      </c>
      <c r="P556" t="s">
        <v>28</v>
      </c>
    </row>
    <row r="557" spans="1:16" x14ac:dyDescent="0.3">
      <c r="A557" t="s">
        <v>91</v>
      </c>
      <c r="B557" t="s">
        <v>33</v>
      </c>
      <c r="C557" t="s">
        <v>24</v>
      </c>
      <c r="D557" t="s">
        <v>39</v>
      </c>
      <c r="E557">
        <v>9</v>
      </c>
      <c r="F557">
        <v>155.69999999999999</v>
      </c>
      <c r="G557">
        <v>98.3</v>
      </c>
      <c r="H557">
        <v>3</v>
      </c>
      <c r="I557">
        <v>10</v>
      </c>
      <c r="J557">
        <v>7.55</v>
      </c>
      <c r="K557">
        <v>8.5</v>
      </c>
      <c r="L557">
        <v>1</v>
      </c>
      <c r="M557" t="s">
        <v>25</v>
      </c>
      <c r="N557" t="s">
        <v>26</v>
      </c>
      <c r="O557">
        <v>22.02</v>
      </c>
      <c r="P557" t="s">
        <v>28</v>
      </c>
    </row>
    <row r="558" spans="1:16" x14ac:dyDescent="0.3">
      <c r="A558" t="s">
        <v>91</v>
      </c>
      <c r="B558" t="s">
        <v>27</v>
      </c>
      <c r="C558" t="s">
        <v>24</v>
      </c>
      <c r="D558" t="s">
        <v>39</v>
      </c>
      <c r="E558">
        <v>3</v>
      </c>
      <c r="F558">
        <v>148.1</v>
      </c>
      <c r="G558">
        <v>100</v>
      </c>
      <c r="I558">
        <v>7</v>
      </c>
      <c r="J558">
        <v>6.33</v>
      </c>
      <c r="K558">
        <v>5.72</v>
      </c>
      <c r="L558">
        <v>1</v>
      </c>
      <c r="M558" t="s">
        <v>20</v>
      </c>
      <c r="N558" t="s">
        <v>35</v>
      </c>
      <c r="O558">
        <v>19.16</v>
      </c>
      <c r="P558" t="s">
        <v>30</v>
      </c>
    </row>
    <row r="559" spans="1:16" x14ac:dyDescent="0.3">
      <c r="A559" t="s">
        <v>91</v>
      </c>
      <c r="B559" t="s">
        <v>17</v>
      </c>
      <c r="C559" t="s">
        <v>41</v>
      </c>
      <c r="D559" t="s">
        <v>19</v>
      </c>
      <c r="E559">
        <v>6</v>
      </c>
      <c r="F559">
        <v>165.8</v>
      </c>
      <c r="G559">
        <v>94</v>
      </c>
      <c r="H559">
        <v>4.4000000000000004</v>
      </c>
      <c r="I559">
        <v>5</v>
      </c>
      <c r="J559">
        <v>9.5399999999999991</v>
      </c>
      <c r="K559">
        <v>9.0399999999999991</v>
      </c>
      <c r="L559">
        <v>0</v>
      </c>
      <c r="M559" t="s">
        <v>34</v>
      </c>
      <c r="N559" t="s">
        <v>21</v>
      </c>
      <c r="O559">
        <v>24.03</v>
      </c>
      <c r="P559" t="s">
        <v>32</v>
      </c>
    </row>
    <row r="560" spans="1:16" x14ac:dyDescent="0.3">
      <c r="A560" t="s">
        <v>91</v>
      </c>
      <c r="B560" t="s">
        <v>43</v>
      </c>
      <c r="C560" t="s">
        <v>41</v>
      </c>
      <c r="D560" t="s">
        <v>39</v>
      </c>
      <c r="E560">
        <v>8</v>
      </c>
      <c r="F560">
        <v>143.9</v>
      </c>
      <c r="G560">
        <v>96.6</v>
      </c>
      <c r="H560">
        <v>2.2999999999999998</v>
      </c>
      <c r="I560">
        <v>12</v>
      </c>
      <c r="J560">
        <v>4.6100000000000003</v>
      </c>
      <c r="K560">
        <v>6.76</v>
      </c>
      <c r="L560">
        <v>1</v>
      </c>
      <c r="M560" t="s">
        <v>25</v>
      </c>
      <c r="N560" t="s">
        <v>35</v>
      </c>
      <c r="O560">
        <v>21.59</v>
      </c>
      <c r="P560" t="s">
        <v>36</v>
      </c>
    </row>
    <row r="561" spans="1:16" x14ac:dyDescent="0.3">
      <c r="A561" t="s">
        <v>91</v>
      </c>
      <c r="B561" t="s">
        <v>43</v>
      </c>
      <c r="C561" t="s">
        <v>41</v>
      </c>
      <c r="D561" t="s">
        <v>39</v>
      </c>
      <c r="E561">
        <v>2</v>
      </c>
      <c r="F561">
        <v>160.6</v>
      </c>
      <c r="G561">
        <v>98.6</v>
      </c>
      <c r="H561">
        <v>4.2</v>
      </c>
      <c r="I561">
        <v>4</v>
      </c>
      <c r="J561">
        <v>7.63</v>
      </c>
      <c r="K561">
        <v>7.94</v>
      </c>
      <c r="L561">
        <v>0</v>
      </c>
      <c r="M561" t="s">
        <v>34</v>
      </c>
      <c r="N561" t="s">
        <v>35</v>
      </c>
      <c r="O561">
        <v>16.260000000000002</v>
      </c>
      <c r="P561" t="s">
        <v>38</v>
      </c>
    </row>
    <row r="562" spans="1:16" x14ac:dyDescent="0.3">
      <c r="A562" t="s">
        <v>91</v>
      </c>
      <c r="B562" t="s">
        <v>43</v>
      </c>
      <c r="C562" t="s">
        <v>24</v>
      </c>
      <c r="D562" t="s">
        <v>39</v>
      </c>
      <c r="E562">
        <v>2</v>
      </c>
      <c r="F562">
        <v>159.9</v>
      </c>
      <c r="G562">
        <v>89.4</v>
      </c>
      <c r="H562">
        <v>4.9000000000000004</v>
      </c>
      <c r="I562">
        <v>12</v>
      </c>
      <c r="J562">
        <v>7.42</v>
      </c>
      <c r="K562">
        <v>5.01</v>
      </c>
      <c r="L562">
        <v>1</v>
      </c>
      <c r="M562" t="s">
        <v>20</v>
      </c>
      <c r="N562" t="s">
        <v>21</v>
      </c>
      <c r="O562">
        <v>9.1300000000000008</v>
      </c>
      <c r="P562" t="s">
        <v>40</v>
      </c>
    </row>
    <row r="563" spans="1:16" x14ac:dyDescent="0.3">
      <c r="A563" t="s">
        <v>91</v>
      </c>
      <c r="B563" t="s">
        <v>27</v>
      </c>
      <c r="C563" t="s">
        <v>31</v>
      </c>
      <c r="D563" t="s">
        <v>29</v>
      </c>
      <c r="E563">
        <v>1</v>
      </c>
      <c r="F563">
        <v>151.5</v>
      </c>
      <c r="G563">
        <v>91.8</v>
      </c>
      <c r="H563">
        <v>6.4</v>
      </c>
      <c r="I563">
        <v>2</v>
      </c>
      <c r="J563">
        <v>6.56</v>
      </c>
      <c r="K563">
        <v>5.13</v>
      </c>
      <c r="L563">
        <v>1</v>
      </c>
      <c r="M563" t="s">
        <v>25</v>
      </c>
      <c r="N563" t="s">
        <v>35</v>
      </c>
      <c r="O563">
        <v>10.91</v>
      </c>
      <c r="P563" t="s">
        <v>42</v>
      </c>
    </row>
    <row r="564" spans="1:16" x14ac:dyDescent="0.3">
      <c r="A564" t="s">
        <v>91</v>
      </c>
      <c r="B564" t="s">
        <v>23</v>
      </c>
      <c r="C564" t="s">
        <v>31</v>
      </c>
      <c r="D564" t="s">
        <v>29</v>
      </c>
      <c r="E564">
        <v>2</v>
      </c>
      <c r="F564">
        <v>162.30000000000001</v>
      </c>
      <c r="G564">
        <v>94.9</v>
      </c>
      <c r="H564">
        <v>3.5</v>
      </c>
      <c r="I564">
        <v>9</v>
      </c>
      <c r="J564">
        <v>5.92</v>
      </c>
      <c r="K564">
        <v>1.72</v>
      </c>
      <c r="L564">
        <v>1</v>
      </c>
      <c r="M564" t="s">
        <v>34</v>
      </c>
      <c r="N564" t="s">
        <v>35</v>
      </c>
      <c r="O564">
        <v>13.74</v>
      </c>
      <c r="P564" t="s">
        <v>44</v>
      </c>
    </row>
    <row r="565" spans="1:16" x14ac:dyDescent="0.3">
      <c r="A565" t="s">
        <v>91</v>
      </c>
      <c r="B565" t="s">
        <v>43</v>
      </c>
      <c r="C565" t="s">
        <v>41</v>
      </c>
      <c r="D565" t="s">
        <v>19</v>
      </c>
      <c r="E565">
        <v>4</v>
      </c>
      <c r="F565">
        <v>154.19999999999999</v>
      </c>
      <c r="G565">
        <v>100</v>
      </c>
      <c r="H565">
        <v>9</v>
      </c>
      <c r="I565">
        <v>6</v>
      </c>
      <c r="J565">
        <v>7.52</v>
      </c>
      <c r="K565">
        <v>7.87</v>
      </c>
      <c r="L565">
        <v>1</v>
      </c>
      <c r="M565" t="s">
        <v>25</v>
      </c>
      <c r="N565" t="s">
        <v>35</v>
      </c>
      <c r="O565">
        <v>4.58</v>
      </c>
      <c r="P565" t="s">
        <v>45</v>
      </c>
    </row>
    <row r="566" spans="1:16" x14ac:dyDescent="0.3">
      <c r="A566" t="s">
        <v>92</v>
      </c>
      <c r="B566" t="s">
        <v>23</v>
      </c>
      <c r="C566" t="s">
        <v>37</v>
      </c>
      <c r="D566" t="s">
        <v>29</v>
      </c>
      <c r="E566">
        <v>8</v>
      </c>
      <c r="F566">
        <v>165.6</v>
      </c>
      <c r="G566">
        <v>100</v>
      </c>
      <c r="H566">
        <v>0.3</v>
      </c>
      <c r="I566">
        <v>7</v>
      </c>
      <c r="J566">
        <v>8.57</v>
      </c>
      <c r="K566">
        <v>7.47</v>
      </c>
      <c r="L566">
        <v>0</v>
      </c>
      <c r="M566" t="s">
        <v>20</v>
      </c>
      <c r="N566" t="s">
        <v>26</v>
      </c>
      <c r="O566">
        <v>12.41</v>
      </c>
      <c r="P566" t="s">
        <v>22</v>
      </c>
    </row>
    <row r="567" spans="1:16" x14ac:dyDescent="0.3">
      <c r="A567" t="s">
        <v>92</v>
      </c>
      <c r="B567" t="s">
        <v>17</v>
      </c>
      <c r="C567" t="s">
        <v>31</v>
      </c>
      <c r="D567" t="s">
        <v>39</v>
      </c>
      <c r="E567">
        <v>3</v>
      </c>
      <c r="F567">
        <v>152.30000000000001</v>
      </c>
      <c r="G567">
        <v>100</v>
      </c>
      <c r="H567">
        <v>8.9</v>
      </c>
      <c r="I567">
        <v>8</v>
      </c>
      <c r="J567">
        <v>7.44</v>
      </c>
      <c r="K567">
        <v>6.69</v>
      </c>
      <c r="L567">
        <v>0</v>
      </c>
      <c r="M567" t="s">
        <v>25</v>
      </c>
      <c r="N567" t="s">
        <v>26</v>
      </c>
      <c r="O567">
        <v>14.44</v>
      </c>
      <c r="P567" t="s">
        <v>22</v>
      </c>
    </row>
    <row r="568" spans="1:16" x14ac:dyDescent="0.3">
      <c r="A568" t="s">
        <v>92</v>
      </c>
      <c r="B568" t="s">
        <v>23</v>
      </c>
      <c r="C568" t="s">
        <v>18</v>
      </c>
      <c r="D568" t="s">
        <v>39</v>
      </c>
      <c r="E568">
        <v>3</v>
      </c>
      <c r="F568">
        <v>152.9</v>
      </c>
      <c r="G568">
        <v>100</v>
      </c>
      <c r="H568">
        <v>6.7</v>
      </c>
      <c r="I568">
        <v>8</v>
      </c>
      <c r="J568">
        <v>6.38</v>
      </c>
      <c r="K568">
        <v>9.25</v>
      </c>
      <c r="L568">
        <v>0</v>
      </c>
      <c r="M568" t="s">
        <v>20</v>
      </c>
      <c r="N568" t="s">
        <v>26</v>
      </c>
      <c r="O568">
        <v>18.63</v>
      </c>
      <c r="P568" t="s">
        <v>28</v>
      </c>
    </row>
    <row r="569" spans="1:16" x14ac:dyDescent="0.3">
      <c r="A569" t="s">
        <v>92</v>
      </c>
      <c r="B569" t="s">
        <v>27</v>
      </c>
      <c r="C569" t="s">
        <v>41</v>
      </c>
      <c r="D569" t="s">
        <v>29</v>
      </c>
      <c r="E569">
        <v>5</v>
      </c>
      <c r="F569">
        <v>146.69999999999999</v>
      </c>
      <c r="G569">
        <v>99.3</v>
      </c>
      <c r="H569">
        <v>7.6</v>
      </c>
      <c r="I569">
        <v>14</v>
      </c>
      <c r="J569">
        <v>7.58</v>
      </c>
      <c r="K569">
        <v>5.27</v>
      </c>
      <c r="L569">
        <v>0</v>
      </c>
      <c r="M569" t="s">
        <v>25</v>
      </c>
      <c r="N569" t="s">
        <v>21</v>
      </c>
      <c r="O569">
        <v>16.11</v>
      </c>
      <c r="P569" t="s">
        <v>28</v>
      </c>
    </row>
    <row r="570" spans="1:16" x14ac:dyDescent="0.3">
      <c r="A570" t="s">
        <v>92</v>
      </c>
      <c r="B570" t="s">
        <v>27</v>
      </c>
      <c r="C570" t="s">
        <v>41</v>
      </c>
      <c r="D570" t="s">
        <v>29</v>
      </c>
      <c r="E570">
        <v>1</v>
      </c>
      <c r="F570">
        <v>172.1</v>
      </c>
      <c r="G570">
        <v>94.9</v>
      </c>
      <c r="H570">
        <v>8.3000000000000007</v>
      </c>
      <c r="I570">
        <v>4</v>
      </c>
      <c r="J570">
        <v>7.55</v>
      </c>
      <c r="K570">
        <v>5.36</v>
      </c>
      <c r="L570">
        <v>1</v>
      </c>
      <c r="M570" t="s">
        <v>20</v>
      </c>
      <c r="N570" t="s">
        <v>21</v>
      </c>
      <c r="O570">
        <v>6.67</v>
      </c>
      <c r="P570" t="s">
        <v>30</v>
      </c>
    </row>
    <row r="571" spans="1:16" x14ac:dyDescent="0.3">
      <c r="A571" t="s">
        <v>92</v>
      </c>
      <c r="B571" t="s">
        <v>33</v>
      </c>
      <c r="C571" t="s">
        <v>37</v>
      </c>
      <c r="D571" t="s">
        <v>29</v>
      </c>
      <c r="E571">
        <v>9</v>
      </c>
      <c r="F571">
        <v>162.1</v>
      </c>
      <c r="G571">
        <v>99.1</v>
      </c>
      <c r="H571">
        <v>8</v>
      </c>
      <c r="I571">
        <v>7</v>
      </c>
      <c r="J571">
        <v>7.45</v>
      </c>
      <c r="K571">
        <v>4.67</v>
      </c>
      <c r="L571">
        <v>1</v>
      </c>
      <c r="M571" t="s">
        <v>25</v>
      </c>
      <c r="N571" t="s">
        <v>21</v>
      </c>
      <c r="O571">
        <v>6.82</v>
      </c>
      <c r="P571" t="s">
        <v>32</v>
      </c>
    </row>
    <row r="572" spans="1:16" x14ac:dyDescent="0.3">
      <c r="A572" t="s">
        <v>92</v>
      </c>
      <c r="B572" t="s">
        <v>17</v>
      </c>
      <c r="C572" t="s">
        <v>31</v>
      </c>
      <c r="D572" t="s">
        <v>29</v>
      </c>
      <c r="E572">
        <v>9</v>
      </c>
      <c r="F572">
        <v>174</v>
      </c>
      <c r="G572">
        <v>90.9</v>
      </c>
      <c r="H572">
        <v>5.7</v>
      </c>
      <c r="I572">
        <v>9</v>
      </c>
      <c r="K572">
        <v>3.98</v>
      </c>
      <c r="L572">
        <v>0</v>
      </c>
      <c r="M572" t="s">
        <v>34</v>
      </c>
      <c r="N572" t="s">
        <v>26</v>
      </c>
      <c r="O572">
        <v>4.96</v>
      </c>
      <c r="P572" t="s">
        <v>36</v>
      </c>
    </row>
    <row r="573" spans="1:16" x14ac:dyDescent="0.3">
      <c r="A573" t="s">
        <v>92</v>
      </c>
      <c r="B573" t="s">
        <v>23</v>
      </c>
      <c r="C573" t="s">
        <v>31</v>
      </c>
      <c r="D573" t="s">
        <v>29</v>
      </c>
      <c r="E573">
        <v>8</v>
      </c>
      <c r="F573">
        <v>157.5</v>
      </c>
      <c r="G573">
        <v>96.6</v>
      </c>
      <c r="H573">
        <v>4.4000000000000004</v>
      </c>
      <c r="I573">
        <v>8</v>
      </c>
      <c r="J573">
        <v>7.97</v>
      </c>
      <c r="K573">
        <v>8.14</v>
      </c>
      <c r="L573">
        <v>0</v>
      </c>
      <c r="M573" t="s">
        <v>34</v>
      </c>
      <c r="N573" t="s">
        <v>35</v>
      </c>
      <c r="O573">
        <v>17.489999999999998</v>
      </c>
      <c r="P573" t="s">
        <v>38</v>
      </c>
    </row>
    <row r="574" spans="1:16" x14ac:dyDescent="0.3">
      <c r="A574" t="s">
        <v>92</v>
      </c>
      <c r="B574" t="s">
        <v>33</v>
      </c>
      <c r="C574" t="s">
        <v>31</v>
      </c>
      <c r="D574" t="s">
        <v>39</v>
      </c>
      <c r="E574">
        <v>7</v>
      </c>
      <c r="F574">
        <v>168.2</v>
      </c>
      <c r="G574">
        <v>89.7</v>
      </c>
      <c r="H574">
        <v>7</v>
      </c>
      <c r="I574">
        <v>2</v>
      </c>
      <c r="J574">
        <v>7.14</v>
      </c>
      <c r="K574">
        <v>3.25</v>
      </c>
      <c r="L574">
        <v>0</v>
      </c>
      <c r="M574" t="s">
        <v>34</v>
      </c>
      <c r="N574" t="s">
        <v>26</v>
      </c>
      <c r="O574">
        <v>17.88</v>
      </c>
      <c r="P574" t="s">
        <v>40</v>
      </c>
    </row>
    <row r="575" spans="1:16" x14ac:dyDescent="0.3">
      <c r="A575" t="s">
        <v>92</v>
      </c>
      <c r="B575" t="s">
        <v>33</v>
      </c>
      <c r="C575" t="s">
        <v>37</v>
      </c>
      <c r="D575" t="s">
        <v>39</v>
      </c>
      <c r="E575">
        <v>4</v>
      </c>
      <c r="F575">
        <v>161.69999999999999</v>
      </c>
      <c r="G575">
        <v>96</v>
      </c>
      <c r="H575">
        <v>2.5</v>
      </c>
      <c r="I575">
        <v>4</v>
      </c>
      <c r="J575">
        <v>9.39</v>
      </c>
      <c r="K575">
        <v>8.93</v>
      </c>
      <c r="L575">
        <v>0</v>
      </c>
      <c r="M575" t="s">
        <v>20</v>
      </c>
      <c r="N575" t="s">
        <v>26</v>
      </c>
      <c r="O575">
        <v>9.6999999999999993</v>
      </c>
      <c r="P575" t="s">
        <v>42</v>
      </c>
    </row>
    <row r="576" spans="1:16" x14ac:dyDescent="0.3">
      <c r="A576" t="s">
        <v>92</v>
      </c>
      <c r="B576" t="s">
        <v>43</v>
      </c>
      <c r="C576" t="s">
        <v>31</v>
      </c>
      <c r="D576" t="s">
        <v>29</v>
      </c>
      <c r="E576">
        <v>4</v>
      </c>
      <c r="F576">
        <v>155.69999999999999</v>
      </c>
      <c r="G576">
        <v>94.9</v>
      </c>
      <c r="H576">
        <v>2.7</v>
      </c>
      <c r="I576">
        <v>5</v>
      </c>
      <c r="J576">
        <v>9.0399999999999991</v>
      </c>
      <c r="K576">
        <v>7.08</v>
      </c>
      <c r="L576">
        <v>0</v>
      </c>
      <c r="M576" t="s">
        <v>34</v>
      </c>
      <c r="N576" t="s">
        <v>35</v>
      </c>
      <c r="O576">
        <v>6.27</v>
      </c>
      <c r="P576" t="s">
        <v>44</v>
      </c>
    </row>
    <row r="577" spans="1:16" x14ac:dyDescent="0.3">
      <c r="A577" t="s">
        <v>92</v>
      </c>
      <c r="B577" t="s">
        <v>33</v>
      </c>
      <c r="C577" t="s">
        <v>24</v>
      </c>
      <c r="D577" t="s">
        <v>39</v>
      </c>
      <c r="E577">
        <v>9</v>
      </c>
      <c r="F577">
        <v>166.3</v>
      </c>
      <c r="G577">
        <v>93.4</v>
      </c>
      <c r="H577">
        <v>7.5</v>
      </c>
      <c r="I577">
        <v>2</v>
      </c>
      <c r="K577">
        <v>8.0399999999999991</v>
      </c>
      <c r="L577">
        <v>0</v>
      </c>
      <c r="M577" t="s">
        <v>20</v>
      </c>
      <c r="N577" t="s">
        <v>35</v>
      </c>
      <c r="O577">
        <v>7</v>
      </c>
      <c r="P577" t="s">
        <v>45</v>
      </c>
    </row>
    <row r="578" spans="1:16" x14ac:dyDescent="0.3">
      <c r="A578" t="s">
        <v>93</v>
      </c>
      <c r="B578" t="s">
        <v>17</v>
      </c>
      <c r="C578" t="s">
        <v>41</v>
      </c>
      <c r="D578" t="s">
        <v>29</v>
      </c>
      <c r="E578">
        <v>9</v>
      </c>
      <c r="F578">
        <v>152.69999999999999</v>
      </c>
      <c r="G578">
        <v>99.7</v>
      </c>
      <c r="H578">
        <v>4.5</v>
      </c>
      <c r="I578">
        <v>6</v>
      </c>
      <c r="J578">
        <v>9.25</v>
      </c>
      <c r="K578">
        <v>5.18</v>
      </c>
      <c r="L578">
        <v>0</v>
      </c>
      <c r="M578" t="s">
        <v>34</v>
      </c>
      <c r="N578" t="s">
        <v>21</v>
      </c>
      <c r="O578">
        <v>18.04</v>
      </c>
      <c r="P578" t="s">
        <v>22</v>
      </c>
    </row>
    <row r="579" spans="1:16" x14ac:dyDescent="0.3">
      <c r="A579" t="s">
        <v>93</v>
      </c>
      <c r="B579" t="s">
        <v>17</v>
      </c>
      <c r="C579" t="s">
        <v>37</v>
      </c>
      <c r="D579" t="s">
        <v>19</v>
      </c>
      <c r="E579">
        <v>6</v>
      </c>
      <c r="F579">
        <v>157.5</v>
      </c>
      <c r="G579">
        <v>93.1</v>
      </c>
      <c r="H579">
        <v>4.0999999999999996</v>
      </c>
      <c r="I579">
        <v>5</v>
      </c>
      <c r="J579">
        <v>4.01</v>
      </c>
      <c r="K579">
        <v>4.9800000000000004</v>
      </c>
      <c r="L579">
        <v>0</v>
      </c>
      <c r="M579" t="s">
        <v>34</v>
      </c>
      <c r="N579" t="s">
        <v>26</v>
      </c>
      <c r="O579">
        <v>14.17</v>
      </c>
      <c r="P579" t="s">
        <v>22</v>
      </c>
    </row>
    <row r="580" spans="1:16" x14ac:dyDescent="0.3">
      <c r="A580" t="s">
        <v>93</v>
      </c>
      <c r="B580" t="s">
        <v>43</v>
      </c>
      <c r="C580" t="s">
        <v>37</v>
      </c>
      <c r="D580" t="s">
        <v>29</v>
      </c>
      <c r="E580">
        <v>10</v>
      </c>
      <c r="F580">
        <v>169.5</v>
      </c>
      <c r="G580">
        <v>93.5</v>
      </c>
      <c r="H580">
        <v>2.5</v>
      </c>
      <c r="I580">
        <v>8</v>
      </c>
      <c r="J580">
        <v>9.41</v>
      </c>
      <c r="K580">
        <v>5.92</v>
      </c>
      <c r="L580">
        <v>1</v>
      </c>
      <c r="M580" t="s">
        <v>25</v>
      </c>
      <c r="N580" t="s">
        <v>35</v>
      </c>
      <c r="O580">
        <v>3.18</v>
      </c>
      <c r="P580" t="s">
        <v>28</v>
      </c>
    </row>
    <row r="581" spans="1:16" x14ac:dyDescent="0.3">
      <c r="A581" t="s">
        <v>93</v>
      </c>
      <c r="B581" t="s">
        <v>23</v>
      </c>
      <c r="C581" t="s">
        <v>31</v>
      </c>
      <c r="D581" t="s">
        <v>19</v>
      </c>
      <c r="E581">
        <v>1</v>
      </c>
      <c r="F581">
        <v>156.4</v>
      </c>
      <c r="G581">
        <v>98.1</v>
      </c>
      <c r="H581">
        <v>6.7</v>
      </c>
      <c r="I581">
        <v>4</v>
      </c>
      <c r="J581">
        <v>5.23</v>
      </c>
      <c r="K581">
        <v>6.47</v>
      </c>
      <c r="L581">
        <v>0</v>
      </c>
      <c r="M581" t="s">
        <v>25</v>
      </c>
      <c r="N581" t="s">
        <v>35</v>
      </c>
      <c r="O581">
        <v>9.2100000000000009</v>
      </c>
      <c r="P581" t="s">
        <v>28</v>
      </c>
    </row>
    <row r="582" spans="1:16" x14ac:dyDescent="0.3">
      <c r="A582" t="s">
        <v>93</v>
      </c>
      <c r="B582" t="s">
        <v>27</v>
      </c>
      <c r="C582" t="s">
        <v>37</v>
      </c>
      <c r="D582" t="s">
        <v>39</v>
      </c>
      <c r="E582">
        <v>8</v>
      </c>
      <c r="F582">
        <v>151.69999999999999</v>
      </c>
      <c r="G582">
        <v>97.6</v>
      </c>
      <c r="H582">
        <v>5.5</v>
      </c>
      <c r="I582">
        <v>5</v>
      </c>
      <c r="J582">
        <v>9.32</v>
      </c>
      <c r="K582">
        <v>8.26</v>
      </c>
      <c r="L582">
        <v>0</v>
      </c>
      <c r="M582" t="s">
        <v>20</v>
      </c>
      <c r="N582" t="s">
        <v>26</v>
      </c>
      <c r="O582">
        <v>14.67</v>
      </c>
      <c r="P582" t="s">
        <v>30</v>
      </c>
    </row>
    <row r="583" spans="1:16" x14ac:dyDescent="0.3">
      <c r="A583" t="s">
        <v>93</v>
      </c>
      <c r="B583" t="s">
        <v>43</v>
      </c>
      <c r="C583" t="s">
        <v>31</v>
      </c>
      <c r="D583" t="s">
        <v>29</v>
      </c>
      <c r="E583">
        <v>2</v>
      </c>
      <c r="F583">
        <v>160.9</v>
      </c>
      <c r="G583">
        <v>92.5</v>
      </c>
      <c r="H583">
        <v>4.0999999999999996</v>
      </c>
      <c r="I583">
        <v>5</v>
      </c>
      <c r="J583">
        <v>6.31</v>
      </c>
      <c r="K583">
        <v>6.87</v>
      </c>
      <c r="L583">
        <v>2</v>
      </c>
      <c r="M583" t="s">
        <v>34</v>
      </c>
      <c r="N583" t="s">
        <v>35</v>
      </c>
      <c r="O583">
        <v>4.33</v>
      </c>
      <c r="P583" t="s">
        <v>32</v>
      </c>
    </row>
    <row r="584" spans="1:16" x14ac:dyDescent="0.3">
      <c r="A584" t="s">
        <v>93</v>
      </c>
      <c r="B584" t="s">
        <v>23</v>
      </c>
      <c r="C584" t="s">
        <v>24</v>
      </c>
      <c r="D584" t="s">
        <v>19</v>
      </c>
      <c r="E584">
        <v>6</v>
      </c>
      <c r="F584">
        <v>159.30000000000001</v>
      </c>
      <c r="G584">
        <v>91</v>
      </c>
      <c r="H584">
        <v>7</v>
      </c>
      <c r="I584">
        <v>5</v>
      </c>
      <c r="J584">
        <v>6.89</v>
      </c>
      <c r="K584">
        <v>5.94</v>
      </c>
      <c r="L584">
        <v>0</v>
      </c>
      <c r="M584" t="s">
        <v>34</v>
      </c>
      <c r="N584" t="s">
        <v>35</v>
      </c>
      <c r="O584">
        <v>7.65</v>
      </c>
      <c r="P584" t="s">
        <v>36</v>
      </c>
    </row>
    <row r="585" spans="1:16" x14ac:dyDescent="0.3">
      <c r="A585" t="s">
        <v>93</v>
      </c>
      <c r="B585" t="s">
        <v>23</v>
      </c>
      <c r="C585" t="s">
        <v>41</v>
      </c>
      <c r="D585" t="s">
        <v>19</v>
      </c>
      <c r="E585">
        <v>2</v>
      </c>
      <c r="F585">
        <v>158.80000000000001</v>
      </c>
      <c r="G585">
        <v>92.5</v>
      </c>
      <c r="H585">
        <v>2.4</v>
      </c>
      <c r="I585">
        <v>6</v>
      </c>
      <c r="J585">
        <v>4.1900000000000004</v>
      </c>
      <c r="K585">
        <v>4.32</v>
      </c>
      <c r="L585">
        <v>0</v>
      </c>
      <c r="M585" t="s">
        <v>25</v>
      </c>
      <c r="N585" t="s">
        <v>26</v>
      </c>
      <c r="O585">
        <v>16.32</v>
      </c>
      <c r="P585" t="s">
        <v>38</v>
      </c>
    </row>
    <row r="586" spans="1:16" x14ac:dyDescent="0.3">
      <c r="A586" t="s">
        <v>93</v>
      </c>
      <c r="B586" t="s">
        <v>17</v>
      </c>
      <c r="C586" t="s">
        <v>18</v>
      </c>
      <c r="D586" t="s">
        <v>19</v>
      </c>
      <c r="E586">
        <v>2</v>
      </c>
      <c r="F586">
        <v>171.8</v>
      </c>
      <c r="G586">
        <v>96.5</v>
      </c>
      <c r="H586">
        <v>5.4</v>
      </c>
      <c r="I586">
        <v>8</v>
      </c>
      <c r="J586">
        <v>6.8</v>
      </c>
      <c r="K586">
        <v>3.93</v>
      </c>
      <c r="L586">
        <v>1</v>
      </c>
      <c r="M586" t="s">
        <v>25</v>
      </c>
      <c r="N586" t="s">
        <v>21</v>
      </c>
      <c r="O586">
        <v>7.86</v>
      </c>
      <c r="P586" t="s">
        <v>40</v>
      </c>
    </row>
    <row r="587" spans="1:16" x14ac:dyDescent="0.3">
      <c r="A587" t="s">
        <v>93</v>
      </c>
      <c r="B587" t="s">
        <v>43</v>
      </c>
      <c r="C587" t="s">
        <v>24</v>
      </c>
      <c r="D587" t="s">
        <v>19</v>
      </c>
      <c r="E587">
        <v>1</v>
      </c>
      <c r="F587">
        <v>153.4</v>
      </c>
      <c r="G587">
        <v>92.6</v>
      </c>
      <c r="H587">
        <v>4.8</v>
      </c>
      <c r="I587">
        <v>2</v>
      </c>
      <c r="J587">
        <v>8.32</v>
      </c>
      <c r="K587">
        <v>5.58</v>
      </c>
      <c r="L587">
        <v>0</v>
      </c>
      <c r="M587" t="s">
        <v>25</v>
      </c>
      <c r="N587" t="s">
        <v>21</v>
      </c>
      <c r="O587">
        <v>11.62</v>
      </c>
      <c r="P587" t="s">
        <v>42</v>
      </c>
    </row>
    <row r="588" spans="1:16" x14ac:dyDescent="0.3">
      <c r="A588" t="s">
        <v>93</v>
      </c>
      <c r="B588" t="s">
        <v>23</v>
      </c>
      <c r="C588" t="s">
        <v>18</v>
      </c>
      <c r="D588" t="s">
        <v>29</v>
      </c>
      <c r="E588">
        <v>4</v>
      </c>
      <c r="F588">
        <v>171.8</v>
      </c>
      <c r="G588">
        <v>92.1</v>
      </c>
      <c r="H588">
        <v>2.8</v>
      </c>
      <c r="I588">
        <v>6</v>
      </c>
      <c r="J588">
        <v>7.54</v>
      </c>
      <c r="K588">
        <v>6.49</v>
      </c>
      <c r="L588">
        <v>1</v>
      </c>
      <c r="M588" t="s">
        <v>34</v>
      </c>
      <c r="N588" t="s">
        <v>35</v>
      </c>
      <c r="O588">
        <v>12.72</v>
      </c>
      <c r="P588" t="s">
        <v>44</v>
      </c>
    </row>
    <row r="589" spans="1:16" x14ac:dyDescent="0.3">
      <c r="A589" t="s">
        <v>93</v>
      </c>
      <c r="B589" t="s">
        <v>33</v>
      </c>
      <c r="C589" t="s">
        <v>18</v>
      </c>
      <c r="D589" t="s">
        <v>19</v>
      </c>
      <c r="E589">
        <v>6</v>
      </c>
      <c r="F589">
        <v>161.19999999999999</v>
      </c>
      <c r="G589">
        <v>93.1</v>
      </c>
      <c r="H589">
        <v>6.3</v>
      </c>
      <c r="I589">
        <v>6</v>
      </c>
      <c r="J589">
        <v>8.34</v>
      </c>
      <c r="K589">
        <v>7.79</v>
      </c>
      <c r="L589">
        <v>1</v>
      </c>
      <c r="M589" t="s">
        <v>34</v>
      </c>
      <c r="N589" t="s">
        <v>26</v>
      </c>
      <c r="O589">
        <v>14.71</v>
      </c>
      <c r="P589" t="s">
        <v>45</v>
      </c>
    </row>
    <row r="590" spans="1:16" x14ac:dyDescent="0.3">
      <c r="A590" t="s">
        <v>94</v>
      </c>
      <c r="B590" t="s">
        <v>27</v>
      </c>
      <c r="C590" t="s">
        <v>31</v>
      </c>
      <c r="D590" t="s">
        <v>19</v>
      </c>
      <c r="E590">
        <v>7</v>
      </c>
      <c r="F590">
        <v>143.6</v>
      </c>
      <c r="G590">
        <v>92.1</v>
      </c>
      <c r="H590">
        <v>6.7</v>
      </c>
      <c r="I590">
        <v>11</v>
      </c>
      <c r="J590">
        <v>7.41</v>
      </c>
      <c r="K590">
        <v>9.5299999999999994</v>
      </c>
      <c r="L590">
        <v>1</v>
      </c>
      <c r="M590" t="s">
        <v>20</v>
      </c>
      <c r="N590" t="s">
        <v>21</v>
      </c>
      <c r="O590">
        <v>17.12</v>
      </c>
      <c r="P590" t="s">
        <v>22</v>
      </c>
    </row>
    <row r="591" spans="1:16" x14ac:dyDescent="0.3">
      <c r="A591" t="s">
        <v>94</v>
      </c>
      <c r="B591" t="s">
        <v>17</v>
      </c>
      <c r="C591" t="s">
        <v>41</v>
      </c>
      <c r="D591" t="s">
        <v>19</v>
      </c>
      <c r="E591">
        <v>8</v>
      </c>
      <c r="F591">
        <v>139.69999999999999</v>
      </c>
      <c r="G591">
        <v>95.1</v>
      </c>
      <c r="H591">
        <v>4.4000000000000004</v>
      </c>
      <c r="I591">
        <v>6</v>
      </c>
      <c r="J591">
        <v>6.07</v>
      </c>
      <c r="K591">
        <v>5.39</v>
      </c>
      <c r="L591">
        <v>0</v>
      </c>
      <c r="M591" t="s">
        <v>20</v>
      </c>
      <c r="N591" t="s">
        <v>21</v>
      </c>
      <c r="O591">
        <v>9.6</v>
      </c>
      <c r="P591" t="s">
        <v>22</v>
      </c>
    </row>
    <row r="592" spans="1:16" x14ac:dyDescent="0.3">
      <c r="A592" t="s">
        <v>94</v>
      </c>
      <c r="B592" t="s">
        <v>17</v>
      </c>
      <c r="C592" t="s">
        <v>41</v>
      </c>
      <c r="D592" t="s">
        <v>19</v>
      </c>
      <c r="E592">
        <v>10</v>
      </c>
      <c r="F592">
        <v>167.9</v>
      </c>
      <c r="G592">
        <v>93.8</v>
      </c>
      <c r="H592">
        <v>3.7</v>
      </c>
      <c r="I592">
        <v>4</v>
      </c>
      <c r="J592">
        <v>5.21</v>
      </c>
      <c r="K592">
        <v>10</v>
      </c>
      <c r="L592">
        <v>0</v>
      </c>
      <c r="M592" t="s">
        <v>20</v>
      </c>
      <c r="N592" t="s">
        <v>26</v>
      </c>
      <c r="O592">
        <v>4.38</v>
      </c>
      <c r="P592" t="s">
        <v>28</v>
      </c>
    </row>
    <row r="593" spans="1:16" x14ac:dyDescent="0.3">
      <c r="A593" t="s">
        <v>94</v>
      </c>
      <c r="B593" t="s">
        <v>33</v>
      </c>
      <c r="C593" t="s">
        <v>18</v>
      </c>
      <c r="D593" t="s">
        <v>19</v>
      </c>
      <c r="E593">
        <v>3</v>
      </c>
      <c r="F593">
        <v>178.5</v>
      </c>
      <c r="G593">
        <v>92.9</v>
      </c>
      <c r="I593">
        <v>6</v>
      </c>
      <c r="J593">
        <v>6.96</v>
      </c>
      <c r="K593">
        <v>7.44</v>
      </c>
      <c r="L593">
        <v>0</v>
      </c>
      <c r="M593" t="s">
        <v>34</v>
      </c>
      <c r="N593" t="s">
        <v>26</v>
      </c>
      <c r="O593">
        <v>19.57</v>
      </c>
      <c r="P593" t="s">
        <v>28</v>
      </c>
    </row>
    <row r="594" spans="1:16" x14ac:dyDescent="0.3">
      <c r="A594" t="s">
        <v>94</v>
      </c>
      <c r="B594" t="s">
        <v>43</v>
      </c>
      <c r="C594" t="s">
        <v>24</v>
      </c>
      <c r="D594" t="s">
        <v>29</v>
      </c>
      <c r="E594">
        <v>2</v>
      </c>
      <c r="F594">
        <v>144.69999999999999</v>
      </c>
      <c r="G594">
        <v>92.3</v>
      </c>
      <c r="H594">
        <v>5.6</v>
      </c>
      <c r="I594">
        <v>6</v>
      </c>
      <c r="J594">
        <v>6.36</v>
      </c>
      <c r="K594">
        <v>5.8</v>
      </c>
      <c r="L594">
        <v>0</v>
      </c>
      <c r="M594" t="s">
        <v>25</v>
      </c>
      <c r="N594" t="s">
        <v>26</v>
      </c>
      <c r="O594">
        <v>9.99</v>
      </c>
      <c r="P594" t="s">
        <v>30</v>
      </c>
    </row>
    <row r="595" spans="1:16" x14ac:dyDescent="0.3">
      <c r="A595" t="s">
        <v>94</v>
      </c>
      <c r="B595" t="s">
        <v>23</v>
      </c>
      <c r="C595" t="s">
        <v>24</v>
      </c>
      <c r="D595" t="s">
        <v>29</v>
      </c>
      <c r="E595">
        <v>8</v>
      </c>
      <c r="F595">
        <v>154.30000000000001</v>
      </c>
      <c r="G595">
        <v>100</v>
      </c>
      <c r="H595">
        <v>0.9</v>
      </c>
      <c r="I595">
        <v>6</v>
      </c>
      <c r="J595">
        <v>6.48</v>
      </c>
      <c r="K595">
        <v>5.6</v>
      </c>
      <c r="L595">
        <v>0</v>
      </c>
      <c r="M595" t="s">
        <v>34</v>
      </c>
      <c r="N595" t="s">
        <v>26</v>
      </c>
      <c r="O595">
        <v>9.1199999999999992</v>
      </c>
      <c r="P595" t="s">
        <v>32</v>
      </c>
    </row>
    <row r="596" spans="1:16" x14ac:dyDescent="0.3">
      <c r="A596" t="s">
        <v>94</v>
      </c>
      <c r="B596" t="s">
        <v>33</v>
      </c>
      <c r="C596" t="s">
        <v>37</v>
      </c>
      <c r="D596" t="s">
        <v>39</v>
      </c>
      <c r="E596">
        <v>10</v>
      </c>
      <c r="F596">
        <v>169.9</v>
      </c>
      <c r="G596">
        <v>99.5</v>
      </c>
      <c r="H596">
        <v>4</v>
      </c>
      <c r="I596">
        <v>3</v>
      </c>
      <c r="J596">
        <v>8.31</v>
      </c>
      <c r="K596">
        <v>9.99</v>
      </c>
      <c r="L596">
        <v>1</v>
      </c>
      <c r="M596" t="s">
        <v>20</v>
      </c>
      <c r="N596" t="s">
        <v>21</v>
      </c>
      <c r="O596">
        <v>13.4</v>
      </c>
      <c r="P596" t="s">
        <v>36</v>
      </c>
    </row>
    <row r="597" spans="1:16" x14ac:dyDescent="0.3">
      <c r="A597" t="s">
        <v>94</v>
      </c>
      <c r="B597" t="s">
        <v>33</v>
      </c>
      <c r="C597" t="s">
        <v>31</v>
      </c>
      <c r="D597" t="s">
        <v>39</v>
      </c>
      <c r="E597">
        <v>2</v>
      </c>
      <c r="F597">
        <v>160.80000000000001</v>
      </c>
      <c r="G597">
        <v>100</v>
      </c>
      <c r="H597">
        <v>2.2000000000000002</v>
      </c>
      <c r="I597">
        <v>12</v>
      </c>
      <c r="J597">
        <v>9.93</v>
      </c>
      <c r="K597">
        <v>7.77</v>
      </c>
      <c r="L597">
        <v>2</v>
      </c>
      <c r="M597" t="s">
        <v>34</v>
      </c>
      <c r="N597" t="s">
        <v>21</v>
      </c>
      <c r="O597">
        <v>22.51</v>
      </c>
      <c r="P597" t="s">
        <v>38</v>
      </c>
    </row>
    <row r="598" spans="1:16" x14ac:dyDescent="0.3">
      <c r="A598" t="s">
        <v>94</v>
      </c>
      <c r="B598" t="s">
        <v>23</v>
      </c>
      <c r="C598" t="s">
        <v>37</v>
      </c>
      <c r="D598" t="s">
        <v>19</v>
      </c>
      <c r="E598">
        <v>3</v>
      </c>
      <c r="F598">
        <v>163.30000000000001</v>
      </c>
      <c r="G598">
        <v>88.3</v>
      </c>
      <c r="H598">
        <v>4.5</v>
      </c>
      <c r="I598">
        <v>7</v>
      </c>
      <c r="J598">
        <v>8</v>
      </c>
      <c r="K598">
        <v>6.66</v>
      </c>
      <c r="L598">
        <v>0</v>
      </c>
      <c r="M598" t="s">
        <v>25</v>
      </c>
      <c r="N598" t="s">
        <v>26</v>
      </c>
      <c r="O598">
        <v>20.22</v>
      </c>
      <c r="P598" t="s">
        <v>40</v>
      </c>
    </row>
    <row r="599" spans="1:16" x14ac:dyDescent="0.3">
      <c r="A599" t="s">
        <v>94</v>
      </c>
      <c r="B599" t="s">
        <v>17</v>
      </c>
      <c r="C599" t="s">
        <v>18</v>
      </c>
      <c r="D599" t="s">
        <v>39</v>
      </c>
      <c r="E599">
        <v>7</v>
      </c>
      <c r="F599">
        <v>159.1</v>
      </c>
      <c r="G599">
        <v>92.7</v>
      </c>
      <c r="H599">
        <v>4.8</v>
      </c>
      <c r="I599">
        <v>3</v>
      </c>
      <c r="J599">
        <v>6.69</v>
      </c>
      <c r="K599">
        <v>7.18</v>
      </c>
      <c r="L599">
        <v>0</v>
      </c>
      <c r="M599" t="s">
        <v>20</v>
      </c>
      <c r="N599" t="s">
        <v>35</v>
      </c>
      <c r="O599">
        <v>12.08</v>
      </c>
      <c r="P599" t="s">
        <v>42</v>
      </c>
    </row>
    <row r="600" spans="1:16" x14ac:dyDescent="0.3">
      <c r="A600" t="s">
        <v>94</v>
      </c>
      <c r="B600" t="s">
        <v>27</v>
      </c>
      <c r="C600" t="s">
        <v>31</v>
      </c>
      <c r="D600" t="s">
        <v>29</v>
      </c>
      <c r="E600">
        <v>9</v>
      </c>
      <c r="F600">
        <v>187.1</v>
      </c>
      <c r="G600">
        <v>97.6</v>
      </c>
      <c r="H600">
        <v>5.4</v>
      </c>
      <c r="I600">
        <v>7</v>
      </c>
      <c r="J600">
        <v>8.42</v>
      </c>
      <c r="K600">
        <v>8.4600000000000009</v>
      </c>
      <c r="L600">
        <v>2</v>
      </c>
      <c r="M600" t="s">
        <v>34</v>
      </c>
      <c r="N600" t="s">
        <v>21</v>
      </c>
      <c r="O600">
        <v>21.64</v>
      </c>
      <c r="P600" t="s">
        <v>44</v>
      </c>
    </row>
    <row r="601" spans="1:16" x14ac:dyDescent="0.3">
      <c r="A601" t="s">
        <v>94</v>
      </c>
      <c r="B601" t="s">
        <v>23</v>
      </c>
      <c r="C601" t="s">
        <v>18</v>
      </c>
      <c r="D601" t="s">
        <v>39</v>
      </c>
      <c r="E601">
        <v>9</v>
      </c>
      <c r="F601">
        <v>168.1</v>
      </c>
      <c r="G601">
        <v>91.4</v>
      </c>
      <c r="H601">
        <v>5.0999999999999996</v>
      </c>
      <c r="I601">
        <v>7</v>
      </c>
      <c r="J601">
        <v>7.69</v>
      </c>
      <c r="K601">
        <v>9.94</v>
      </c>
      <c r="L601">
        <v>0</v>
      </c>
      <c r="M601" t="s">
        <v>20</v>
      </c>
      <c r="N601" t="s">
        <v>26</v>
      </c>
      <c r="O601">
        <v>13.99</v>
      </c>
      <c r="P601" t="s">
        <v>45</v>
      </c>
    </row>
    <row r="602" spans="1:16" x14ac:dyDescent="0.3">
      <c r="A602" t="s">
        <v>95</v>
      </c>
      <c r="B602" t="s">
        <v>33</v>
      </c>
      <c r="C602" t="s">
        <v>41</v>
      </c>
      <c r="D602" t="s">
        <v>29</v>
      </c>
      <c r="E602">
        <v>9</v>
      </c>
      <c r="F602">
        <v>166.9</v>
      </c>
      <c r="G602">
        <v>100</v>
      </c>
      <c r="H602">
        <v>6.8</v>
      </c>
      <c r="I602">
        <v>3</v>
      </c>
      <c r="J602">
        <v>7.19</v>
      </c>
      <c r="K602">
        <v>6.42</v>
      </c>
      <c r="L602">
        <v>1</v>
      </c>
      <c r="M602" t="s">
        <v>34</v>
      </c>
      <c r="N602" t="s">
        <v>21</v>
      </c>
      <c r="O602">
        <v>15.99</v>
      </c>
      <c r="P602" t="s">
        <v>22</v>
      </c>
    </row>
    <row r="603" spans="1:16" x14ac:dyDescent="0.3">
      <c r="A603" t="s">
        <v>95</v>
      </c>
      <c r="B603" t="s">
        <v>23</v>
      </c>
      <c r="C603" t="s">
        <v>24</v>
      </c>
      <c r="D603" t="s">
        <v>19</v>
      </c>
      <c r="E603">
        <v>3</v>
      </c>
      <c r="F603">
        <v>155.69999999999999</v>
      </c>
      <c r="G603">
        <v>100</v>
      </c>
      <c r="H603">
        <v>6.1</v>
      </c>
      <c r="I603">
        <v>4</v>
      </c>
      <c r="J603">
        <v>8.93</v>
      </c>
      <c r="K603">
        <v>10</v>
      </c>
      <c r="L603">
        <v>1</v>
      </c>
      <c r="M603" t="s">
        <v>34</v>
      </c>
      <c r="N603" t="s">
        <v>35</v>
      </c>
      <c r="O603">
        <v>15.4</v>
      </c>
      <c r="P603" t="s">
        <v>22</v>
      </c>
    </row>
    <row r="604" spans="1:16" x14ac:dyDescent="0.3">
      <c r="A604" t="s">
        <v>95</v>
      </c>
      <c r="B604" t="s">
        <v>33</v>
      </c>
      <c r="C604" t="s">
        <v>18</v>
      </c>
      <c r="D604" t="s">
        <v>29</v>
      </c>
      <c r="E604">
        <v>6</v>
      </c>
      <c r="F604">
        <v>159.5</v>
      </c>
      <c r="G604">
        <v>100</v>
      </c>
      <c r="H604">
        <v>3.1</v>
      </c>
      <c r="I604">
        <v>8</v>
      </c>
      <c r="J604">
        <v>6.83</v>
      </c>
      <c r="K604">
        <v>8.94</v>
      </c>
      <c r="L604">
        <v>0</v>
      </c>
      <c r="M604" t="s">
        <v>34</v>
      </c>
      <c r="N604" t="s">
        <v>35</v>
      </c>
      <c r="O604">
        <v>10.76</v>
      </c>
      <c r="P604" t="s">
        <v>28</v>
      </c>
    </row>
    <row r="605" spans="1:16" x14ac:dyDescent="0.3">
      <c r="A605" t="s">
        <v>95</v>
      </c>
      <c r="B605" t="s">
        <v>27</v>
      </c>
      <c r="C605" t="s">
        <v>41</v>
      </c>
      <c r="D605" t="s">
        <v>19</v>
      </c>
      <c r="E605">
        <v>9</v>
      </c>
      <c r="F605">
        <v>151.69999999999999</v>
      </c>
      <c r="G605">
        <v>91.6</v>
      </c>
      <c r="H605">
        <v>3.4</v>
      </c>
      <c r="I605">
        <v>5</v>
      </c>
      <c r="J605">
        <v>7.79</v>
      </c>
      <c r="K605">
        <v>8.15</v>
      </c>
      <c r="L605">
        <v>0</v>
      </c>
      <c r="M605" t="s">
        <v>25</v>
      </c>
      <c r="N605" t="s">
        <v>21</v>
      </c>
      <c r="O605">
        <v>12.45</v>
      </c>
      <c r="P605" t="s">
        <v>28</v>
      </c>
    </row>
    <row r="606" spans="1:16" x14ac:dyDescent="0.3">
      <c r="A606" t="s">
        <v>95</v>
      </c>
      <c r="B606" t="s">
        <v>33</v>
      </c>
      <c r="C606" t="s">
        <v>18</v>
      </c>
      <c r="D606" t="s">
        <v>29</v>
      </c>
      <c r="E606">
        <v>10</v>
      </c>
      <c r="F606">
        <v>151.69999999999999</v>
      </c>
      <c r="G606">
        <v>92.1</v>
      </c>
      <c r="H606">
        <v>2.1</v>
      </c>
      <c r="I606">
        <v>11</v>
      </c>
      <c r="J606">
        <v>7.9</v>
      </c>
      <c r="K606">
        <v>8.41</v>
      </c>
      <c r="L606">
        <v>0</v>
      </c>
      <c r="M606" t="s">
        <v>34</v>
      </c>
      <c r="N606" t="s">
        <v>21</v>
      </c>
      <c r="O606">
        <v>13.84</v>
      </c>
      <c r="P606" t="s">
        <v>30</v>
      </c>
    </row>
    <row r="607" spans="1:16" x14ac:dyDescent="0.3">
      <c r="A607" t="s">
        <v>95</v>
      </c>
      <c r="B607" t="s">
        <v>43</v>
      </c>
      <c r="C607" t="s">
        <v>18</v>
      </c>
      <c r="D607" t="s">
        <v>39</v>
      </c>
      <c r="E607">
        <v>3</v>
      </c>
      <c r="F607">
        <v>166.4</v>
      </c>
      <c r="G607">
        <v>93.6</v>
      </c>
      <c r="H607">
        <v>5.4</v>
      </c>
      <c r="I607">
        <v>4</v>
      </c>
      <c r="J607">
        <v>6.26</v>
      </c>
      <c r="K607">
        <v>3.64</v>
      </c>
      <c r="L607">
        <v>1</v>
      </c>
      <c r="M607" t="s">
        <v>25</v>
      </c>
      <c r="N607" t="s">
        <v>26</v>
      </c>
      <c r="O607">
        <v>9.84</v>
      </c>
      <c r="P607" t="s">
        <v>32</v>
      </c>
    </row>
    <row r="608" spans="1:16" x14ac:dyDescent="0.3">
      <c r="A608" t="s">
        <v>95</v>
      </c>
      <c r="B608" t="s">
        <v>23</v>
      </c>
      <c r="C608" t="s">
        <v>41</v>
      </c>
      <c r="D608" t="s">
        <v>39</v>
      </c>
      <c r="E608">
        <v>8</v>
      </c>
      <c r="F608">
        <v>182.4</v>
      </c>
      <c r="G608">
        <v>96.8</v>
      </c>
      <c r="I608">
        <v>11</v>
      </c>
      <c r="J608">
        <v>5.29</v>
      </c>
      <c r="K608">
        <v>8.06</v>
      </c>
      <c r="L608">
        <v>0</v>
      </c>
      <c r="M608" t="s">
        <v>34</v>
      </c>
      <c r="N608" t="s">
        <v>26</v>
      </c>
      <c r="O608">
        <v>19.7</v>
      </c>
      <c r="P608" t="s">
        <v>36</v>
      </c>
    </row>
    <row r="609" spans="1:16" x14ac:dyDescent="0.3">
      <c r="A609" t="s">
        <v>95</v>
      </c>
      <c r="B609" t="s">
        <v>33</v>
      </c>
      <c r="C609" t="s">
        <v>31</v>
      </c>
      <c r="D609" t="s">
        <v>19</v>
      </c>
      <c r="E609">
        <v>8</v>
      </c>
      <c r="F609">
        <v>158.5</v>
      </c>
      <c r="G609">
        <v>90.8</v>
      </c>
      <c r="H609">
        <v>10.1</v>
      </c>
      <c r="I609">
        <v>13</v>
      </c>
      <c r="J609">
        <v>5.87</v>
      </c>
      <c r="K609">
        <v>9.68</v>
      </c>
      <c r="L609">
        <v>0</v>
      </c>
      <c r="M609" t="s">
        <v>25</v>
      </c>
      <c r="N609" t="s">
        <v>26</v>
      </c>
      <c r="O609">
        <v>11.53</v>
      </c>
      <c r="P609" t="s">
        <v>38</v>
      </c>
    </row>
    <row r="610" spans="1:16" x14ac:dyDescent="0.3">
      <c r="A610" t="s">
        <v>95</v>
      </c>
      <c r="B610" t="s">
        <v>17</v>
      </c>
      <c r="C610" t="s">
        <v>41</v>
      </c>
      <c r="D610" t="s">
        <v>19</v>
      </c>
      <c r="E610">
        <v>2</v>
      </c>
      <c r="F610">
        <v>154.19999999999999</v>
      </c>
      <c r="G610">
        <v>97</v>
      </c>
      <c r="H610">
        <v>2.4</v>
      </c>
      <c r="I610">
        <v>10</v>
      </c>
      <c r="K610">
        <v>6.58</v>
      </c>
      <c r="L610">
        <v>0</v>
      </c>
      <c r="M610" t="s">
        <v>20</v>
      </c>
      <c r="N610" t="s">
        <v>21</v>
      </c>
      <c r="O610">
        <v>20.7</v>
      </c>
      <c r="P610" t="s">
        <v>40</v>
      </c>
    </row>
    <row r="611" spans="1:16" x14ac:dyDescent="0.3">
      <c r="A611" t="s">
        <v>95</v>
      </c>
      <c r="B611" t="s">
        <v>17</v>
      </c>
      <c r="C611" t="s">
        <v>31</v>
      </c>
      <c r="D611" t="s">
        <v>29</v>
      </c>
      <c r="E611">
        <v>10</v>
      </c>
      <c r="F611">
        <v>169.1</v>
      </c>
      <c r="G611">
        <v>94.8</v>
      </c>
      <c r="H611">
        <v>4.5</v>
      </c>
      <c r="I611">
        <v>9</v>
      </c>
      <c r="J611">
        <v>7.84</v>
      </c>
      <c r="K611">
        <v>6.66</v>
      </c>
      <c r="L611">
        <v>0</v>
      </c>
      <c r="M611" t="s">
        <v>25</v>
      </c>
      <c r="N611" t="s">
        <v>35</v>
      </c>
      <c r="O611">
        <v>17.23</v>
      </c>
      <c r="P611" t="s">
        <v>42</v>
      </c>
    </row>
    <row r="612" spans="1:16" x14ac:dyDescent="0.3">
      <c r="A612" t="s">
        <v>95</v>
      </c>
      <c r="B612" t="s">
        <v>27</v>
      </c>
      <c r="C612" t="s">
        <v>41</v>
      </c>
      <c r="D612" t="s">
        <v>19</v>
      </c>
      <c r="E612">
        <v>9</v>
      </c>
      <c r="F612">
        <v>163.4</v>
      </c>
      <c r="G612">
        <v>97.8</v>
      </c>
      <c r="H612">
        <v>4.5999999999999996</v>
      </c>
      <c r="I612">
        <v>2</v>
      </c>
      <c r="J612">
        <v>8.31</v>
      </c>
      <c r="K612">
        <v>6.26</v>
      </c>
      <c r="L612">
        <v>0</v>
      </c>
      <c r="M612" t="s">
        <v>20</v>
      </c>
      <c r="N612" t="s">
        <v>35</v>
      </c>
      <c r="O612">
        <v>12.07</v>
      </c>
      <c r="P612" t="s">
        <v>44</v>
      </c>
    </row>
    <row r="613" spans="1:16" x14ac:dyDescent="0.3">
      <c r="A613" t="s">
        <v>95</v>
      </c>
      <c r="B613" t="s">
        <v>17</v>
      </c>
      <c r="C613" t="s">
        <v>37</v>
      </c>
      <c r="D613" t="s">
        <v>39</v>
      </c>
      <c r="E613">
        <v>10</v>
      </c>
      <c r="F613">
        <v>158.30000000000001</v>
      </c>
      <c r="G613">
        <v>95.2</v>
      </c>
      <c r="H613">
        <v>6.2</v>
      </c>
      <c r="I613">
        <v>8</v>
      </c>
      <c r="J613">
        <v>5.05</v>
      </c>
      <c r="K613">
        <v>7.98</v>
      </c>
      <c r="L613">
        <v>0</v>
      </c>
      <c r="M613" t="s">
        <v>20</v>
      </c>
      <c r="N613" t="s">
        <v>21</v>
      </c>
      <c r="O613">
        <v>16</v>
      </c>
      <c r="P613" t="s">
        <v>45</v>
      </c>
    </row>
    <row r="614" spans="1:16" x14ac:dyDescent="0.3">
      <c r="A614" t="s">
        <v>96</v>
      </c>
      <c r="B614" t="s">
        <v>33</v>
      </c>
      <c r="C614" t="s">
        <v>41</v>
      </c>
      <c r="D614" t="s">
        <v>39</v>
      </c>
      <c r="E614">
        <v>1</v>
      </c>
      <c r="F614">
        <v>156.19999999999999</v>
      </c>
      <c r="G614">
        <v>92.5</v>
      </c>
      <c r="H614">
        <v>8.1</v>
      </c>
      <c r="I614">
        <v>2</v>
      </c>
      <c r="J614">
        <v>8.01</v>
      </c>
      <c r="K614">
        <v>6.65</v>
      </c>
      <c r="L614">
        <v>1</v>
      </c>
      <c r="M614" t="s">
        <v>20</v>
      </c>
      <c r="N614" t="s">
        <v>21</v>
      </c>
      <c r="O614">
        <v>19.5</v>
      </c>
      <c r="P614" t="s">
        <v>22</v>
      </c>
    </row>
    <row r="615" spans="1:16" x14ac:dyDescent="0.3">
      <c r="A615" t="s">
        <v>96</v>
      </c>
      <c r="B615" t="s">
        <v>27</v>
      </c>
      <c r="C615" t="s">
        <v>31</v>
      </c>
      <c r="D615" t="s">
        <v>29</v>
      </c>
      <c r="E615">
        <v>5</v>
      </c>
      <c r="F615">
        <v>148.69999999999999</v>
      </c>
      <c r="G615">
        <v>95.2</v>
      </c>
      <c r="H615">
        <v>2.9</v>
      </c>
      <c r="I615">
        <v>8</v>
      </c>
      <c r="J615">
        <v>6.69</v>
      </c>
      <c r="K615">
        <v>7.71</v>
      </c>
      <c r="L615">
        <v>1</v>
      </c>
      <c r="M615" t="s">
        <v>34</v>
      </c>
      <c r="N615" t="s">
        <v>35</v>
      </c>
      <c r="O615">
        <v>16.579999999999998</v>
      </c>
      <c r="P615" t="s">
        <v>22</v>
      </c>
    </row>
    <row r="616" spans="1:16" x14ac:dyDescent="0.3">
      <c r="A616" t="s">
        <v>96</v>
      </c>
      <c r="B616" t="s">
        <v>23</v>
      </c>
      <c r="C616" t="s">
        <v>18</v>
      </c>
      <c r="D616" t="s">
        <v>29</v>
      </c>
      <c r="E616">
        <v>7</v>
      </c>
      <c r="F616">
        <v>145.80000000000001</v>
      </c>
      <c r="G616">
        <v>99.9</v>
      </c>
      <c r="H616">
        <v>4.5</v>
      </c>
      <c r="I616">
        <v>6</v>
      </c>
      <c r="J616">
        <v>5.42</v>
      </c>
      <c r="K616">
        <v>10</v>
      </c>
      <c r="L616">
        <v>0</v>
      </c>
      <c r="M616" t="s">
        <v>20</v>
      </c>
      <c r="N616" t="s">
        <v>21</v>
      </c>
      <c r="O616">
        <v>18.21</v>
      </c>
      <c r="P616" t="s">
        <v>28</v>
      </c>
    </row>
    <row r="617" spans="1:16" x14ac:dyDescent="0.3">
      <c r="A617" t="s">
        <v>96</v>
      </c>
      <c r="B617" t="s">
        <v>43</v>
      </c>
      <c r="C617" t="s">
        <v>24</v>
      </c>
      <c r="D617" t="s">
        <v>19</v>
      </c>
      <c r="E617">
        <v>3</v>
      </c>
      <c r="F617">
        <v>163</v>
      </c>
      <c r="G617">
        <v>91.1</v>
      </c>
      <c r="H617">
        <v>2.9</v>
      </c>
      <c r="I617">
        <v>7</v>
      </c>
      <c r="J617">
        <v>5.51</v>
      </c>
      <c r="K617">
        <v>6.48</v>
      </c>
      <c r="L617">
        <v>0</v>
      </c>
      <c r="M617" t="s">
        <v>20</v>
      </c>
      <c r="N617" t="s">
        <v>35</v>
      </c>
      <c r="O617">
        <v>25.08</v>
      </c>
      <c r="P617" t="s">
        <v>28</v>
      </c>
    </row>
    <row r="618" spans="1:16" x14ac:dyDescent="0.3">
      <c r="A618" t="s">
        <v>96</v>
      </c>
      <c r="B618" t="s">
        <v>33</v>
      </c>
      <c r="C618" t="s">
        <v>18</v>
      </c>
      <c r="D618" t="s">
        <v>29</v>
      </c>
      <c r="E618">
        <v>6</v>
      </c>
      <c r="F618">
        <v>138.80000000000001</v>
      </c>
      <c r="G618">
        <v>93.8</v>
      </c>
      <c r="H618">
        <v>8.9</v>
      </c>
      <c r="I618">
        <v>4</v>
      </c>
      <c r="J618">
        <v>8.1999999999999993</v>
      </c>
      <c r="K618">
        <v>4.26</v>
      </c>
      <c r="L618">
        <v>1</v>
      </c>
      <c r="M618" t="s">
        <v>25</v>
      </c>
      <c r="N618" t="s">
        <v>35</v>
      </c>
      <c r="O618">
        <v>16.71</v>
      </c>
      <c r="P618" t="s">
        <v>30</v>
      </c>
    </row>
    <row r="619" spans="1:16" x14ac:dyDescent="0.3">
      <c r="A619" t="s">
        <v>96</v>
      </c>
      <c r="B619" t="s">
        <v>43</v>
      </c>
      <c r="C619" t="s">
        <v>37</v>
      </c>
      <c r="D619" t="s">
        <v>39</v>
      </c>
      <c r="E619">
        <v>6</v>
      </c>
      <c r="F619">
        <v>170.8</v>
      </c>
      <c r="G619">
        <v>100</v>
      </c>
      <c r="H619">
        <v>5.4</v>
      </c>
      <c r="I619">
        <v>3</v>
      </c>
      <c r="K619">
        <v>6.71</v>
      </c>
      <c r="L619">
        <v>0</v>
      </c>
      <c r="M619" t="s">
        <v>25</v>
      </c>
      <c r="N619" t="s">
        <v>21</v>
      </c>
      <c r="O619">
        <v>8.7799999999999994</v>
      </c>
      <c r="P619" t="s">
        <v>32</v>
      </c>
    </row>
    <row r="620" spans="1:16" x14ac:dyDescent="0.3">
      <c r="A620" t="s">
        <v>96</v>
      </c>
      <c r="B620" t="s">
        <v>17</v>
      </c>
      <c r="C620" t="s">
        <v>24</v>
      </c>
      <c r="D620" t="s">
        <v>39</v>
      </c>
      <c r="E620">
        <v>4</v>
      </c>
      <c r="F620">
        <v>171.1</v>
      </c>
      <c r="G620">
        <v>97.1</v>
      </c>
      <c r="H620">
        <v>4.0999999999999996</v>
      </c>
      <c r="I620">
        <v>5</v>
      </c>
      <c r="J620">
        <v>7.78</v>
      </c>
      <c r="K620">
        <v>7.28</v>
      </c>
      <c r="L620">
        <v>0</v>
      </c>
      <c r="M620" t="s">
        <v>20</v>
      </c>
      <c r="N620" t="s">
        <v>26</v>
      </c>
      <c r="O620">
        <v>14.31</v>
      </c>
      <c r="P620" t="s">
        <v>36</v>
      </c>
    </row>
    <row r="621" spans="1:16" x14ac:dyDescent="0.3">
      <c r="A621" t="s">
        <v>96</v>
      </c>
      <c r="B621" t="s">
        <v>27</v>
      </c>
      <c r="C621" t="s">
        <v>41</v>
      </c>
      <c r="D621" t="s">
        <v>39</v>
      </c>
      <c r="E621">
        <v>7</v>
      </c>
      <c r="F621">
        <v>152</v>
      </c>
      <c r="G621">
        <v>90.3</v>
      </c>
      <c r="H621">
        <v>2.1</v>
      </c>
      <c r="I621">
        <v>8</v>
      </c>
      <c r="J621">
        <v>6.84</v>
      </c>
      <c r="K621">
        <v>3.38</v>
      </c>
      <c r="L621">
        <v>0</v>
      </c>
      <c r="M621" t="s">
        <v>25</v>
      </c>
      <c r="N621" t="s">
        <v>21</v>
      </c>
      <c r="O621">
        <v>7.97</v>
      </c>
      <c r="P621" t="s">
        <v>38</v>
      </c>
    </row>
    <row r="622" spans="1:16" x14ac:dyDescent="0.3">
      <c r="A622" t="s">
        <v>96</v>
      </c>
      <c r="B622" t="s">
        <v>17</v>
      </c>
      <c r="C622" t="s">
        <v>37</v>
      </c>
      <c r="D622" t="s">
        <v>19</v>
      </c>
      <c r="E622">
        <v>6</v>
      </c>
      <c r="F622">
        <v>156</v>
      </c>
      <c r="G622">
        <v>94.8</v>
      </c>
      <c r="I622">
        <v>9</v>
      </c>
      <c r="J622">
        <v>5.18</v>
      </c>
      <c r="K622">
        <v>6.37</v>
      </c>
      <c r="L622">
        <v>0</v>
      </c>
      <c r="M622" t="s">
        <v>25</v>
      </c>
      <c r="N622" t="s">
        <v>26</v>
      </c>
      <c r="O622">
        <v>17.489999999999998</v>
      </c>
      <c r="P622" t="s">
        <v>40</v>
      </c>
    </row>
    <row r="623" spans="1:16" x14ac:dyDescent="0.3">
      <c r="A623" t="s">
        <v>96</v>
      </c>
      <c r="B623" t="s">
        <v>27</v>
      </c>
      <c r="C623" t="s">
        <v>37</v>
      </c>
      <c r="D623" t="s">
        <v>39</v>
      </c>
      <c r="E623">
        <v>4</v>
      </c>
      <c r="F623">
        <v>159.6</v>
      </c>
      <c r="G623">
        <v>93.8</v>
      </c>
      <c r="H623">
        <v>9</v>
      </c>
      <c r="I623">
        <v>7</v>
      </c>
      <c r="J623">
        <v>7.83</v>
      </c>
      <c r="K623">
        <v>7.96</v>
      </c>
      <c r="L623">
        <v>0</v>
      </c>
      <c r="M623" t="s">
        <v>25</v>
      </c>
      <c r="N623" t="s">
        <v>35</v>
      </c>
      <c r="O623">
        <v>12.28</v>
      </c>
      <c r="P623" t="s">
        <v>42</v>
      </c>
    </row>
    <row r="624" spans="1:16" x14ac:dyDescent="0.3">
      <c r="A624" t="s">
        <v>96</v>
      </c>
      <c r="B624" t="s">
        <v>43</v>
      </c>
      <c r="C624" t="s">
        <v>31</v>
      </c>
      <c r="D624" t="s">
        <v>29</v>
      </c>
      <c r="E624">
        <v>4</v>
      </c>
      <c r="F624">
        <v>166.1</v>
      </c>
      <c r="G624">
        <v>91.9</v>
      </c>
      <c r="H624">
        <v>5.5</v>
      </c>
      <c r="I624">
        <v>7</v>
      </c>
      <c r="J624">
        <v>7.59</v>
      </c>
      <c r="K624">
        <v>7.54</v>
      </c>
      <c r="L624">
        <v>1</v>
      </c>
      <c r="M624" t="s">
        <v>34</v>
      </c>
      <c r="N624" t="s">
        <v>26</v>
      </c>
      <c r="O624">
        <v>10.51</v>
      </c>
      <c r="P624" t="s">
        <v>44</v>
      </c>
    </row>
    <row r="625" spans="1:16" x14ac:dyDescent="0.3">
      <c r="A625" t="s">
        <v>96</v>
      </c>
      <c r="B625" t="s">
        <v>23</v>
      </c>
      <c r="C625" t="s">
        <v>41</v>
      </c>
      <c r="D625" t="s">
        <v>19</v>
      </c>
      <c r="E625">
        <v>8</v>
      </c>
      <c r="F625">
        <v>155.4</v>
      </c>
      <c r="G625">
        <v>100</v>
      </c>
      <c r="H625">
        <v>7</v>
      </c>
      <c r="I625">
        <v>7</v>
      </c>
      <c r="J625">
        <v>9.92</v>
      </c>
      <c r="K625">
        <v>5.07</v>
      </c>
      <c r="L625">
        <v>0</v>
      </c>
      <c r="M625" t="s">
        <v>25</v>
      </c>
      <c r="N625" t="s">
        <v>26</v>
      </c>
      <c r="O625">
        <v>5.64</v>
      </c>
      <c r="P625" t="s">
        <v>45</v>
      </c>
    </row>
    <row r="626" spans="1:16" x14ac:dyDescent="0.3">
      <c r="A626" t="s">
        <v>97</v>
      </c>
      <c r="B626" t="s">
        <v>43</v>
      </c>
      <c r="C626" t="s">
        <v>24</v>
      </c>
      <c r="D626" t="s">
        <v>29</v>
      </c>
      <c r="E626">
        <v>7</v>
      </c>
      <c r="F626">
        <v>145.4</v>
      </c>
      <c r="G626">
        <v>96.2</v>
      </c>
      <c r="H626">
        <v>1</v>
      </c>
      <c r="I626">
        <v>5</v>
      </c>
      <c r="K626">
        <v>4.9000000000000004</v>
      </c>
      <c r="L626">
        <v>0</v>
      </c>
      <c r="M626" t="s">
        <v>20</v>
      </c>
      <c r="N626" t="s">
        <v>35</v>
      </c>
      <c r="O626">
        <v>17.100000000000001</v>
      </c>
      <c r="P626" t="s">
        <v>22</v>
      </c>
    </row>
    <row r="627" spans="1:16" x14ac:dyDescent="0.3">
      <c r="A627" t="s">
        <v>97</v>
      </c>
      <c r="B627" t="s">
        <v>33</v>
      </c>
      <c r="C627" t="s">
        <v>31</v>
      </c>
      <c r="D627" t="s">
        <v>29</v>
      </c>
      <c r="E627">
        <v>10</v>
      </c>
      <c r="F627">
        <v>162.30000000000001</v>
      </c>
      <c r="G627">
        <v>97.9</v>
      </c>
      <c r="H627">
        <v>5.8</v>
      </c>
      <c r="I627">
        <v>4</v>
      </c>
      <c r="J627">
        <v>7.12</v>
      </c>
      <c r="K627">
        <v>7.78</v>
      </c>
      <c r="L627">
        <v>0</v>
      </c>
      <c r="M627" t="s">
        <v>25</v>
      </c>
      <c r="N627" t="s">
        <v>21</v>
      </c>
      <c r="O627">
        <v>14.88</v>
      </c>
      <c r="P627" t="s">
        <v>22</v>
      </c>
    </row>
    <row r="628" spans="1:16" x14ac:dyDescent="0.3">
      <c r="A628" t="s">
        <v>97</v>
      </c>
      <c r="B628" t="s">
        <v>43</v>
      </c>
      <c r="C628" t="s">
        <v>37</v>
      </c>
      <c r="D628" t="s">
        <v>39</v>
      </c>
      <c r="E628">
        <v>5</v>
      </c>
      <c r="F628">
        <v>143.80000000000001</v>
      </c>
      <c r="G628">
        <v>90.7</v>
      </c>
      <c r="H628">
        <v>0.7</v>
      </c>
      <c r="I628">
        <v>8</v>
      </c>
      <c r="J628">
        <v>6.13</v>
      </c>
      <c r="K628">
        <v>3.49</v>
      </c>
      <c r="L628">
        <v>1</v>
      </c>
      <c r="M628" t="s">
        <v>20</v>
      </c>
      <c r="N628" t="s">
        <v>35</v>
      </c>
      <c r="O628">
        <v>6.08</v>
      </c>
      <c r="P628" t="s">
        <v>28</v>
      </c>
    </row>
    <row r="629" spans="1:16" x14ac:dyDescent="0.3">
      <c r="A629" t="s">
        <v>97</v>
      </c>
      <c r="B629" t="s">
        <v>17</v>
      </c>
      <c r="C629" t="s">
        <v>37</v>
      </c>
      <c r="D629" t="s">
        <v>39</v>
      </c>
      <c r="E629">
        <v>4</v>
      </c>
      <c r="F629">
        <v>151.9</v>
      </c>
      <c r="G629">
        <v>97.6</v>
      </c>
      <c r="H629">
        <v>5.2</v>
      </c>
      <c r="I629">
        <v>7</v>
      </c>
      <c r="J629">
        <v>7.98</v>
      </c>
      <c r="K629">
        <v>6.06</v>
      </c>
      <c r="L629">
        <v>1</v>
      </c>
      <c r="M629" t="s">
        <v>25</v>
      </c>
      <c r="N629" t="s">
        <v>26</v>
      </c>
      <c r="O629">
        <v>10.74</v>
      </c>
      <c r="P629" t="s">
        <v>28</v>
      </c>
    </row>
    <row r="630" spans="1:16" x14ac:dyDescent="0.3">
      <c r="A630" t="s">
        <v>97</v>
      </c>
      <c r="B630" t="s">
        <v>43</v>
      </c>
      <c r="C630" t="s">
        <v>41</v>
      </c>
      <c r="D630" t="s">
        <v>19</v>
      </c>
      <c r="E630">
        <v>8</v>
      </c>
      <c r="F630">
        <v>151.6</v>
      </c>
      <c r="G630">
        <v>88</v>
      </c>
      <c r="I630">
        <v>1</v>
      </c>
      <c r="J630">
        <v>6.87</v>
      </c>
      <c r="K630">
        <v>3.63</v>
      </c>
      <c r="L630">
        <v>1</v>
      </c>
      <c r="M630" t="s">
        <v>25</v>
      </c>
      <c r="N630" t="s">
        <v>35</v>
      </c>
      <c r="O630">
        <v>8.08</v>
      </c>
      <c r="P630" t="s">
        <v>30</v>
      </c>
    </row>
    <row r="631" spans="1:16" x14ac:dyDescent="0.3">
      <c r="A631" t="s">
        <v>97</v>
      </c>
      <c r="B631" t="s">
        <v>17</v>
      </c>
      <c r="C631" t="s">
        <v>24</v>
      </c>
      <c r="D631" t="s">
        <v>39</v>
      </c>
      <c r="E631">
        <v>1</v>
      </c>
      <c r="F631">
        <v>166</v>
      </c>
      <c r="G631">
        <v>94.2</v>
      </c>
      <c r="H631">
        <v>8.1</v>
      </c>
      <c r="I631">
        <v>5</v>
      </c>
      <c r="J631">
        <v>4.37</v>
      </c>
      <c r="K631">
        <v>7.93</v>
      </c>
      <c r="L631">
        <v>0</v>
      </c>
      <c r="M631" t="s">
        <v>25</v>
      </c>
      <c r="N631" t="s">
        <v>35</v>
      </c>
      <c r="O631">
        <v>4</v>
      </c>
      <c r="P631" t="s">
        <v>32</v>
      </c>
    </row>
    <row r="632" spans="1:16" x14ac:dyDescent="0.3">
      <c r="A632" t="s">
        <v>97</v>
      </c>
      <c r="B632" t="s">
        <v>33</v>
      </c>
      <c r="C632" t="s">
        <v>41</v>
      </c>
      <c r="D632" t="s">
        <v>39</v>
      </c>
      <c r="E632">
        <v>10</v>
      </c>
      <c r="F632">
        <v>146.4</v>
      </c>
      <c r="G632">
        <v>89</v>
      </c>
      <c r="H632">
        <v>3.6</v>
      </c>
      <c r="I632">
        <v>8</v>
      </c>
      <c r="J632">
        <v>8.91</v>
      </c>
      <c r="K632">
        <v>10</v>
      </c>
      <c r="L632">
        <v>0</v>
      </c>
      <c r="M632" t="s">
        <v>20</v>
      </c>
      <c r="N632" t="s">
        <v>35</v>
      </c>
      <c r="O632">
        <v>10.15</v>
      </c>
      <c r="P632" t="s">
        <v>36</v>
      </c>
    </row>
    <row r="633" spans="1:16" x14ac:dyDescent="0.3">
      <c r="A633" t="s">
        <v>97</v>
      </c>
      <c r="B633" t="s">
        <v>33</v>
      </c>
      <c r="C633" t="s">
        <v>31</v>
      </c>
      <c r="D633" t="s">
        <v>19</v>
      </c>
      <c r="E633">
        <v>4</v>
      </c>
      <c r="F633">
        <v>152.5</v>
      </c>
      <c r="G633">
        <v>94.4</v>
      </c>
      <c r="H633">
        <v>3.9</v>
      </c>
      <c r="I633">
        <v>6</v>
      </c>
      <c r="J633">
        <v>9.4</v>
      </c>
      <c r="K633">
        <v>9.32</v>
      </c>
      <c r="L633">
        <v>0</v>
      </c>
      <c r="M633" t="s">
        <v>34</v>
      </c>
      <c r="N633" t="s">
        <v>21</v>
      </c>
      <c r="O633">
        <v>11.86</v>
      </c>
      <c r="P633" t="s">
        <v>38</v>
      </c>
    </row>
    <row r="634" spans="1:16" x14ac:dyDescent="0.3">
      <c r="A634" t="s">
        <v>97</v>
      </c>
      <c r="B634" t="s">
        <v>33</v>
      </c>
      <c r="C634" t="s">
        <v>37</v>
      </c>
      <c r="D634" t="s">
        <v>19</v>
      </c>
      <c r="E634">
        <v>6</v>
      </c>
      <c r="F634">
        <v>157.4</v>
      </c>
      <c r="G634">
        <v>96.1</v>
      </c>
      <c r="H634">
        <v>5.0999999999999996</v>
      </c>
      <c r="I634">
        <v>4</v>
      </c>
      <c r="J634">
        <v>8.19</v>
      </c>
      <c r="K634">
        <v>8.49</v>
      </c>
      <c r="L634">
        <v>0</v>
      </c>
      <c r="M634" t="s">
        <v>34</v>
      </c>
      <c r="N634" t="s">
        <v>21</v>
      </c>
      <c r="O634">
        <v>10.48</v>
      </c>
      <c r="P634" t="s">
        <v>40</v>
      </c>
    </row>
    <row r="635" spans="1:16" x14ac:dyDescent="0.3">
      <c r="A635" t="s">
        <v>97</v>
      </c>
      <c r="B635" t="s">
        <v>43</v>
      </c>
      <c r="C635" t="s">
        <v>37</v>
      </c>
      <c r="D635" t="s">
        <v>29</v>
      </c>
      <c r="E635">
        <v>3</v>
      </c>
      <c r="F635">
        <v>149.9</v>
      </c>
      <c r="G635">
        <v>99.3</v>
      </c>
      <c r="H635">
        <v>4.4000000000000004</v>
      </c>
      <c r="I635">
        <v>9</v>
      </c>
      <c r="J635">
        <v>7.11</v>
      </c>
      <c r="K635">
        <v>7.08</v>
      </c>
      <c r="L635">
        <v>0</v>
      </c>
      <c r="M635" t="s">
        <v>20</v>
      </c>
      <c r="N635" t="s">
        <v>35</v>
      </c>
      <c r="O635">
        <v>25.48</v>
      </c>
      <c r="P635" t="s">
        <v>42</v>
      </c>
    </row>
    <row r="636" spans="1:16" x14ac:dyDescent="0.3">
      <c r="A636" t="s">
        <v>97</v>
      </c>
      <c r="B636" t="s">
        <v>33</v>
      </c>
      <c r="C636" t="s">
        <v>31</v>
      </c>
      <c r="D636" t="s">
        <v>19</v>
      </c>
      <c r="E636">
        <v>1</v>
      </c>
      <c r="F636">
        <v>160.9</v>
      </c>
      <c r="G636">
        <v>96.9</v>
      </c>
      <c r="H636">
        <v>8.4</v>
      </c>
      <c r="I636">
        <v>4</v>
      </c>
      <c r="J636">
        <v>5.75</v>
      </c>
      <c r="K636">
        <v>7.37</v>
      </c>
      <c r="L636">
        <v>1</v>
      </c>
      <c r="M636" t="s">
        <v>25</v>
      </c>
      <c r="N636" t="s">
        <v>35</v>
      </c>
      <c r="O636">
        <v>18.739999999999998</v>
      </c>
      <c r="P636" t="s">
        <v>44</v>
      </c>
    </row>
    <row r="637" spans="1:16" x14ac:dyDescent="0.3">
      <c r="A637" t="s">
        <v>97</v>
      </c>
      <c r="B637" t="s">
        <v>43</v>
      </c>
      <c r="C637" t="s">
        <v>37</v>
      </c>
      <c r="D637" t="s">
        <v>39</v>
      </c>
      <c r="E637">
        <v>1</v>
      </c>
      <c r="F637">
        <v>163</v>
      </c>
      <c r="G637">
        <v>94.3</v>
      </c>
      <c r="H637">
        <v>6.1</v>
      </c>
      <c r="I637">
        <v>4</v>
      </c>
      <c r="J637">
        <v>8.84</v>
      </c>
      <c r="K637">
        <v>3.7</v>
      </c>
      <c r="L637">
        <v>1</v>
      </c>
      <c r="M637" t="s">
        <v>20</v>
      </c>
      <c r="N637" t="s">
        <v>21</v>
      </c>
      <c r="O637">
        <v>17.600000000000001</v>
      </c>
      <c r="P637" t="s">
        <v>45</v>
      </c>
    </row>
    <row r="638" spans="1:16" x14ac:dyDescent="0.3">
      <c r="A638" t="s">
        <v>98</v>
      </c>
      <c r="B638" t="s">
        <v>27</v>
      </c>
      <c r="C638" t="s">
        <v>24</v>
      </c>
      <c r="D638" t="s">
        <v>19</v>
      </c>
      <c r="E638">
        <v>6</v>
      </c>
      <c r="F638">
        <v>172.5</v>
      </c>
      <c r="G638">
        <v>91.1</v>
      </c>
      <c r="H638">
        <v>4.3</v>
      </c>
      <c r="I638">
        <v>9</v>
      </c>
      <c r="J638">
        <v>9.06</v>
      </c>
      <c r="K638">
        <v>3.99</v>
      </c>
      <c r="L638">
        <v>0</v>
      </c>
      <c r="M638" t="s">
        <v>34</v>
      </c>
      <c r="N638" t="s">
        <v>21</v>
      </c>
      <c r="O638">
        <v>19.54</v>
      </c>
      <c r="P638" t="s">
        <v>22</v>
      </c>
    </row>
    <row r="639" spans="1:16" x14ac:dyDescent="0.3">
      <c r="A639" t="s">
        <v>98</v>
      </c>
      <c r="B639" t="s">
        <v>27</v>
      </c>
      <c r="C639" t="s">
        <v>18</v>
      </c>
      <c r="D639" t="s">
        <v>19</v>
      </c>
      <c r="E639">
        <v>7</v>
      </c>
      <c r="F639">
        <v>176.2</v>
      </c>
      <c r="G639">
        <v>90.2</v>
      </c>
      <c r="H639">
        <v>5.4</v>
      </c>
      <c r="I639">
        <v>8</v>
      </c>
      <c r="J639">
        <v>7.48</v>
      </c>
      <c r="K639">
        <v>8.43</v>
      </c>
      <c r="L639">
        <v>0</v>
      </c>
      <c r="M639" t="s">
        <v>20</v>
      </c>
      <c r="N639" t="s">
        <v>26</v>
      </c>
      <c r="O639">
        <v>30.89</v>
      </c>
      <c r="P639" t="s">
        <v>22</v>
      </c>
    </row>
    <row r="640" spans="1:16" x14ac:dyDescent="0.3">
      <c r="A640" t="s">
        <v>98</v>
      </c>
      <c r="B640" t="s">
        <v>23</v>
      </c>
      <c r="C640" t="s">
        <v>31</v>
      </c>
      <c r="D640" t="s">
        <v>39</v>
      </c>
      <c r="E640">
        <v>9</v>
      </c>
      <c r="F640">
        <v>160.19999999999999</v>
      </c>
      <c r="G640">
        <v>93.2</v>
      </c>
      <c r="H640">
        <v>5.7</v>
      </c>
      <c r="I640">
        <v>2</v>
      </c>
      <c r="J640">
        <v>7.72</v>
      </c>
      <c r="K640">
        <v>10</v>
      </c>
      <c r="L640">
        <v>1</v>
      </c>
      <c r="M640" t="s">
        <v>34</v>
      </c>
      <c r="N640" t="s">
        <v>21</v>
      </c>
      <c r="O640">
        <v>8.17</v>
      </c>
      <c r="P640" t="s">
        <v>28</v>
      </c>
    </row>
    <row r="641" spans="1:16" x14ac:dyDescent="0.3">
      <c r="A641" t="s">
        <v>98</v>
      </c>
      <c r="B641" t="s">
        <v>43</v>
      </c>
      <c r="C641" t="s">
        <v>31</v>
      </c>
      <c r="D641" t="s">
        <v>29</v>
      </c>
      <c r="E641">
        <v>9</v>
      </c>
      <c r="F641">
        <v>164</v>
      </c>
      <c r="G641">
        <v>91.5</v>
      </c>
      <c r="H641">
        <v>1.5</v>
      </c>
      <c r="I641">
        <v>3</v>
      </c>
      <c r="J641">
        <v>6.67</v>
      </c>
      <c r="K641">
        <v>9.07</v>
      </c>
      <c r="L641">
        <v>0</v>
      </c>
      <c r="M641" t="s">
        <v>34</v>
      </c>
      <c r="N641" t="s">
        <v>35</v>
      </c>
      <c r="O641">
        <v>16.46</v>
      </c>
      <c r="P641" t="s">
        <v>28</v>
      </c>
    </row>
    <row r="642" spans="1:16" x14ac:dyDescent="0.3">
      <c r="A642" t="s">
        <v>98</v>
      </c>
      <c r="B642" t="s">
        <v>23</v>
      </c>
      <c r="C642" t="s">
        <v>37</v>
      </c>
      <c r="D642" t="s">
        <v>19</v>
      </c>
      <c r="E642">
        <v>1</v>
      </c>
      <c r="F642">
        <v>161.69999999999999</v>
      </c>
      <c r="G642">
        <v>97.9</v>
      </c>
      <c r="H642">
        <v>2.7</v>
      </c>
      <c r="I642">
        <v>1</v>
      </c>
      <c r="J642">
        <v>6.31</v>
      </c>
      <c r="K642">
        <v>7.62</v>
      </c>
      <c r="L642">
        <v>0</v>
      </c>
      <c r="M642" t="s">
        <v>25</v>
      </c>
      <c r="N642" t="s">
        <v>26</v>
      </c>
      <c r="O642">
        <v>7.38</v>
      </c>
      <c r="P642" t="s">
        <v>30</v>
      </c>
    </row>
    <row r="643" spans="1:16" x14ac:dyDescent="0.3">
      <c r="A643" t="s">
        <v>98</v>
      </c>
      <c r="B643" t="s">
        <v>43</v>
      </c>
      <c r="C643" t="s">
        <v>31</v>
      </c>
      <c r="D643" t="s">
        <v>29</v>
      </c>
      <c r="E643">
        <v>2</v>
      </c>
      <c r="F643">
        <v>143.5</v>
      </c>
      <c r="G643">
        <v>98.7</v>
      </c>
      <c r="H643">
        <v>7.1</v>
      </c>
      <c r="I643">
        <v>5</v>
      </c>
      <c r="J643">
        <v>6.55</v>
      </c>
      <c r="K643">
        <v>3.17</v>
      </c>
      <c r="L643">
        <v>0</v>
      </c>
      <c r="M643" t="s">
        <v>20</v>
      </c>
      <c r="N643" t="s">
        <v>26</v>
      </c>
      <c r="O643">
        <v>16.23</v>
      </c>
      <c r="P643" t="s">
        <v>32</v>
      </c>
    </row>
    <row r="644" spans="1:16" x14ac:dyDescent="0.3">
      <c r="A644" t="s">
        <v>98</v>
      </c>
      <c r="B644" t="s">
        <v>43</v>
      </c>
      <c r="C644" t="s">
        <v>41</v>
      </c>
      <c r="D644" t="s">
        <v>39</v>
      </c>
      <c r="E644">
        <v>7</v>
      </c>
      <c r="F644">
        <v>147.80000000000001</v>
      </c>
      <c r="G644">
        <v>89.2</v>
      </c>
      <c r="H644">
        <v>7.2</v>
      </c>
      <c r="I644">
        <v>5</v>
      </c>
      <c r="J644">
        <v>7.76</v>
      </c>
      <c r="K644">
        <v>7.43</v>
      </c>
      <c r="L644">
        <v>0</v>
      </c>
      <c r="M644" t="s">
        <v>34</v>
      </c>
      <c r="N644" t="s">
        <v>26</v>
      </c>
      <c r="O644">
        <v>14.23</v>
      </c>
      <c r="P644" t="s">
        <v>36</v>
      </c>
    </row>
    <row r="645" spans="1:16" x14ac:dyDescent="0.3">
      <c r="A645" t="s">
        <v>98</v>
      </c>
      <c r="B645" t="s">
        <v>43</v>
      </c>
      <c r="C645" t="s">
        <v>41</v>
      </c>
      <c r="D645" t="s">
        <v>29</v>
      </c>
      <c r="E645">
        <v>5</v>
      </c>
      <c r="F645">
        <v>171.2</v>
      </c>
      <c r="G645">
        <v>96.2</v>
      </c>
      <c r="H645">
        <v>1.8</v>
      </c>
      <c r="I645">
        <v>2</v>
      </c>
      <c r="J645">
        <v>6.26</v>
      </c>
      <c r="K645">
        <v>7.2</v>
      </c>
      <c r="L645">
        <v>1</v>
      </c>
      <c r="M645" t="s">
        <v>20</v>
      </c>
      <c r="N645" t="s">
        <v>26</v>
      </c>
      <c r="O645">
        <v>14.96</v>
      </c>
      <c r="P645" t="s">
        <v>38</v>
      </c>
    </row>
    <row r="646" spans="1:16" x14ac:dyDescent="0.3">
      <c r="A646" t="s">
        <v>98</v>
      </c>
      <c r="B646" t="s">
        <v>27</v>
      </c>
      <c r="C646" t="s">
        <v>41</v>
      </c>
      <c r="D646" t="s">
        <v>19</v>
      </c>
      <c r="E646">
        <v>4</v>
      </c>
      <c r="F646">
        <v>154.80000000000001</v>
      </c>
      <c r="G646">
        <v>90.4</v>
      </c>
      <c r="H646">
        <v>7.3</v>
      </c>
      <c r="I646">
        <v>6</v>
      </c>
      <c r="J646">
        <v>5.57</v>
      </c>
      <c r="K646">
        <v>5.81</v>
      </c>
      <c r="L646">
        <v>0</v>
      </c>
      <c r="M646" t="s">
        <v>25</v>
      </c>
      <c r="N646" t="s">
        <v>21</v>
      </c>
      <c r="O646">
        <v>13.92</v>
      </c>
      <c r="P646" t="s">
        <v>40</v>
      </c>
    </row>
    <row r="647" spans="1:16" x14ac:dyDescent="0.3">
      <c r="A647" t="s">
        <v>98</v>
      </c>
      <c r="B647" t="s">
        <v>23</v>
      </c>
      <c r="C647" t="s">
        <v>37</v>
      </c>
      <c r="D647" t="s">
        <v>29</v>
      </c>
      <c r="E647">
        <v>2</v>
      </c>
      <c r="F647">
        <v>160.5</v>
      </c>
      <c r="G647">
        <v>93.3</v>
      </c>
      <c r="H647">
        <v>5.3</v>
      </c>
      <c r="I647">
        <v>6</v>
      </c>
      <c r="J647">
        <v>7.51</v>
      </c>
      <c r="K647">
        <v>5.83</v>
      </c>
      <c r="L647">
        <v>0</v>
      </c>
      <c r="M647" t="s">
        <v>34</v>
      </c>
      <c r="N647" t="s">
        <v>26</v>
      </c>
      <c r="O647">
        <v>9.9</v>
      </c>
      <c r="P647" t="s">
        <v>42</v>
      </c>
    </row>
    <row r="648" spans="1:16" x14ac:dyDescent="0.3">
      <c r="A648" t="s">
        <v>98</v>
      </c>
      <c r="B648" t="s">
        <v>17</v>
      </c>
      <c r="C648" t="s">
        <v>41</v>
      </c>
      <c r="D648" t="s">
        <v>19</v>
      </c>
      <c r="E648">
        <v>8</v>
      </c>
      <c r="F648">
        <v>169.3</v>
      </c>
      <c r="G648">
        <v>97</v>
      </c>
      <c r="H648">
        <v>3.3</v>
      </c>
      <c r="I648">
        <v>3</v>
      </c>
      <c r="J648">
        <v>6.63</v>
      </c>
      <c r="K648">
        <v>4.5199999999999996</v>
      </c>
      <c r="L648">
        <v>0</v>
      </c>
      <c r="M648" t="s">
        <v>34</v>
      </c>
      <c r="N648" t="s">
        <v>26</v>
      </c>
      <c r="O648">
        <v>12.28</v>
      </c>
      <c r="P648" t="s">
        <v>44</v>
      </c>
    </row>
    <row r="649" spans="1:16" x14ac:dyDescent="0.3">
      <c r="A649" t="s">
        <v>98</v>
      </c>
      <c r="B649" t="s">
        <v>43</v>
      </c>
      <c r="C649" t="s">
        <v>37</v>
      </c>
      <c r="D649" t="s">
        <v>39</v>
      </c>
      <c r="E649">
        <v>3</v>
      </c>
      <c r="F649">
        <v>156.19999999999999</v>
      </c>
      <c r="G649">
        <v>96.6</v>
      </c>
      <c r="H649">
        <v>6.2</v>
      </c>
      <c r="I649">
        <v>6</v>
      </c>
      <c r="J649">
        <v>9.43</v>
      </c>
      <c r="K649">
        <v>4.22</v>
      </c>
      <c r="L649">
        <v>0</v>
      </c>
      <c r="M649" t="s">
        <v>25</v>
      </c>
      <c r="N649" t="s">
        <v>21</v>
      </c>
      <c r="O649">
        <v>13.08</v>
      </c>
      <c r="P649" t="s">
        <v>45</v>
      </c>
    </row>
    <row r="650" spans="1:16" x14ac:dyDescent="0.3">
      <c r="A650" t="s">
        <v>99</v>
      </c>
      <c r="B650" t="s">
        <v>17</v>
      </c>
      <c r="C650" t="s">
        <v>37</v>
      </c>
      <c r="D650" t="s">
        <v>29</v>
      </c>
      <c r="E650">
        <v>1</v>
      </c>
      <c r="F650">
        <v>158.1</v>
      </c>
      <c r="G650">
        <v>99</v>
      </c>
      <c r="H650">
        <v>6.2</v>
      </c>
      <c r="I650">
        <v>8</v>
      </c>
      <c r="K650">
        <v>6.63</v>
      </c>
      <c r="L650">
        <v>0</v>
      </c>
      <c r="M650" t="s">
        <v>34</v>
      </c>
      <c r="N650" t="s">
        <v>26</v>
      </c>
      <c r="O650">
        <v>13</v>
      </c>
      <c r="P650" t="s">
        <v>22</v>
      </c>
    </row>
    <row r="651" spans="1:16" x14ac:dyDescent="0.3">
      <c r="A651" t="s">
        <v>99</v>
      </c>
      <c r="B651" t="s">
        <v>27</v>
      </c>
      <c r="C651" t="s">
        <v>41</v>
      </c>
      <c r="D651" t="s">
        <v>19</v>
      </c>
      <c r="E651">
        <v>7</v>
      </c>
      <c r="F651">
        <v>161.80000000000001</v>
      </c>
      <c r="G651">
        <v>90.3</v>
      </c>
      <c r="H651">
        <v>4.9000000000000004</v>
      </c>
      <c r="I651">
        <v>5</v>
      </c>
      <c r="J651">
        <v>7.03</v>
      </c>
      <c r="K651">
        <v>3.72</v>
      </c>
      <c r="L651">
        <v>1</v>
      </c>
      <c r="M651" t="s">
        <v>34</v>
      </c>
      <c r="N651" t="s">
        <v>26</v>
      </c>
      <c r="O651">
        <v>8.49</v>
      </c>
      <c r="P651" t="s">
        <v>22</v>
      </c>
    </row>
    <row r="652" spans="1:16" x14ac:dyDescent="0.3">
      <c r="A652" t="s">
        <v>99</v>
      </c>
      <c r="B652" t="s">
        <v>23</v>
      </c>
      <c r="C652" t="s">
        <v>31</v>
      </c>
      <c r="D652" t="s">
        <v>39</v>
      </c>
      <c r="E652">
        <v>4</v>
      </c>
      <c r="F652">
        <v>159.30000000000001</v>
      </c>
      <c r="G652">
        <v>97.8</v>
      </c>
      <c r="H652">
        <v>6.6</v>
      </c>
      <c r="I652">
        <v>6</v>
      </c>
      <c r="J652">
        <v>8.74</v>
      </c>
      <c r="K652">
        <v>7.47</v>
      </c>
      <c r="L652">
        <v>0</v>
      </c>
      <c r="M652" t="s">
        <v>20</v>
      </c>
      <c r="N652" t="s">
        <v>35</v>
      </c>
      <c r="O652">
        <v>20.09</v>
      </c>
      <c r="P652" t="s">
        <v>28</v>
      </c>
    </row>
    <row r="653" spans="1:16" x14ac:dyDescent="0.3">
      <c r="A653" t="s">
        <v>99</v>
      </c>
      <c r="B653" t="s">
        <v>27</v>
      </c>
      <c r="C653" t="s">
        <v>41</v>
      </c>
      <c r="D653" t="s">
        <v>29</v>
      </c>
      <c r="E653">
        <v>4</v>
      </c>
      <c r="F653">
        <v>161.69999999999999</v>
      </c>
      <c r="G653">
        <v>88.4</v>
      </c>
      <c r="H653">
        <v>6.9</v>
      </c>
      <c r="I653">
        <v>8</v>
      </c>
      <c r="J653">
        <v>6.11</v>
      </c>
      <c r="K653">
        <v>4.91</v>
      </c>
      <c r="L653">
        <v>0</v>
      </c>
      <c r="M653" t="s">
        <v>20</v>
      </c>
      <c r="N653" t="s">
        <v>21</v>
      </c>
      <c r="O653">
        <v>1.18</v>
      </c>
      <c r="P653" t="s">
        <v>28</v>
      </c>
    </row>
    <row r="654" spans="1:16" x14ac:dyDescent="0.3">
      <c r="A654" t="s">
        <v>99</v>
      </c>
      <c r="B654" t="s">
        <v>43</v>
      </c>
      <c r="C654" t="s">
        <v>18</v>
      </c>
      <c r="D654" t="s">
        <v>39</v>
      </c>
      <c r="E654">
        <v>8</v>
      </c>
      <c r="F654">
        <v>154.5</v>
      </c>
      <c r="G654">
        <v>92.4</v>
      </c>
      <c r="H654">
        <v>5.6</v>
      </c>
      <c r="I654">
        <v>6</v>
      </c>
      <c r="J654">
        <v>8.92</v>
      </c>
      <c r="K654">
        <v>6.2</v>
      </c>
      <c r="L654">
        <v>0</v>
      </c>
      <c r="M654" t="s">
        <v>20</v>
      </c>
      <c r="N654" t="s">
        <v>21</v>
      </c>
      <c r="O654">
        <v>4.49</v>
      </c>
      <c r="P654" t="s">
        <v>30</v>
      </c>
    </row>
    <row r="655" spans="1:16" x14ac:dyDescent="0.3">
      <c r="A655" t="s">
        <v>99</v>
      </c>
      <c r="B655" t="s">
        <v>17</v>
      </c>
      <c r="C655" t="s">
        <v>24</v>
      </c>
      <c r="D655" t="s">
        <v>39</v>
      </c>
      <c r="E655">
        <v>2</v>
      </c>
      <c r="F655">
        <v>166.4</v>
      </c>
      <c r="G655">
        <v>92.1</v>
      </c>
      <c r="H655">
        <v>4.5999999999999996</v>
      </c>
      <c r="I655">
        <v>6</v>
      </c>
      <c r="J655">
        <v>7.36</v>
      </c>
      <c r="K655">
        <v>5.83</v>
      </c>
      <c r="L655">
        <v>1</v>
      </c>
      <c r="M655" t="s">
        <v>20</v>
      </c>
      <c r="N655" t="s">
        <v>35</v>
      </c>
      <c r="O655">
        <v>14.96</v>
      </c>
      <c r="P655" t="s">
        <v>32</v>
      </c>
    </row>
    <row r="656" spans="1:16" x14ac:dyDescent="0.3">
      <c r="A656" t="s">
        <v>99</v>
      </c>
      <c r="B656" t="s">
        <v>43</v>
      </c>
      <c r="C656" t="s">
        <v>24</v>
      </c>
      <c r="D656" t="s">
        <v>19</v>
      </c>
      <c r="E656">
        <v>8</v>
      </c>
      <c r="F656">
        <v>167.8</v>
      </c>
      <c r="G656">
        <v>89.4</v>
      </c>
      <c r="H656">
        <v>5.0999999999999996</v>
      </c>
      <c r="I656">
        <v>7</v>
      </c>
      <c r="J656">
        <v>5.14</v>
      </c>
      <c r="K656">
        <v>7.87</v>
      </c>
      <c r="L656">
        <v>0</v>
      </c>
      <c r="M656" t="s">
        <v>20</v>
      </c>
      <c r="N656" t="s">
        <v>35</v>
      </c>
      <c r="O656">
        <v>16.2</v>
      </c>
      <c r="P656" t="s">
        <v>36</v>
      </c>
    </row>
    <row r="657" spans="1:16" x14ac:dyDescent="0.3">
      <c r="A657" t="s">
        <v>99</v>
      </c>
      <c r="B657" t="s">
        <v>43</v>
      </c>
      <c r="C657" t="s">
        <v>18</v>
      </c>
      <c r="D657" t="s">
        <v>39</v>
      </c>
      <c r="E657">
        <v>9</v>
      </c>
      <c r="F657">
        <v>159.4</v>
      </c>
      <c r="G657">
        <v>100</v>
      </c>
      <c r="H657">
        <v>4</v>
      </c>
      <c r="I657">
        <v>5</v>
      </c>
      <c r="J657">
        <v>8.08</v>
      </c>
      <c r="K657">
        <v>6.24</v>
      </c>
      <c r="L657">
        <v>0</v>
      </c>
      <c r="M657" t="s">
        <v>34</v>
      </c>
      <c r="N657" t="s">
        <v>26</v>
      </c>
      <c r="O657">
        <v>15.93</v>
      </c>
      <c r="P657" t="s">
        <v>38</v>
      </c>
    </row>
    <row r="658" spans="1:16" x14ac:dyDescent="0.3">
      <c r="A658" t="s">
        <v>99</v>
      </c>
      <c r="B658" t="s">
        <v>43</v>
      </c>
      <c r="C658" t="s">
        <v>37</v>
      </c>
      <c r="D658" t="s">
        <v>29</v>
      </c>
      <c r="E658">
        <v>6</v>
      </c>
      <c r="F658">
        <v>150.6</v>
      </c>
      <c r="G658">
        <v>100</v>
      </c>
      <c r="H658">
        <v>3.1</v>
      </c>
      <c r="I658">
        <v>4</v>
      </c>
      <c r="J658">
        <v>8.99</v>
      </c>
      <c r="K658">
        <v>5.3</v>
      </c>
      <c r="L658">
        <v>1</v>
      </c>
      <c r="M658" t="s">
        <v>20</v>
      </c>
      <c r="N658" t="s">
        <v>21</v>
      </c>
      <c r="O658">
        <v>9.17</v>
      </c>
      <c r="P658" t="s">
        <v>40</v>
      </c>
    </row>
    <row r="659" spans="1:16" x14ac:dyDescent="0.3">
      <c r="A659" t="s">
        <v>99</v>
      </c>
      <c r="B659" t="s">
        <v>17</v>
      </c>
      <c r="C659" t="s">
        <v>18</v>
      </c>
      <c r="D659" t="s">
        <v>39</v>
      </c>
      <c r="E659">
        <v>5</v>
      </c>
      <c r="F659">
        <v>157.4</v>
      </c>
      <c r="G659">
        <v>84</v>
      </c>
      <c r="I659">
        <v>4</v>
      </c>
      <c r="J659">
        <v>10</v>
      </c>
      <c r="K659">
        <v>9.1</v>
      </c>
      <c r="L659">
        <v>1</v>
      </c>
      <c r="M659" t="s">
        <v>34</v>
      </c>
      <c r="N659" t="s">
        <v>21</v>
      </c>
      <c r="O659">
        <v>8.49</v>
      </c>
      <c r="P659" t="s">
        <v>42</v>
      </c>
    </row>
    <row r="660" spans="1:16" x14ac:dyDescent="0.3">
      <c r="A660" t="s">
        <v>99</v>
      </c>
      <c r="B660" t="s">
        <v>23</v>
      </c>
      <c r="C660" t="s">
        <v>24</v>
      </c>
      <c r="D660" t="s">
        <v>19</v>
      </c>
      <c r="E660">
        <v>10</v>
      </c>
      <c r="F660">
        <v>140.19999999999999</v>
      </c>
      <c r="G660">
        <v>94.7</v>
      </c>
      <c r="H660">
        <v>1</v>
      </c>
      <c r="I660">
        <v>8</v>
      </c>
      <c r="J660">
        <v>7.2</v>
      </c>
      <c r="K660">
        <v>9.01</v>
      </c>
      <c r="L660">
        <v>0</v>
      </c>
      <c r="M660" t="s">
        <v>25</v>
      </c>
      <c r="N660" t="s">
        <v>26</v>
      </c>
      <c r="O660">
        <v>20.16</v>
      </c>
      <c r="P660" t="s">
        <v>44</v>
      </c>
    </row>
    <row r="661" spans="1:16" x14ac:dyDescent="0.3">
      <c r="A661" t="s">
        <v>99</v>
      </c>
      <c r="B661" t="s">
        <v>23</v>
      </c>
      <c r="C661" t="s">
        <v>37</v>
      </c>
      <c r="D661" t="s">
        <v>19</v>
      </c>
      <c r="E661">
        <v>10</v>
      </c>
      <c r="F661">
        <v>142.6</v>
      </c>
      <c r="G661">
        <v>89.7</v>
      </c>
      <c r="H661">
        <v>4.4000000000000004</v>
      </c>
      <c r="I661">
        <v>5</v>
      </c>
      <c r="J661">
        <v>7.82</v>
      </c>
      <c r="K661">
        <v>5.24</v>
      </c>
      <c r="L661">
        <v>1</v>
      </c>
      <c r="M661" t="s">
        <v>20</v>
      </c>
      <c r="N661" t="s">
        <v>35</v>
      </c>
      <c r="O661">
        <v>5.65</v>
      </c>
      <c r="P661" t="s">
        <v>45</v>
      </c>
    </row>
    <row r="662" spans="1:16" x14ac:dyDescent="0.3">
      <c r="A662" t="s">
        <v>100</v>
      </c>
      <c r="B662" t="s">
        <v>23</v>
      </c>
      <c r="C662" t="s">
        <v>31</v>
      </c>
      <c r="D662" t="s">
        <v>19</v>
      </c>
      <c r="E662">
        <v>2</v>
      </c>
      <c r="F662">
        <v>153</v>
      </c>
      <c r="G662">
        <v>100</v>
      </c>
      <c r="I662">
        <v>7</v>
      </c>
      <c r="J662">
        <v>6.35</v>
      </c>
      <c r="K662">
        <v>5.2</v>
      </c>
      <c r="L662">
        <v>1</v>
      </c>
      <c r="M662" t="s">
        <v>25</v>
      </c>
      <c r="N662" t="s">
        <v>21</v>
      </c>
      <c r="O662">
        <v>12.42</v>
      </c>
      <c r="P662" t="s">
        <v>22</v>
      </c>
    </row>
    <row r="663" spans="1:16" x14ac:dyDescent="0.3">
      <c r="A663" t="s">
        <v>100</v>
      </c>
      <c r="B663" t="s">
        <v>43</v>
      </c>
      <c r="C663" t="s">
        <v>31</v>
      </c>
      <c r="D663" t="s">
        <v>29</v>
      </c>
      <c r="E663">
        <v>10</v>
      </c>
      <c r="F663">
        <v>155.4</v>
      </c>
      <c r="G663">
        <v>95</v>
      </c>
      <c r="H663">
        <v>1.9</v>
      </c>
      <c r="I663">
        <v>7</v>
      </c>
      <c r="J663">
        <v>7.71</v>
      </c>
      <c r="K663">
        <v>9.33</v>
      </c>
      <c r="L663">
        <v>0</v>
      </c>
      <c r="M663" t="s">
        <v>34</v>
      </c>
      <c r="N663" t="s">
        <v>26</v>
      </c>
      <c r="O663">
        <v>13.74</v>
      </c>
      <c r="P663" t="s">
        <v>22</v>
      </c>
    </row>
    <row r="664" spans="1:16" x14ac:dyDescent="0.3">
      <c r="A664" t="s">
        <v>100</v>
      </c>
      <c r="B664" t="s">
        <v>23</v>
      </c>
      <c r="C664" t="s">
        <v>31</v>
      </c>
      <c r="D664" t="s">
        <v>19</v>
      </c>
      <c r="E664">
        <v>10</v>
      </c>
      <c r="F664">
        <v>187.1</v>
      </c>
      <c r="G664">
        <v>100</v>
      </c>
      <c r="H664">
        <v>7.3</v>
      </c>
      <c r="I664">
        <v>7</v>
      </c>
      <c r="J664">
        <v>9.2799999999999994</v>
      </c>
      <c r="K664">
        <v>7.13</v>
      </c>
      <c r="L664">
        <v>0</v>
      </c>
      <c r="M664" t="s">
        <v>20</v>
      </c>
      <c r="N664" t="s">
        <v>35</v>
      </c>
      <c r="O664">
        <v>23.09</v>
      </c>
      <c r="P664" t="s">
        <v>28</v>
      </c>
    </row>
    <row r="665" spans="1:16" x14ac:dyDescent="0.3">
      <c r="A665" t="s">
        <v>100</v>
      </c>
      <c r="B665" t="s">
        <v>17</v>
      </c>
      <c r="C665" t="s">
        <v>24</v>
      </c>
      <c r="D665" t="s">
        <v>29</v>
      </c>
      <c r="E665">
        <v>6</v>
      </c>
      <c r="F665">
        <v>158.6</v>
      </c>
      <c r="G665">
        <v>97</v>
      </c>
      <c r="H665">
        <v>5</v>
      </c>
      <c r="I665">
        <v>3</v>
      </c>
      <c r="J665">
        <v>6.02</v>
      </c>
      <c r="K665">
        <v>2.4900000000000002</v>
      </c>
      <c r="L665">
        <v>0</v>
      </c>
      <c r="M665" t="s">
        <v>20</v>
      </c>
      <c r="N665" t="s">
        <v>26</v>
      </c>
      <c r="O665">
        <v>14.54</v>
      </c>
      <c r="P665" t="s">
        <v>28</v>
      </c>
    </row>
    <row r="666" spans="1:16" x14ac:dyDescent="0.3">
      <c r="A666" t="s">
        <v>100</v>
      </c>
      <c r="B666" t="s">
        <v>17</v>
      </c>
      <c r="C666" t="s">
        <v>41</v>
      </c>
      <c r="D666" t="s">
        <v>29</v>
      </c>
      <c r="E666">
        <v>1</v>
      </c>
      <c r="F666">
        <v>151.30000000000001</v>
      </c>
      <c r="G666">
        <v>99.1</v>
      </c>
      <c r="H666">
        <v>4.3</v>
      </c>
      <c r="I666">
        <v>5</v>
      </c>
      <c r="J666">
        <v>9.25</v>
      </c>
      <c r="K666">
        <v>9.93</v>
      </c>
      <c r="L666">
        <v>1</v>
      </c>
      <c r="M666" t="s">
        <v>34</v>
      </c>
      <c r="N666" t="s">
        <v>21</v>
      </c>
      <c r="O666">
        <v>16.940000000000001</v>
      </c>
      <c r="P666" t="s">
        <v>30</v>
      </c>
    </row>
    <row r="667" spans="1:16" x14ac:dyDescent="0.3">
      <c r="A667" t="s">
        <v>100</v>
      </c>
      <c r="B667" t="s">
        <v>33</v>
      </c>
      <c r="C667" t="s">
        <v>37</v>
      </c>
      <c r="D667" t="s">
        <v>29</v>
      </c>
      <c r="E667">
        <v>1</v>
      </c>
      <c r="F667">
        <v>155.6</v>
      </c>
      <c r="G667">
        <v>100</v>
      </c>
      <c r="H667">
        <v>2.9</v>
      </c>
      <c r="I667">
        <v>2</v>
      </c>
      <c r="J667">
        <v>8.02</v>
      </c>
      <c r="K667">
        <v>7.3</v>
      </c>
      <c r="L667">
        <v>0</v>
      </c>
      <c r="M667" t="s">
        <v>20</v>
      </c>
      <c r="N667" t="s">
        <v>21</v>
      </c>
      <c r="O667">
        <v>3.18</v>
      </c>
      <c r="P667" t="s">
        <v>32</v>
      </c>
    </row>
    <row r="668" spans="1:16" x14ac:dyDescent="0.3">
      <c r="A668" t="s">
        <v>100</v>
      </c>
      <c r="B668" t="s">
        <v>33</v>
      </c>
      <c r="C668" t="s">
        <v>31</v>
      </c>
      <c r="D668" t="s">
        <v>19</v>
      </c>
      <c r="E668">
        <v>7</v>
      </c>
      <c r="F668">
        <v>159.69999999999999</v>
      </c>
      <c r="G668">
        <v>100</v>
      </c>
      <c r="H668">
        <v>3.3</v>
      </c>
      <c r="I668">
        <v>6</v>
      </c>
      <c r="J668">
        <v>6.76</v>
      </c>
      <c r="K668">
        <v>8.36</v>
      </c>
      <c r="L668">
        <v>0</v>
      </c>
      <c r="M668" t="s">
        <v>34</v>
      </c>
      <c r="N668" t="s">
        <v>35</v>
      </c>
      <c r="O668">
        <v>7.17</v>
      </c>
      <c r="P668" t="s">
        <v>36</v>
      </c>
    </row>
    <row r="669" spans="1:16" x14ac:dyDescent="0.3">
      <c r="A669" t="s">
        <v>100</v>
      </c>
      <c r="B669" t="s">
        <v>27</v>
      </c>
      <c r="C669" t="s">
        <v>31</v>
      </c>
      <c r="D669" t="s">
        <v>19</v>
      </c>
      <c r="E669">
        <v>10</v>
      </c>
      <c r="F669">
        <v>184.6</v>
      </c>
      <c r="G669">
        <v>94.5</v>
      </c>
      <c r="H669">
        <v>6.9</v>
      </c>
      <c r="I669">
        <v>4</v>
      </c>
      <c r="K669">
        <v>6.43</v>
      </c>
      <c r="L669">
        <v>0</v>
      </c>
      <c r="M669" t="s">
        <v>20</v>
      </c>
      <c r="N669" t="s">
        <v>26</v>
      </c>
      <c r="O669">
        <v>19.260000000000002</v>
      </c>
      <c r="P669" t="s">
        <v>38</v>
      </c>
    </row>
    <row r="670" spans="1:16" x14ac:dyDescent="0.3">
      <c r="A670" t="s">
        <v>100</v>
      </c>
      <c r="B670" t="s">
        <v>17</v>
      </c>
      <c r="C670" t="s">
        <v>37</v>
      </c>
      <c r="D670" t="s">
        <v>39</v>
      </c>
      <c r="E670">
        <v>3</v>
      </c>
      <c r="F670">
        <v>167</v>
      </c>
      <c r="G670">
        <v>86.6</v>
      </c>
      <c r="H670">
        <v>5.9</v>
      </c>
      <c r="I670">
        <v>4</v>
      </c>
      <c r="J670">
        <v>7.39</v>
      </c>
      <c r="K670">
        <v>5.45</v>
      </c>
      <c r="L670">
        <v>2</v>
      </c>
      <c r="M670" t="s">
        <v>20</v>
      </c>
      <c r="N670" t="s">
        <v>26</v>
      </c>
      <c r="O670">
        <v>6.46</v>
      </c>
      <c r="P670" t="s">
        <v>40</v>
      </c>
    </row>
    <row r="671" spans="1:16" x14ac:dyDescent="0.3">
      <c r="A671" t="s">
        <v>100</v>
      </c>
      <c r="B671" t="s">
        <v>23</v>
      </c>
      <c r="C671" t="s">
        <v>37</v>
      </c>
      <c r="D671" t="s">
        <v>19</v>
      </c>
      <c r="E671">
        <v>1</v>
      </c>
      <c r="F671">
        <v>167.2</v>
      </c>
      <c r="G671">
        <v>93.7</v>
      </c>
      <c r="H671">
        <v>5.7</v>
      </c>
      <c r="I671">
        <v>4</v>
      </c>
      <c r="K671">
        <v>9.36</v>
      </c>
      <c r="L671">
        <v>1</v>
      </c>
      <c r="M671" t="s">
        <v>34</v>
      </c>
      <c r="N671" t="s">
        <v>21</v>
      </c>
      <c r="O671">
        <v>11.29</v>
      </c>
      <c r="P671" t="s">
        <v>42</v>
      </c>
    </row>
    <row r="672" spans="1:16" x14ac:dyDescent="0.3">
      <c r="A672" t="s">
        <v>100</v>
      </c>
      <c r="B672" t="s">
        <v>23</v>
      </c>
      <c r="C672" t="s">
        <v>37</v>
      </c>
      <c r="D672" t="s">
        <v>29</v>
      </c>
      <c r="E672">
        <v>3</v>
      </c>
      <c r="F672">
        <v>164.5</v>
      </c>
      <c r="G672">
        <v>96.4</v>
      </c>
      <c r="H672">
        <v>4.5999999999999996</v>
      </c>
      <c r="I672">
        <v>4</v>
      </c>
      <c r="J672">
        <v>8.5</v>
      </c>
      <c r="K672">
        <v>4.1900000000000004</v>
      </c>
      <c r="L672">
        <v>0</v>
      </c>
      <c r="M672" t="s">
        <v>25</v>
      </c>
      <c r="N672" t="s">
        <v>35</v>
      </c>
      <c r="O672">
        <v>4.18</v>
      </c>
      <c r="P672" t="s">
        <v>44</v>
      </c>
    </row>
    <row r="673" spans="1:16" x14ac:dyDescent="0.3">
      <c r="A673" t="s">
        <v>100</v>
      </c>
      <c r="B673" t="s">
        <v>17</v>
      </c>
      <c r="C673" t="s">
        <v>24</v>
      </c>
      <c r="D673" t="s">
        <v>39</v>
      </c>
      <c r="E673">
        <v>4</v>
      </c>
      <c r="F673">
        <v>156.4</v>
      </c>
      <c r="G673">
        <v>100</v>
      </c>
      <c r="H673">
        <v>5.0999999999999996</v>
      </c>
      <c r="I673">
        <v>7</v>
      </c>
      <c r="J673">
        <v>7.69</v>
      </c>
      <c r="K673">
        <v>7.77</v>
      </c>
      <c r="L673">
        <v>1</v>
      </c>
      <c r="M673" t="s">
        <v>34</v>
      </c>
      <c r="N673" t="s">
        <v>21</v>
      </c>
      <c r="O673">
        <v>18.43</v>
      </c>
      <c r="P673" t="s">
        <v>45</v>
      </c>
    </row>
    <row r="674" spans="1:16" x14ac:dyDescent="0.3">
      <c r="A674" t="s">
        <v>101</v>
      </c>
      <c r="B674" t="s">
        <v>27</v>
      </c>
      <c r="C674" t="s">
        <v>31</v>
      </c>
      <c r="D674" t="s">
        <v>39</v>
      </c>
      <c r="E674">
        <v>8</v>
      </c>
      <c r="F674">
        <v>159.30000000000001</v>
      </c>
      <c r="G674">
        <v>100</v>
      </c>
      <c r="H674">
        <v>4.3</v>
      </c>
      <c r="I674">
        <v>7</v>
      </c>
      <c r="J674">
        <v>8.85</v>
      </c>
      <c r="K674">
        <v>8.74</v>
      </c>
      <c r="L674">
        <v>1</v>
      </c>
      <c r="M674" t="s">
        <v>34</v>
      </c>
      <c r="N674" t="s">
        <v>21</v>
      </c>
      <c r="O674">
        <v>16.510000000000002</v>
      </c>
      <c r="P674" t="s">
        <v>22</v>
      </c>
    </row>
    <row r="675" spans="1:16" x14ac:dyDescent="0.3">
      <c r="A675" t="s">
        <v>101</v>
      </c>
      <c r="B675" t="s">
        <v>27</v>
      </c>
      <c r="C675" t="s">
        <v>31</v>
      </c>
      <c r="D675" t="s">
        <v>39</v>
      </c>
      <c r="E675">
        <v>9</v>
      </c>
      <c r="F675">
        <v>158</v>
      </c>
      <c r="G675">
        <v>93.4</v>
      </c>
      <c r="I675">
        <v>5</v>
      </c>
      <c r="J675">
        <v>8.93</v>
      </c>
      <c r="K675">
        <v>5.91</v>
      </c>
      <c r="L675">
        <v>1</v>
      </c>
      <c r="M675" t="s">
        <v>25</v>
      </c>
      <c r="N675" t="s">
        <v>35</v>
      </c>
      <c r="O675">
        <v>14.52</v>
      </c>
      <c r="P675" t="s">
        <v>22</v>
      </c>
    </row>
    <row r="676" spans="1:16" x14ac:dyDescent="0.3">
      <c r="A676" t="s">
        <v>101</v>
      </c>
      <c r="B676" t="s">
        <v>27</v>
      </c>
      <c r="C676" t="s">
        <v>24</v>
      </c>
      <c r="D676" t="s">
        <v>19</v>
      </c>
      <c r="E676">
        <v>5</v>
      </c>
      <c r="F676">
        <v>148.6</v>
      </c>
      <c r="G676">
        <v>96.1</v>
      </c>
      <c r="H676">
        <v>7.5</v>
      </c>
      <c r="I676">
        <v>2</v>
      </c>
      <c r="J676">
        <v>7.32</v>
      </c>
      <c r="K676">
        <v>10</v>
      </c>
      <c r="L676">
        <v>1</v>
      </c>
      <c r="M676" t="s">
        <v>25</v>
      </c>
      <c r="N676" t="s">
        <v>35</v>
      </c>
      <c r="O676">
        <v>10.67</v>
      </c>
      <c r="P676" t="s">
        <v>28</v>
      </c>
    </row>
    <row r="677" spans="1:16" x14ac:dyDescent="0.3">
      <c r="A677" t="s">
        <v>101</v>
      </c>
      <c r="B677" t="s">
        <v>33</v>
      </c>
      <c r="C677" t="s">
        <v>24</v>
      </c>
      <c r="D677" t="s">
        <v>29</v>
      </c>
      <c r="E677">
        <v>6</v>
      </c>
      <c r="F677">
        <v>165.1</v>
      </c>
      <c r="G677">
        <v>100</v>
      </c>
      <c r="H677">
        <v>4.4000000000000004</v>
      </c>
      <c r="I677">
        <v>6</v>
      </c>
      <c r="J677">
        <v>8.27</v>
      </c>
      <c r="K677">
        <v>8.5299999999999994</v>
      </c>
      <c r="L677">
        <v>0</v>
      </c>
      <c r="M677" t="s">
        <v>20</v>
      </c>
      <c r="N677" t="s">
        <v>35</v>
      </c>
      <c r="O677">
        <v>18.55</v>
      </c>
      <c r="P677" t="s">
        <v>28</v>
      </c>
    </row>
    <row r="678" spans="1:16" x14ac:dyDescent="0.3">
      <c r="A678" t="s">
        <v>101</v>
      </c>
      <c r="B678" t="s">
        <v>27</v>
      </c>
      <c r="C678" t="s">
        <v>18</v>
      </c>
      <c r="D678" t="s">
        <v>39</v>
      </c>
      <c r="E678">
        <v>5</v>
      </c>
      <c r="F678">
        <v>170.9</v>
      </c>
      <c r="G678">
        <v>86.6</v>
      </c>
      <c r="H678">
        <v>6.9</v>
      </c>
      <c r="I678">
        <v>3</v>
      </c>
      <c r="J678">
        <v>8.73</v>
      </c>
      <c r="K678">
        <v>7.24</v>
      </c>
      <c r="L678">
        <v>0</v>
      </c>
      <c r="M678" t="s">
        <v>25</v>
      </c>
      <c r="N678" t="s">
        <v>35</v>
      </c>
      <c r="O678">
        <v>2.1</v>
      </c>
      <c r="P678" t="s">
        <v>30</v>
      </c>
    </row>
    <row r="679" spans="1:16" x14ac:dyDescent="0.3">
      <c r="A679" t="s">
        <v>101</v>
      </c>
      <c r="B679" t="s">
        <v>23</v>
      </c>
      <c r="C679" t="s">
        <v>24</v>
      </c>
      <c r="D679" t="s">
        <v>39</v>
      </c>
      <c r="E679">
        <v>5</v>
      </c>
      <c r="F679">
        <v>157.69999999999999</v>
      </c>
      <c r="G679">
        <v>98.6</v>
      </c>
      <c r="H679">
        <v>4.9000000000000004</v>
      </c>
      <c r="I679">
        <v>6</v>
      </c>
      <c r="J679">
        <v>7.27</v>
      </c>
      <c r="K679">
        <v>9.9600000000000009</v>
      </c>
      <c r="L679">
        <v>1</v>
      </c>
      <c r="M679" t="s">
        <v>34</v>
      </c>
      <c r="N679" t="s">
        <v>26</v>
      </c>
      <c r="O679">
        <v>6.97</v>
      </c>
      <c r="P679" t="s">
        <v>32</v>
      </c>
    </row>
    <row r="680" spans="1:16" x14ac:dyDescent="0.3">
      <c r="A680" t="s">
        <v>101</v>
      </c>
      <c r="B680" t="s">
        <v>43</v>
      </c>
      <c r="C680" t="s">
        <v>31</v>
      </c>
      <c r="D680" t="s">
        <v>19</v>
      </c>
      <c r="E680">
        <v>4</v>
      </c>
      <c r="F680">
        <v>175.6</v>
      </c>
      <c r="G680">
        <v>94.1</v>
      </c>
      <c r="H680">
        <v>5.5</v>
      </c>
      <c r="I680">
        <v>8</v>
      </c>
      <c r="J680">
        <v>6.97</v>
      </c>
      <c r="K680">
        <v>7.49</v>
      </c>
      <c r="L680">
        <v>0</v>
      </c>
      <c r="M680" t="s">
        <v>20</v>
      </c>
      <c r="N680" t="s">
        <v>35</v>
      </c>
      <c r="O680">
        <v>13.55</v>
      </c>
      <c r="P680" t="s">
        <v>36</v>
      </c>
    </row>
    <row r="681" spans="1:16" x14ac:dyDescent="0.3">
      <c r="A681" t="s">
        <v>101</v>
      </c>
      <c r="B681" t="s">
        <v>43</v>
      </c>
      <c r="C681" t="s">
        <v>31</v>
      </c>
      <c r="D681" t="s">
        <v>29</v>
      </c>
      <c r="E681">
        <v>3</v>
      </c>
      <c r="F681">
        <v>158</v>
      </c>
      <c r="G681">
        <v>95.3</v>
      </c>
      <c r="H681">
        <v>5.0999999999999996</v>
      </c>
      <c r="I681">
        <v>9</v>
      </c>
      <c r="J681">
        <v>8.93</v>
      </c>
      <c r="K681">
        <v>6.75</v>
      </c>
      <c r="L681">
        <v>1</v>
      </c>
      <c r="M681" t="s">
        <v>25</v>
      </c>
      <c r="N681" t="s">
        <v>26</v>
      </c>
      <c r="O681">
        <v>16.510000000000002</v>
      </c>
      <c r="P681" t="s">
        <v>38</v>
      </c>
    </row>
    <row r="682" spans="1:16" x14ac:dyDescent="0.3">
      <c r="A682" t="s">
        <v>101</v>
      </c>
      <c r="B682" t="s">
        <v>17</v>
      </c>
      <c r="C682" t="s">
        <v>24</v>
      </c>
      <c r="D682" t="s">
        <v>39</v>
      </c>
      <c r="E682">
        <v>3</v>
      </c>
      <c r="F682">
        <v>156.6</v>
      </c>
      <c r="G682">
        <v>100</v>
      </c>
      <c r="H682">
        <v>7.3</v>
      </c>
      <c r="I682">
        <v>6</v>
      </c>
      <c r="J682">
        <v>7.24</v>
      </c>
      <c r="K682">
        <v>7.6</v>
      </c>
      <c r="L682">
        <v>2</v>
      </c>
      <c r="M682" t="s">
        <v>25</v>
      </c>
      <c r="N682" t="s">
        <v>35</v>
      </c>
      <c r="O682">
        <v>17.48</v>
      </c>
      <c r="P682" t="s">
        <v>40</v>
      </c>
    </row>
    <row r="683" spans="1:16" x14ac:dyDescent="0.3">
      <c r="A683" t="s">
        <v>101</v>
      </c>
      <c r="B683" t="s">
        <v>23</v>
      </c>
      <c r="C683" t="s">
        <v>41</v>
      </c>
      <c r="D683" t="s">
        <v>39</v>
      </c>
      <c r="E683">
        <v>10</v>
      </c>
      <c r="F683">
        <v>149.69999999999999</v>
      </c>
      <c r="G683">
        <v>96.7</v>
      </c>
      <c r="H683">
        <v>6.2</v>
      </c>
      <c r="I683">
        <v>5</v>
      </c>
      <c r="J683">
        <v>8.33</v>
      </c>
      <c r="K683">
        <v>8.75</v>
      </c>
      <c r="L683">
        <v>0</v>
      </c>
      <c r="M683" t="s">
        <v>25</v>
      </c>
      <c r="N683" t="s">
        <v>35</v>
      </c>
      <c r="O683">
        <v>15.22</v>
      </c>
      <c r="P683" t="s">
        <v>42</v>
      </c>
    </row>
    <row r="684" spans="1:16" x14ac:dyDescent="0.3">
      <c r="A684" t="s">
        <v>101</v>
      </c>
      <c r="B684" t="s">
        <v>27</v>
      </c>
      <c r="C684" t="s">
        <v>31</v>
      </c>
      <c r="D684" t="s">
        <v>19</v>
      </c>
      <c r="E684">
        <v>10</v>
      </c>
      <c r="F684">
        <v>164</v>
      </c>
      <c r="G684">
        <v>84.9</v>
      </c>
      <c r="H684">
        <v>3.3</v>
      </c>
      <c r="I684">
        <v>9</v>
      </c>
      <c r="J684">
        <v>7.46</v>
      </c>
      <c r="K684">
        <v>7.97</v>
      </c>
      <c r="L684">
        <v>1</v>
      </c>
      <c r="M684" t="s">
        <v>34</v>
      </c>
      <c r="N684" t="s">
        <v>21</v>
      </c>
      <c r="O684">
        <v>14.77</v>
      </c>
      <c r="P684" t="s">
        <v>44</v>
      </c>
    </row>
    <row r="685" spans="1:16" x14ac:dyDescent="0.3">
      <c r="A685" t="s">
        <v>101</v>
      </c>
      <c r="B685" t="s">
        <v>27</v>
      </c>
      <c r="C685" t="s">
        <v>18</v>
      </c>
      <c r="D685" t="s">
        <v>39</v>
      </c>
      <c r="E685">
        <v>6</v>
      </c>
      <c r="F685">
        <v>144.6</v>
      </c>
      <c r="G685">
        <v>89.8</v>
      </c>
      <c r="H685">
        <v>5.4</v>
      </c>
      <c r="I685">
        <v>7</v>
      </c>
      <c r="J685">
        <v>5.13</v>
      </c>
      <c r="K685">
        <v>10</v>
      </c>
      <c r="L685">
        <v>1</v>
      </c>
      <c r="M685" t="s">
        <v>34</v>
      </c>
      <c r="N685" t="s">
        <v>35</v>
      </c>
      <c r="O685">
        <v>15.8</v>
      </c>
      <c r="P685" t="s">
        <v>45</v>
      </c>
    </row>
    <row r="686" spans="1:16" x14ac:dyDescent="0.3">
      <c r="A686" t="s">
        <v>102</v>
      </c>
      <c r="B686" t="s">
        <v>27</v>
      </c>
      <c r="C686" t="s">
        <v>18</v>
      </c>
      <c r="D686" t="s">
        <v>19</v>
      </c>
      <c r="E686">
        <v>8</v>
      </c>
      <c r="F686">
        <v>175.1</v>
      </c>
      <c r="G686">
        <v>87.2</v>
      </c>
      <c r="H686">
        <v>5.7</v>
      </c>
      <c r="I686">
        <v>4</v>
      </c>
      <c r="J686">
        <v>7.86</v>
      </c>
      <c r="K686">
        <v>7.87</v>
      </c>
      <c r="L686">
        <v>1</v>
      </c>
      <c r="M686" t="s">
        <v>20</v>
      </c>
      <c r="N686" t="s">
        <v>26</v>
      </c>
      <c r="O686">
        <v>9.14</v>
      </c>
      <c r="P686" t="s">
        <v>22</v>
      </c>
    </row>
    <row r="687" spans="1:16" x14ac:dyDescent="0.3">
      <c r="A687" t="s">
        <v>102</v>
      </c>
      <c r="B687" t="s">
        <v>23</v>
      </c>
      <c r="C687" t="s">
        <v>31</v>
      </c>
      <c r="D687" t="s">
        <v>29</v>
      </c>
      <c r="E687">
        <v>5</v>
      </c>
      <c r="F687">
        <v>154.9</v>
      </c>
      <c r="G687">
        <v>99.2</v>
      </c>
      <c r="H687">
        <v>6.4</v>
      </c>
      <c r="I687">
        <v>5</v>
      </c>
      <c r="J687">
        <v>7.32</v>
      </c>
      <c r="K687">
        <v>8.64</v>
      </c>
      <c r="L687">
        <v>0</v>
      </c>
      <c r="M687" t="s">
        <v>34</v>
      </c>
      <c r="N687" t="s">
        <v>26</v>
      </c>
      <c r="O687">
        <v>11.76</v>
      </c>
      <c r="P687" t="s">
        <v>22</v>
      </c>
    </row>
    <row r="688" spans="1:16" x14ac:dyDescent="0.3">
      <c r="A688" t="s">
        <v>102</v>
      </c>
      <c r="B688" t="s">
        <v>23</v>
      </c>
      <c r="C688" t="s">
        <v>37</v>
      </c>
      <c r="D688" t="s">
        <v>29</v>
      </c>
      <c r="E688">
        <v>7</v>
      </c>
      <c r="F688">
        <v>173.9</v>
      </c>
      <c r="G688">
        <v>93.6</v>
      </c>
      <c r="H688">
        <v>3.2</v>
      </c>
      <c r="I688">
        <v>7</v>
      </c>
      <c r="J688">
        <v>7.87</v>
      </c>
      <c r="K688">
        <v>6.85</v>
      </c>
      <c r="L688">
        <v>0</v>
      </c>
      <c r="M688" t="s">
        <v>20</v>
      </c>
      <c r="N688" t="s">
        <v>35</v>
      </c>
      <c r="O688">
        <v>14.08</v>
      </c>
      <c r="P688" t="s">
        <v>28</v>
      </c>
    </row>
    <row r="689" spans="1:16" x14ac:dyDescent="0.3">
      <c r="A689" t="s">
        <v>102</v>
      </c>
      <c r="B689" t="s">
        <v>33</v>
      </c>
      <c r="C689" t="s">
        <v>18</v>
      </c>
      <c r="D689" t="s">
        <v>39</v>
      </c>
      <c r="E689">
        <v>6</v>
      </c>
      <c r="F689">
        <v>138.4</v>
      </c>
      <c r="G689">
        <v>93.1</v>
      </c>
      <c r="H689">
        <v>7</v>
      </c>
      <c r="I689">
        <v>7</v>
      </c>
      <c r="J689">
        <v>6.92</v>
      </c>
      <c r="K689">
        <v>6.4</v>
      </c>
      <c r="L689">
        <v>0</v>
      </c>
      <c r="M689" t="s">
        <v>25</v>
      </c>
      <c r="N689" t="s">
        <v>21</v>
      </c>
      <c r="O689">
        <v>16.36</v>
      </c>
      <c r="P689" t="s">
        <v>28</v>
      </c>
    </row>
    <row r="690" spans="1:16" x14ac:dyDescent="0.3">
      <c r="A690" t="s">
        <v>102</v>
      </c>
      <c r="B690" t="s">
        <v>23</v>
      </c>
      <c r="C690" t="s">
        <v>41</v>
      </c>
      <c r="D690" t="s">
        <v>19</v>
      </c>
      <c r="E690">
        <v>1</v>
      </c>
      <c r="F690">
        <v>139.9</v>
      </c>
      <c r="G690">
        <v>97.8</v>
      </c>
      <c r="I690">
        <v>8</v>
      </c>
      <c r="J690">
        <v>5.27</v>
      </c>
      <c r="K690">
        <v>6.63</v>
      </c>
      <c r="L690">
        <v>0</v>
      </c>
      <c r="M690" t="s">
        <v>20</v>
      </c>
      <c r="N690" t="s">
        <v>26</v>
      </c>
      <c r="O690">
        <v>19.18</v>
      </c>
      <c r="P690" t="s">
        <v>30</v>
      </c>
    </row>
    <row r="691" spans="1:16" x14ac:dyDescent="0.3">
      <c r="A691" t="s">
        <v>102</v>
      </c>
      <c r="B691" t="s">
        <v>27</v>
      </c>
      <c r="C691" t="s">
        <v>31</v>
      </c>
      <c r="D691" t="s">
        <v>29</v>
      </c>
      <c r="E691">
        <v>3</v>
      </c>
      <c r="F691">
        <v>164.5</v>
      </c>
      <c r="G691">
        <v>90.9</v>
      </c>
      <c r="H691">
        <v>5.6</v>
      </c>
      <c r="I691">
        <v>3</v>
      </c>
      <c r="J691">
        <v>8.73</v>
      </c>
      <c r="K691">
        <v>4.33</v>
      </c>
      <c r="L691">
        <v>1</v>
      </c>
      <c r="M691" t="s">
        <v>34</v>
      </c>
      <c r="N691" t="s">
        <v>21</v>
      </c>
      <c r="O691">
        <v>15.1</v>
      </c>
      <c r="P691" t="s">
        <v>32</v>
      </c>
    </row>
    <row r="692" spans="1:16" x14ac:dyDescent="0.3">
      <c r="A692" t="s">
        <v>102</v>
      </c>
      <c r="B692" t="s">
        <v>23</v>
      </c>
      <c r="C692" t="s">
        <v>24</v>
      </c>
      <c r="D692" t="s">
        <v>29</v>
      </c>
      <c r="E692">
        <v>2</v>
      </c>
      <c r="F692">
        <v>176.8</v>
      </c>
      <c r="G692">
        <v>97</v>
      </c>
      <c r="H692">
        <v>2.8</v>
      </c>
      <c r="I692">
        <v>5</v>
      </c>
      <c r="J692">
        <v>7.31</v>
      </c>
      <c r="K692">
        <v>6.27</v>
      </c>
      <c r="L692">
        <v>0</v>
      </c>
      <c r="M692" t="s">
        <v>34</v>
      </c>
      <c r="N692" t="s">
        <v>35</v>
      </c>
      <c r="O692">
        <v>14</v>
      </c>
      <c r="P692" t="s">
        <v>36</v>
      </c>
    </row>
    <row r="693" spans="1:16" x14ac:dyDescent="0.3">
      <c r="A693" t="s">
        <v>102</v>
      </c>
      <c r="B693" t="s">
        <v>27</v>
      </c>
      <c r="C693" t="s">
        <v>37</v>
      </c>
      <c r="D693" t="s">
        <v>19</v>
      </c>
      <c r="E693">
        <v>5</v>
      </c>
      <c r="F693">
        <v>166.3</v>
      </c>
      <c r="G693">
        <v>94.8</v>
      </c>
      <c r="H693">
        <v>3</v>
      </c>
      <c r="I693">
        <v>5</v>
      </c>
      <c r="J693">
        <v>10</v>
      </c>
      <c r="K693">
        <v>6.71</v>
      </c>
      <c r="L693">
        <v>0</v>
      </c>
      <c r="M693" t="s">
        <v>34</v>
      </c>
      <c r="N693" t="s">
        <v>21</v>
      </c>
      <c r="O693">
        <v>15.27</v>
      </c>
      <c r="P693" t="s">
        <v>38</v>
      </c>
    </row>
    <row r="694" spans="1:16" x14ac:dyDescent="0.3">
      <c r="A694" t="s">
        <v>102</v>
      </c>
      <c r="B694" t="s">
        <v>33</v>
      </c>
      <c r="C694" t="s">
        <v>37</v>
      </c>
      <c r="D694" t="s">
        <v>39</v>
      </c>
      <c r="E694">
        <v>3</v>
      </c>
      <c r="F694">
        <v>154.6</v>
      </c>
      <c r="G694">
        <v>98.7</v>
      </c>
      <c r="H694">
        <v>6</v>
      </c>
      <c r="I694">
        <v>8</v>
      </c>
      <c r="J694">
        <v>7.83</v>
      </c>
      <c r="K694">
        <v>8.76</v>
      </c>
      <c r="L694">
        <v>0</v>
      </c>
      <c r="M694" t="s">
        <v>34</v>
      </c>
      <c r="N694" t="s">
        <v>35</v>
      </c>
      <c r="O694">
        <v>17.91</v>
      </c>
      <c r="P694" t="s">
        <v>40</v>
      </c>
    </row>
    <row r="695" spans="1:16" x14ac:dyDescent="0.3">
      <c r="A695" t="s">
        <v>102</v>
      </c>
      <c r="B695" t="s">
        <v>27</v>
      </c>
      <c r="C695" t="s">
        <v>18</v>
      </c>
      <c r="D695" t="s">
        <v>29</v>
      </c>
      <c r="E695">
        <v>3</v>
      </c>
      <c r="F695">
        <v>171.8</v>
      </c>
      <c r="G695">
        <v>93.9</v>
      </c>
      <c r="H695">
        <v>8.1</v>
      </c>
      <c r="I695">
        <v>4</v>
      </c>
      <c r="J695">
        <v>8.5</v>
      </c>
      <c r="K695">
        <v>7.63</v>
      </c>
      <c r="L695">
        <v>2</v>
      </c>
      <c r="M695" t="s">
        <v>20</v>
      </c>
      <c r="N695" t="s">
        <v>21</v>
      </c>
      <c r="O695">
        <v>11.5</v>
      </c>
      <c r="P695" t="s">
        <v>42</v>
      </c>
    </row>
    <row r="696" spans="1:16" x14ac:dyDescent="0.3">
      <c r="A696" t="s">
        <v>102</v>
      </c>
      <c r="B696" t="s">
        <v>33</v>
      </c>
      <c r="C696" t="s">
        <v>24</v>
      </c>
      <c r="D696" t="s">
        <v>19</v>
      </c>
      <c r="E696">
        <v>8</v>
      </c>
      <c r="F696">
        <v>174.3</v>
      </c>
      <c r="G696">
        <v>97.4</v>
      </c>
      <c r="H696">
        <v>8</v>
      </c>
      <c r="I696">
        <v>8</v>
      </c>
      <c r="J696">
        <v>6.87</v>
      </c>
      <c r="K696">
        <v>6.39</v>
      </c>
      <c r="L696">
        <v>1</v>
      </c>
      <c r="M696" t="s">
        <v>25</v>
      </c>
      <c r="N696" t="s">
        <v>21</v>
      </c>
      <c r="O696">
        <v>21.38</v>
      </c>
      <c r="P696" t="s">
        <v>44</v>
      </c>
    </row>
    <row r="697" spans="1:16" x14ac:dyDescent="0.3">
      <c r="A697" t="s">
        <v>102</v>
      </c>
      <c r="B697" t="s">
        <v>23</v>
      </c>
      <c r="C697" t="s">
        <v>37</v>
      </c>
      <c r="D697" t="s">
        <v>29</v>
      </c>
      <c r="E697">
        <v>1</v>
      </c>
      <c r="F697">
        <v>161.9</v>
      </c>
      <c r="G697">
        <v>94.2</v>
      </c>
      <c r="I697">
        <v>3</v>
      </c>
      <c r="J697">
        <v>8.1</v>
      </c>
      <c r="K697">
        <v>5.26</v>
      </c>
      <c r="L697">
        <v>0</v>
      </c>
      <c r="M697" t="s">
        <v>34</v>
      </c>
      <c r="N697" t="s">
        <v>35</v>
      </c>
      <c r="O697">
        <v>19.239999999999998</v>
      </c>
      <c r="P697" t="s">
        <v>45</v>
      </c>
    </row>
    <row r="698" spans="1:16" x14ac:dyDescent="0.3">
      <c r="A698" t="s">
        <v>103</v>
      </c>
      <c r="B698" t="s">
        <v>43</v>
      </c>
      <c r="C698" t="s">
        <v>24</v>
      </c>
      <c r="D698" t="s">
        <v>19</v>
      </c>
      <c r="E698">
        <v>9</v>
      </c>
      <c r="F698">
        <v>158.69999999999999</v>
      </c>
      <c r="G698">
        <v>94.9</v>
      </c>
      <c r="H698">
        <v>5.9</v>
      </c>
      <c r="I698">
        <v>7</v>
      </c>
      <c r="J698">
        <v>5.96</v>
      </c>
      <c r="K698">
        <v>9.0399999999999991</v>
      </c>
      <c r="L698">
        <v>0</v>
      </c>
      <c r="M698" t="s">
        <v>34</v>
      </c>
      <c r="N698" t="s">
        <v>35</v>
      </c>
      <c r="O698">
        <v>13.55</v>
      </c>
      <c r="P698" t="s">
        <v>22</v>
      </c>
    </row>
    <row r="699" spans="1:16" x14ac:dyDescent="0.3">
      <c r="A699" t="s">
        <v>103</v>
      </c>
      <c r="B699" t="s">
        <v>43</v>
      </c>
      <c r="C699" t="s">
        <v>31</v>
      </c>
      <c r="D699" t="s">
        <v>39</v>
      </c>
      <c r="E699">
        <v>4</v>
      </c>
      <c r="F699">
        <v>163.80000000000001</v>
      </c>
      <c r="G699">
        <v>100</v>
      </c>
      <c r="H699">
        <v>7</v>
      </c>
      <c r="I699">
        <v>6</v>
      </c>
      <c r="J699">
        <v>7.46</v>
      </c>
      <c r="K699">
        <v>8.5399999999999991</v>
      </c>
      <c r="L699">
        <v>0</v>
      </c>
      <c r="M699" t="s">
        <v>25</v>
      </c>
      <c r="N699" t="s">
        <v>26</v>
      </c>
      <c r="O699">
        <v>23.26</v>
      </c>
      <c r="P699" t="s">
        <v>22</v>
      </c>
    </row>
    <row r="700" spans="1:16" x14ac:dyDescent="0.3">
      <c r="A700" t="s">
        <v>103</v>
      </c>
      <c r="B700" t="s">
        <v>17</v>
      </c>
      <c r="C700" t="s">
        <v>31</v>
      </c>
      <c r="D700" t="s">
        <v>19</v>
      </c>
      <c r="E700">
        <v>5</v>
      </c>
      <c r="F700">
        <v>168.9</v>
      </c>
      <c r="G700">
        <v>91.1</v>
      </c>
      <c r="H700">
        <v>4.3</v>
      </c>
      <c r="I700">
        <v>6</v>
      </c>
      <c r="J700">
        <v>5.05</v>
      </c>
      <c r="K700">
        <v>9.08</v>
      </c>
      <c r="L700">
        <v>0</v>
      </c>
      <c r="M700" t="s">
        <v>34</v>
      </c>
      <c r="N700" t="s">
        <v>35</v>
      </c>
      <c r="O700">
        <v>10.24</v>
      </c>
      <c r="P700" t="s">
        <v>28</v>
      </c>
    </row>
    <row r="701" spans="1:16" x14ac:dyDescent="0.3">
      <c r="A701" t="s">
        <v>103</v>
      </c>
      <c r="B701" t="s">
        <v>33</v>
      </c>
      <c r="C701" t="s">
        <v>31</v>
      </c>
      <c r="D701" t="s">
        <v>39</v>
      </c>
      <c r="E701">
        <v>1</v>
      </c>
      <c r="F701">
        <v>160.30000000000001</v>
      </c>
      <c r="G701">
        <v>100</v>
      </c>
      <c r="H701">
        <v>6.5</v>
      </c>
      <c r="I701">
        <v>9</v>
      </c>
      <c r="J701">
        <v>7.49</v>
      </c>
      <c r="K701">
        <v>7.84</v>
      </c>
      <c r="L701">
        <v>0</v>
      </c>
      <c r="M701" t="s">
        <v>20</v>
      </c>
      <c r="N701" t="s">
        <v>26</v>
      </c>
      <c r="O701">
        <v>9.16</v>
      </c>
      <c r="P701" t="s">
        <v>28</v>
      </c>
    </row>
    <row r="702" spans="1:16" x14ac:dyDescent="0.3">
      <c r="A702" t="s">
        <v>103</v>
      </c>
      <c r="B702" t="s">
        <v>17</v>
      </c>
      <c r="C702" t="s">
        <v>18</v>
      </c>
      <c r="D702" t="s">
        <v>19</v>
      </c>
      <c r="E702">
        <v>5</v>
      </c>
      <c r="F702">
        <v>179.2</v>
      </c>
      <c r="G702">
        <v>90.5</v>
      </c>
      <c r="H702">
        <v>2.5</v>
      </c>
      <c r="I702">
        <v>6</v>
      </c>
      <c r="J702">
        <v>6.54</v>
      </c>
      <c r="K702">
        <v>7.4</v>
      </c>
      <c r="L702">
        <v>0</v>
      </c>
      <c r="M702" t="s">
        <v>20</v>
      </c>
      <c r="N702" t="s">
        <v>26</v>
      </c>
      <c r="O702">
        <v>15.18</v>
      </c>
      <c r="P702" t="s">
        <v>30</v>
      </c>
    </row>
    <row r="703" spans="1:16" x14ac:dyDescent="0.3">
      <c r="A703" t="s">
        <v>103</v>
      </c>
      <c r="B703" t="s">
        <v>33</v>
      </c>
      <c r="C703" t="s">
        <v>18</v>
      </c>
      <c r="D703" t="s">
        <v>19</v>
      </c>
      <c r="E703">
        <v>10</v>
      </c>
      <c r="F703">
        <v>164.6</v>
      </c>
      <c r="G703">
        <v>93.2</v>
      </c>
      <c r="H703">
        <v>3.2</v>
      </c>
      <c r="I703">
        <v>8</v>
      </c>
      <c r="J703">
        <v>8.36</v>
      </c>
      <c r="K703">
        <v>3.61</v>
      </c>
      <c r="L703">
        <v>0</v>
      </c>
      <c r="M703" t="s">
        <v>20</v>
      </c>
      <c r="N703" t="s">
        <v>21</v>
      </c>
      <c r="O703">
        <v>8.26</v>
      </c>
      <c r="P703" t="s">
        <v>32</v>
      </c>
    </row>
    <row r="704" spans="1:16" x14ac:dyDescent="0.3">
      <c r="A704" t="s">
        <v>103</v>
      </c>
      <c r="B704" t="s">
        <v>43</v>
      </c>
      <c r="C704" t="s">
        <v>24</v>
      </c>
      <c r="D704" t="s">
        <v>39</v>
      </c>
      <c r="E704">
        <v>4</v>
      </c>
      <c r="F704">
        <v>167.1</v>
      </c>
      <c r="G704">
        <v>94.9</v>
      </c>
      <c r="H704">
        <v>3.6</v>
      </c>
      <c r="I704">
        <v>5</v>
      </c>
      <c r="J704">
        <v>5</v>
      </c>
      <c r="K704">
        <v>7.68</v>
      </c>
      <c r="L704">
        <v>0</v>
      </c>
      <c r="M704" t="s">
        <v>20</v>
      </c>
      <c r="N704" t="s">
        <v>35</v>
      </c>
      <c r="O704">
        <v>16.670000000000002</v>
      </c>
      <c r="P704" t="s">
        <v>36</v>
      </c>
    </row>
    <row r="705" spans="1:16" x14ac:dyDescent="0.3">
      <c r="A705" t="s">
        <v>103</v>
      </c>
      <c r="B705" t="s">
        <v>33</v>
      </c>
      <c r="C705" t="s">
        <v>37</v>
      </c>
      <c r="D705" t="s">
        <v>19</v>
      </c>
      <c r="E705">
        <v>6</v>
      </c>
      <c r="F705">
        <v>152</v>
      </c>
      <c r="G705">
        <v>93.5</v>
      </c>
      <c r="H705">
        <v>5</v>
      </c>
      <c r="I705">
        <v>2</v>
      </c>
      <c r="J705">
        <v>8.48</v>
      </c>
      <c r="K705">
        <v>6.61</v>
      </c>
      <c r="L705">
        <v>0</v>
      </c>
      <c r="M705" t="s">
        <v>34</v>
      </c>
      <c r="N705" t="s">
        <v>21</v>
      </c>
      <c r="O705">
        <v>15.81</v>
      </c>
      <c r="P705" t="s">
        <v>38</v>
      </c>
    </row>
    <row r="706" spans="1:16" x14ac:dyDescent="0.3">
      <c r="A706" t="s">
        <v>103</v>
      </c>
      <c r="B706" t="s">
        <v>27</v>
      </c>
      <c r="C706" t="s">
        <v>31</v>
      </c>
      <c r="D706" t="s">
        <v>39</v>
      </c>
      <c r="E706">
        <v>3</v>
      </c>
      <c r="F706">
        <v>150.1</v>
      </c>
      <c r="G706">
        <v>93.3</v>
      </c>
      <c r="H706">
        <v>6.5</v>
      </c>
      <c r="I706">
        <v>3</v>
      </c>
      <c r="J706">
        <v>8.17</v>
      </c>
      <c r="K706">
        <v>10</v>
      </c>
      <c r="L706">
        <v>0</v>
      </c>
      <c r="M706" t="s">
        <v>34</v>
      </c>
      <c r="N706" t="s">
        <v>21</v>
      </c>
      <c r="O706">
        <v>15.56</v>
      </c>
      <c r="P706" t="s">
        <v>40</v>
      </c>
    </row>
    <row r="707" spans="1:16" x14ac:dyDescent="0.3">
      <c r="A707" t="s">
        <v>103</v>
      </c>
      <c r="B707" t="s">
        <v>17</v>
      </c>
      <c r="C707" t="s">
        <v>18</v>
      </c>
      <c r="D707" t="s">
        <v>19</v>
      </c>
      <c r="E707">
        <v>8</v>
      </c>
      <c r="F707">
        <v>164.9</v>
      </c>
      <c r="G707">
        <v>95.4</v>
      </c>
      <c r="H707">
        <v>5.5</v>
      </c>
      <c r="I707">
        <v>6</v>
      </c>
      <c r="J707">
        <v>6.95</v>
      </c>
      <c r="K707">
        <v>5.13</v>
      </c>
      <c r="L707">
        <v>0</v>
      </c>
      <c r="M707" t="s">
        <v>20</v>
      </c>
      <c r="N707" t="s">
        <v>21</v>
      </c>
      <c r="O707">
        <v>12.95</v>
      </c>
      <c r="P707" t="s">
        <v>42</v>
      </c>
    </row>
    <row r="708" spans="1:16" x14ac:dyDescent="0.3">
      <c r="A708" t="s">
        <v>103</v>
      </c>
      <c r="B708" t="s">
        <v>17</v>
      </c>
      <c r="C708" t="s">
        <v>24</v>
      </c>
      <c r="D708" t="s">
        <v>39</v>
      </c>
      <c r="E708">
        <v>1</v>
      </c>
      <c r="F708">
        <v>168.8</v>
      </c>
      <c r="G708">
        <v>87.3</v>
      </c>
      <c r="H708">
        <v>5.4</v>
      </c>
      <c r="I708">
        <v>8</v>
      </c>
      <c r="J708">
        <v>9.11</v>
      </c>
      <c r="K708">
        <v>4.53</v>
      </c>
      <c r="L708">
        <v>0</v>
      </c>
      <c r="M708" t="s">
        <v>20</v>
      </c>
      <c r="N708" t="s">
        <v>21</v>
      </c>
      <c r="O708">
        <v>6.72</v>
      </c>
      <c r="P708" t="s">
        <v>44</v>
      </c>
    </row>
    <row r="709" spans="1:16" x14ac:dyDescent="0.3">
      <c r="A709" t="s">
        <v>103</v>
      </c>
      <c r="B709" t="s">
        <v>43</v>
      </c>
      <c r="C709" t="s">
        <v>24</v>
      </c>
      <c r="D709" t="s">
        <v>19</v>
      </c>
      <c r="E709">
        <v>6</v>
      </c>
      <c r="F709">
        <v>170.3</v>
      </c>
      <c r="G709">
        <v>86.4</v>
      </c>
      <c r="H709">
        <v>5.2</v>
      </c>
      <c r="I709">
        <v>6</v>
      </c>
      <c r="J709">
        <v>7.38</v>
      </c>
      <c r="K709">
        <v>7.2</v>
      </c>
      <c r="L709">
        <v>0</v>
      </c>
      <c r="M709" t="s">
        <v>25</v>
      </c>
      <c r="N709" t="s">
        <v>26</v>
      </c>
      <c r="O709">
        <v>15.92</v>
      </c>
      <c r="P709" t="s">
        <v>45</v>
      </c>
    </row>
    <row r="710" spans="1:16" x14ac:dyDescent="0.3">
      <c r="A710" t="s">
        <v>104</v>
      </c>
      <c r="B710" t="s">
        <v>33</v>
      </c>
      <c r="C710" t="s">
        <v>24</v>
      </c>
      <c r="D710" t="s">
        <v>39</v>
      </c>
      <c r="E710">
        <v>3</v>
      </c>
      <c r="F710">
        <v>157</v>
      </c>
      <c r="G710">
        <v>92.7</v>
      </c>
      <c r="H710">
        <v>5.6</v>
      </c>
      <c r="I710">
        <v>6</v>
      </c>
      <c r="J710">
        <v>8.36</v>
      </c>
      <c r="K710">
        <v>6.42</v>
      </c>
      <c r="L710">
        <v>0</v>
      </c>
      <c r="M710" t="s">
        <v>25</v>
      </c>
      <c r="N710" t="s">
        <v>26</v>
      </c>
      <c r="O710">
        <v>16.940000000000001</v>
      </c>
      <c r="P710" t="s">
        <v>22</v>
      </c>
    </row>
    <row r="711" spans="1:16" x14ac:dyDescent="0.3">
      <c r="A711" t="s">
        <v>104</v>
      </c>
      <c r="B711" t="s">
        <v>33</v>
      </c>
      <c r="C711" t="s">
        <v>37</v>
      </c>
      <c r="D711" t="s">
        <v>29</v>
      </c>
      <c r="E711">
        <v>4</v>
      </c>
      <c r="F711">
        <v>152</v>
      </c>
      <c r="G711">
        <v>99.4</v>
      </c>
      <c r="H711">
        <v>5.9</v>
      </c>
      <c r="I711">
        <v>4</v>
      </c>
      <c r="J711">
        <v>6.29</v>
      </c>
      <c r="K711">
        <v>8.26</v>
      </c>
      <c r="L711">
        <v>0</v>
      </c>
      <c r="M711" t="s">
        <v>20</v>
      </c>
      <c r="N711" t="s">
        <v>26</v>
      </c>
      <c r="O711">
        <v>15.35</v>
      </c>
      <c r="P711" t="s">
        <v>22</v>
      </c>
    </row>
    <row r="712" spans="1:16" x14ac:dyDescent="0.3">
      <c r="A712" t="s">
        <v>104</v>
      </c>
      <c r="B712" t="s">
        <v>23</v>
      </c>
      <c r="C712" t="s">
        <v>18</v>
      </c>
      <c r="D712" t="s">
        <v>39</v>
      </c>
      <c r="E712">
        <v>3</v>
      </c>
      <c r="F712">
        <v>168.1</v>
      </c>
      <c r="G712">
        <v>93.9</v>
      </c>
      <c r="H712">
        <v>3.5</v>
      </c>
      <c r="I712">
        <v>4</v>
      </c>
      <c r="K712">
        <v>3.58</v>
      </c>
      <c r="L712">
        <v>0</v>
      </c>
      <c r="M712" t="s">
        <v>34</v>
      </c>
      <c r="N712" t="s">
        <v>35</v>
      </c>
      <c r="O712">
        <v>14.16</v>
      </c>
      <c r="P712" t="s">
        <v>28</v>
      </c>
    </row>
    <row r="713" spans="1:16" x14ac:dyDescent="0.3">
      <c r="A713" t="s">
        <v>104</v>
      </c>
      <c r="B713" t="s">
        <v>23</v>
      </c>
      <c r="C713" t="s">
        <v>31</v>
      </c>
      <c r="D713" t="s">
        <v>19</v>
      </c>
      <c r="E713">
        <v>10</v>
      </c>
      <c r="F713">
        <v>159.1</v>
      </c>
      <c r="G713">
        <v>100</v>
      </c>
      <c r="H713">
        <v>3.1</v>
      </c>
      <c r="I713">
        <v>12</v>
      </c>
      <c r="J713">
        <v>4.79</v>
      </c>
      <c r="K713">
        <v>5.12</v>
      </c>
      <c r="L713">
        <v>0</v>
      </c>
      <c r="M713" t="s">
        <v>25</v>
      </c>
      <c r="N713" t="s">
        <v>26</v>
      </c>
      <c r="O713">
        <v>19.329999999999998</v>
      </c>
      <c r="P713" t="s">
        <v>28</v>
      </c>
    </row>
    <row r="714" spans="1:16" x14ac:dyDescent="0.3">
      <c r="A714" t="s">
        <v>104</v>
      </c>
      <c r="B714" t="s">
        <v>17</v>
      </c>
      <c r="C714" t="s">
        <v>18</v>
      </c>
      <c r="D714" t="s">
        <v>29</v>
      </c>
      <c r="E714">
        <v>7</v>
      </c>
      <c r="F714">
        <v>180</v>
      </c>
      <c r="G714">
        <v>96.5</v>
      </c>
      <c r="H714">
        <v>3</v>
      </c>
      <c r="I714">
        <v>6</v>
      </c>
      <c r="J714">
        <v>6.22</v>
      </c>
      <c r="K714">
        <v>9.67</v>
      </c>
      <c r="L714">
        <v>0</v>
      </c>
      <c r="M714" t="s">
        <v>20</v>
      </c>
      <c r="N714" t="s">
        <v>21</v>
      </c>
      <c r="O714">
        <v>12.95</v>
      </c>
      <c r="P714" t="s">
        <v>30</v>
      </c>
    </row>
    <row r="715" spans="1:16" x14ac:dyDescent="0.3">
      <c r="A715" t="s">
        <v>104</v>
      </c>
      <c r="B715" t="s">
        <v>23</v>
      </c>
      <c r="C715" t="s">
        <v>41</v>
      </c>
      <c r="D715" t="s">
        <v>29</v>
      </c>
      <c r="E715">
        <v>5</v>
      </c>
      <c r="F715">
        <v>170.9</v>
      </c>
      <c r="G715">
        <v>89.6</v>
      </c>
      <c r="H715">
        <v>2.1</v>
      </c>
      <c r="I715">
        <v>4</v>
      </c>
      <c r="J715">
        <v>4.82</v>
      </c>
      <c r="K715">
        <v>6.66</v>
      </c>
      <c r="L715">
        <v>1</v>
      </c>
      <c r="M715" t="s">
        <v>34</v>
      </c>
      <c r="N715" t="s">
        <v>26</v>
      </c>
      <c r="O715">
        <v>13.02</v>
      </c>
      <c r="P715" t="s">
        <v>32</v>
      </c>
    </row>
    <row r="716" spans="1:16" x14ac:dyDescent="0.3">
      <c r="A716" t="s">
        <v>104</v>
      </c>
      <c r="B716" t="s">
        <v>43</v>
      </c>
      <c r="C716" t="s">
        <v>18</v>
      </c>
      <c r="D716" t="s">
        <v>29</v>
      </c>
      <c r="E716">
        <v>5</v>
      </c>
      <c r="F716">
        <v>159.5</v>
      </c>
      <c r="G716">
        <v>98.3</v>
      </c>
      <c r="H716">
        <v>5.0999999999999996</v>
      </c>
      <c r="I716">
        <v>7</v>
      </c>
      <c r="J716">
        <v>7.3</v>
      </c>
      <c r="K716">
        <v>8.56</v>
      </c>
      <c r="L716">
        <v>1</v>
      </c>
      <c r="M716" t="s">
        <v>34</v>
      </c>
      <c r="N716" t="s">
        <v>35</v>
      </c>
      <c r="O716">
        <v>14.04</v>
      </c>
      <c r="P716" t="s">
        <v>36</v>
      </c>
    </row>
    <row r="717" spans="1:16" x14ac:dyDescent="0.3">
      <c r="A717" t="s">
        <v>104</v>
      </c>
      <c r="B717" t="s">
        <v>17</v>
      </c>
      <c r="C717" t="s">
        <v>31</v>
      </c>
      <c r="D717" t="s">
        <v>19</v>
      </c>
      <c r="E717">
        <v>5</v>
      </c>
      <c r="F717">
        <v>159.9</v>
      </c>
      <c r="G717">
        <v>89.5</v>
      </c>
      <c r="H717">
        <v>4.4000000000000004</v>
      </c>
      <c r="I717">
        <v>7</v>
      </c>
      <c r="J717">
        <v>6.35</v>
      </c>
      <c r="K717">
        <v>5.39</v>
      </c>
      <c r="L717">
        <v>0</v>
      </c>
      <c r="M717" t="s">
        <v>25</v>
      </c>
      <c r="N717" t="s">
        <v>35</v>
      </c>
      <c r="O717">
        <v>21.18</v>
      </c>
      <c r="P717" t="s">
        <v>38</v>
      </c>
    </row>
    <row r="718" spans="1:16" x14ac:dyDescent="0.3">
      <c r="A718" t="s">
        <v>104</v>
      </c>
      <c r="B718" t="s">
        <v>17</v>
      </c>
      <c r="C718" t="s">
        <v>24</v>
      </c>
      <c r="D718" t="s">
        <v>39</v>
      </c>
      <c r="E718">
        <v>1</v>
      </c>
      <c r="F718">
        <v>151.1</v>
      </c>
      <c r="G718">
        <v>96.9</v>
      </c>
      <c r="H718">
        <v>8.1</v>
      </c>
      <c r="I718">
        <v>4</v>
      </c>
      <c r="J718">
        <v>7.66</v>
      </c>
      <c r="K718">
        <v>7.49</v>
      </c>
      <c r="L718">
        <v>0</v>
      </c>
      <c r="M718" t="s">
        <v>25</v>
      </c>
      <c r="N718" t="s">
        <v>26</v>
      </c>
      <c r="O718">
        <v>20</v>
      </c>
      <c r="P718" t="s">
        <v>40</v>
      </c>
    </row>
    <row r="719" spans="1:16" x14ac:dyDescent="0.3">
      <c r="A719" t="s">
        <v>104</v>
      </c>
      <c r="B719" t="s">
        <v>17</v>
      </c>
      <c r="C719" t="s">
        <v>18</v>
      </c>
      <c r="D719" t="s">
        <v>39</v>
      </c>
      <c r="E719">
        <v>2</v>
      </c>
      <c r="F719">
        <v>134.1</v>
      </c>
      <c r="G719">
        <v>94.5</v>
      </c>
      <c r="H719">
        <v>6.2</v>
      </c>
      <c r="I719">
        <v>10</v>
      </c>
      <c r="J719">
        <v>7.93</v>
      </c>
      <c r="K719">
        <v>10</v>
      </c>
      <c r="L719">
        <v>0</v>
      </c>
      <c r="M719" t="s">
        <v>20</v>
      </c>
      <c r="N719" t="s">
        <v>35</v>
      </c>
      <c r="O719">
        <v>12.72</v>
      </c>
      <c r="P719" t="s">
        <v>42</v>
      </c>
    </row>
    <row r="720" spans="1:16" x14ac:dyDescent="0.3">
      <c r="A720" t="s">
        <v>104</v>
      </c>
      <c r="B720" t="s">
        <v>23</v>
      </c>
      <c r="C720" t="s">
        <v>31</v>
      </c>
      <c r="D720" t="s">
        <v>29</v>
      </c>
      <c r="E720">
        <v>9</v>
      </c>
      <c r="F720">
        <v>173.8</v>
      </c>
      <c r="G720">
        <v>95.2</v>
      </c>
      <c r="H720">
        <v>8.9</v>
      </c>
      <c r="I720">
        <v>5</v>
      </c>
      <c r="J720">
        <v>7.64</v>
      </c>
      <c r="K720">
        <v>6.43</v>
      </c>
      <c r="L720">
        <v>0</v>
      </c>
      <c r="M720" t="s">
        <v>34</v>
      </c>
      <c r="N720" t="s">
        <v>26</v>
      </c>
      <c r="O720">
        <v>11.85</v>
      </c>
      <c r="P720" t="s">
        <v>44</v>
      </c>
    </row>
    <row r="721" spans="1:16" x14ac:dyDescent="0.3">
      <c r="A721" t="s">
        <v>104</v>
      </c>
      <c r="B721" t="s">
        <v>23</v>
      </c>
      <c r="C721" t="s">
        <v>18</v>
      </c>
      <c r="D721" t="s">
        <v>19</v>
      </c>
      <c r="E721">
        <v>8</v>
      </c>
      <c r="F721">
        <v>157.30000000000001</v>
      </c>
      <c r="G721">
        <v>96.6</v>
      </c>
      <c r="H721">
        <v>2.4</v>
      </c>
      <c r="I721">
        <v>8</v>
      </c>
      <c r="J721">
        <v>6.69</v>
      </c>
      <c r="K721">
        <v>9.2899999999999991</v>
      </c>
      <c r="L721">
        <v>1</v>
      </c>
      <c r="M721" t="s">
        <v>34</v>
      </c>
      <c r="N721" t="s">
        <v>21</v>
      </c>
      <c r="O721">
        <v>13.03</v>
      </c>
      <c r="P721" t="s">
        <v>45</v>
      </c>
    </row>
    <row r="722" spans="1:16" x14ac:dyDescent="0.3">
      <c r="A722" t="s">
        <v>105</v>
      </c>
      <c r="B722" t="s">
        <v>27</v>
      </c>
      <c r="C722" t="s">
        <v>24</v>
      </c>
      <c r="D722" t="s">
        <v>39</v>
      </c>
      <c r="E722">
        <v>3</v>
      </c>
      <c r="F722">
        <v>158.69999999999999</v>
      </c>
      <c r="G722">
        <v>88.3</v>
      </c>
      <c r="H722">
        <v>4.3</v>
      </c>
      <c r="I722">
        <v>4</v>
      </c>
      <c r="K722">
        <v>6.1</v>
      </c>
      <c r="L722">
        <v>0</v>
      </c>
      <c r="M722" t="s">
        <v>20</v>
      </c>
      <c r="N722" t="s">
        <v>26</v>
      </c>
      <c r="O722">
        <v>10.33</v>
      </c>
      <c r="P722" t="s">
        <v>22</v>
      </c>
    </row>
    <row r="723" spans="1:16" x14ac:dyDescent="0.3">
      <c r="A723" t="s">
        <v>105</v>
      </c>
      <c r="B723" t="s">
        <v>23</v>
      </c>
      <c r="C723" t="s">
        <v>24</v>
      </c>
      <c r="D723" t="s">
        <v>39</v>
      </c>
      <c r="E723">
        <v>2</v>
      </c>
      <c r="F723">
        <v>153.4</v>
      </c>
      <c r="G723">
        <v>89.2</v>
      </c>
      <c r="H723">
        <v>5.8</v>
      </c>
      <c r="I723">
        <v>6</v>
      </c>
      <c r="J723">
        <v>9.6999999999999993</v>
      </c>
      <c r="K723">
        <v>5.41</v>
      </c>
      <c r="L723">
        <v>1</v>
      </c>
      <c r="M723" t="s">
        <v>34</v>
      </c>
      <c r="N723" t="s">
        <v>26</v>
      </c>
      <c r="O723">
        <v>9.06</v>
      </c>
      <c r="P723" t="s">
        <v>22</v>
      </c>
    </row>
    <row r="724" spans="1:16" x14ac:dyDescent="0.3">
      <c r="A724" t="s">
        <v>105</v>
      </c>
      <c r="B724" t="s">
        <v>43</v>
      </c>
      <c r="C724" t="s">
        <v>24</v>
      </c>
      <c r="D724" t="s">
        <v>29</v>
      </c>
      <c r="E724">
        <v>7</v>
      </c>
      <c r="F724">
        <v>173.9</v>
      </c>
      <c r="G724">
        <v>93.9</v>
      </c>
      <c r="H724">
        <v>5.0999999999999996</v>
      </c>
      <c r="I724">
        <v>4</v>
      </c>
      <c r="J724">
        <v>7.53</v>
      </c>
      <c r="K724">
        <v>8.86</v>
      </c>
      <c r="L724">
        <v>1</v>
      </c>
      <c r="M724" t="s">
        <v>25</v>
      </c>
      <c r="N724" t="s">
        <v>21</v>
      </c>
      <c r="O724">
        <v>14.63</v>
      </c>
      <c r="P724" t="s">
        <v>28</v>
      </c>
    </row>
    <row r="725" spans="1:16" x14ac:dyDescent="0.3">
      <c r="A725" t="s">
        <v>105</v>
      </c>
      <c r="B725" t="s">
        <v>17</v>
      </c>
      <c r="C725" t="s">
        <v>41</v>
      </c>
      <c r="D725" t="s">
        <v>19</v>
      </c>
      <c r="E725">
        <v>8</v>
      </c>
      <c r="F725">
        <v>156.80000000000001</v>
      </c>
      <c r="G725">
        <v>95.4</v>
      </c>
      <c r="H725">
        <v>4.5999999999999996</v>
      </c>
      <c r="I725">
        <v>12</v>
      </c>
      <c r="J725">
        <v>8.3699999999999992</v>
      </c>
      <c r="K725">
        <v>7.03</v>
      </c>
      <c r="L725">
        <v>1</v>
      </c>
      <c r="M725" t="s">
        <v>20</v>
      </c>
      <c r="N725" t="s">
        <v>35</v>
      </c>
      <c r="O725">
        <v>15.51</v>
      </c>
      <c r="P725" t="s">
        <v>28</v>
      </c>
    </row>
    <row r="726" spans="1:16" x14ac:dyDescent="0.3">
      <c r="A726" t="s">
        <v>105</v>
      </c>
      <c r="B726" t="s">
        <v>43</v>
      </c>
      <c r="C726" t="s">
        <v>37</v>
      </c>
      <c r="D726" t="s">
        <v>29</v>
      </c>
      <c r="E726">
        <v>2</v>
      </c>
      <c r="F726">
        <v>170.6</v>
      </c>
      <c r="G726">
        <v>99.9</v>
      </c>
      <c r="H726">
        <v>2</v>
      </c>
      <c r="I726">
        <v>3</v>
      </c>
      <c r="J726">
        <v>3.58</v>
      </c>
      <c r="K726">
        <v>6.33</v>
      </c>
      <c r="L726">
        <v>0</v>
      </c>
      <c r="M726" t="s">
        <v>25</v>
      </c>
      <c r="N726" t="s">
        <v>35</v>
      </c>
      <c r="O726">
        <v>15.27</v>
      </c>
      <c r="P726" t="s">
        <v>30</v>
      </c>
    </row>
    <row r="727" spans="1:16" x14ac:dyDescent="0.3">
      <c r="A727" t="s">
        <v>105</v>
      </c>
      <c r="B727" t="s">
        <v>17</v>
      </c>
      <c r="C727" t="s">
        <v>24</v>
      </c>
      <c r="D727" t="s">
        <v>19</v>
      </c>
      <c r="E727">
        <v>4</v>
      </c>
      <c r="F727">
        <v>144.9</v>
      </c>
      <c r="G727">
        <v>94.8</v>
      </c>
      <c r="H727">
        <v>3.8</v>
      </c>
      <c r="I727">
        <v>5</v>
      </c>
      <c r="J727">
        <v>8</v>
      </c>
      <c r="K727">
        <v>7</v>
      </c>
      <c r="L727">
        <v>0</v>
      </c>
      <c r="M727" t="s">
        <v>34</v>
      </c>
      <c r="N727" t="s">
        <v>26</v>
      </c>
      <c r="O727">
        <v>7.97</v>
      </c>
      <c r="P727" t="s">
        <v>32</v>
      </c>
    </row>
    <row r="728" spans="1:16" x14ac:dyDescent="0.3">
      <c r="A728" t="s">
        <v>105</v>
      </c>
      <c r="B728" t="s">
        <v>27</v>
      </c>
      <c r="C728" t="s">
        <v>37</v>
      </c>
      <c r="D728" t="s">
        <v>19</v>
      </c>
      <c r="E728">
        <v>3</v>
      </c>
      <c r="F728">
        <v>187.3</v>
      </c>
      <c r="G728">
        <v>90.6</v>
      </c>
      <c r="H728">
        <v>6.1</v>
      </c>
      <c r="I728">
        <v>7</v>
      </c>
      <c r="J728">
        <v>8.9</v>
      </c>
      <c r="K728">
        <v>6.62</v>
      </c>
      <c r="L728">
        <v>1</v>
      </c>
      <c r="M728" t="s">
        <v>25</v>
      </c>
      <c r="N728" t="s">
        <v>26</v>
      </c>
      <c r="O728">
        <v>9.1199999999999992</v>
      </c>
      <c r="P728" t="s">
        <v>36</v>
      </c>
    </row>
    <row r="729" spans="1:16" x14ac:dyDescent="0.3">
      <c r="A729" t="s">
        <v>105</v>
      </c>
      <c r="B729" t="s">
        <v>33</v>
      </c>
      <c r="C729" t="s">
        <v>24</v>
      </c>
      <c r="D729" t="s">
        <v>19</v>
      </c>
      <c r="E729">
        <v>5</v>
      </c>
      <c r="F729">
        <v>163.4</v>
      </c>
      <c r="G729">
        <v>96.8</v>
      </c>
      <c r="H729">
        <v>4.4000000000000004</v>
      </c>
      <c r="I729">
        <v>3</v>
      </c>
      <c r="J729">
        <v>7.19</v>
      </c>
      <c r="K729">
        <v>6.94</v>
      </c>
      <c r="L729">
        <v>0</v>
      </c>
      <c r="M729" t="s">
        <v>34</v>
      </c>
      <c r="N729" t="s">
        <v>26</v>
      </c>
      <c r="O729">
        <v>11.08</v>
      </c>
      <c r="P729" t="s">
        <v>38</v>
      </c>
    </row>
    <row r="730" spans="1:16" x14ac:dyDescent="0.3">
      <c r="A730" t="s">
        <v>105</v>
      </c>
      <c r="B730" t="s">
        <v>23</v>
      </c>
      <c r="C730" t="s">
        <v>31</v>
      </c>
      <c r="D730" t="s">
        <v>39</v>
      </c>
      <c r="E730">
        <v>3</v>
      </c>
      <c r="F730">
        <v>167.5</v>
      </c>
      <c r="G730">
        <v>97.9</v>
      </c>
      <c r="H730">
        <v>3.8</v>
      </c>
      <c r="I730">
        <v>8</v>
      </c>
      <c r="J730">
        <v>10</v>
      </c>
      <c r="K730">
        <v>5.61</v>
      </c>
      <c r="L730">
        <v>0</v>
      </c>
      <c r="M730" t="s">
        <v>34</v>
      </c>
      <c r="N730" t="s">
        <v>21</v>
      </c>
      <c r="O730">
        <v>20.97</v>
      </c>
      <c r="P730" t="s">
        <v>40</v>
      </c>
    </row>
    <row r="731" spans="1:16" x14ac:dyDescent="0.3">
      <c r="A731" t="s">
        <v>105</v>
      </c>
      <c r="B731" t="s">
        <v>23</v>
      </c>
      <c r="C731" t="s">
        <v>31</v>
      </c>
      <c r="D731" t="s">
        <v>39</v>
      </c>
      <c r="E731">
        <v>8</v>
      </c>
      <c r="F731">
        <v>168.8</v>
      </c>
      <c r="G731">
        <v>97.6</v>
      </c>
      <c r="H731">
        <v>5.9</v>
      </c>
      <c r="I731">
        <v>10</v>
      </c>
      <c r="J731">
        <v>8.83</v>
      </c>
      <c r="K731">
        <v>8.73</v>
      </c>
      <c r="L731">
        <v>0</v>
      </c>
      <c r="M731" t="s">
        <v>25</v>
      </c>
      <c r="N731" t="s">
        <v>21</v>
      </c>
      <c r="O731">
        <v>11.23</v>
      </c>
      <c r="P731" t="s">
        <v>42</v>
      </c>
    </row>
    <row r="732" spans="1:16" x14ac:dyDescent="0.3">
      <c r="A732" t="s">
        <v>105</v>
      </c>
      <c r="B732" t="s">
        <v>43</v>
      </c>
      <c r="C732" t="s">
        <v>41</v>
      </c>
      <c r="D732" t="s">
        <v>29</v>
      </c>
      <c r="E732">
        <v>2</v>
      </c>
      <c r="F732">
        <v>156.9</v>
      </c>
      <c r="G732">
        <v>99.6</v>
      </c>
      <c r="H732">
        <v>4.5</v>
      </c>
      <c r="I732">
        <v>5</v>
      </c>
      <c r="J732">
        <v>9.27</v>
      </c>
      <c r="K732">
        <v>7.33</v>
      </c>
      <c r="L732">
        <v>0</v>
      </c>
      <c r="M732" t="s">
        <v>34</v>
      </c>
      <c r="N732" t="s">
        <v>21</v>
      </c>
      <c r="O732">
        <v>9.4499999999999993</v>
      </c>
      <c r="P732" t="s">
        <v>44</v>
      </c>
    </row>
    <row r="733" spans="1:16" x14ac:dyDescent="0.3">
      <c r="A733" t="s">
        <v>105</v>
      </c>
      <c r="B733" t="s">
        <v>33</v>
      </c>
      <c r="C733" t="s">
        <v>37</v>
      </c>
      <c r="D733" t="s">
        <v>29</v>
      </c>
      <c r="E733">
        <v>7</v>
      </c>
      <c r="F733">
        <v>152</v>
      </c>
      <c r="G733">
        <v>92.2</v>
      </c>
      <c r="H733">
        <v>4.2</v>
      </c>
      <c r="I733">
        <v>6</v>
      </c>
      <c r="J733">
        <v>8.61</v>
      </c>
      <c r="K733">
        <v>6.75</v>
      </c>
      <c r="L733">
        <v>1</v>
      </c>
      <c r="M733" t="s">
        <v>20</v>
      </c>
      <c r="N733" t="s">
        <v>26</v>
      </c>
      <c r="O733">
        <v>17.22</v>
      </c>
      <c r="P733" t="s">
        <v>45</v>
      </c>
    </row>
    <row r="734" spans="1:16" x14ac:dyDescent="0.3">
      <c r="A734" t="s">
        <v>106</v>
      </c>
      <c r="B734" t="s">
        <v>43</v>
      </c>
      <c r="C734" t="s">
        <v>37</v>
      </c>
      <c r="D734" t="s">
        <v>19</v>
      </c>
      <c r="E734">
        <v>5</v>
      </c>
      <c r="F734">
        <v>157</v>
      </c>
      <c r="G734">
        <v>96.1</v>
      </c>
      <c r="H734">
        <v>5.9</v>
      </c>
      <c r="I734">
        <v>7</v>
      </c>
      <c r="J734">
        <v>7.02</v>
      </c>
      <c r="K734">
        <v>5.77</v>
      </c>
      <c r="L734">
        <v>0</v>
      </c>
      <c r="M734" t="s">
        <v>34</v>
      </c>
      <c r="N734" t="s">
        <v>21</v>
      </c>
      <c r="O734">
        <v>18.38</v>
      </c>
      <c r="P734" t="s">
        <v>22</v>
      </c>
    </row>
    <row r="735" spans="1:16" x14ac:dyDescent="0.3">
      <c r="A735" t="s">
        <v>106</v>
      </c>
      <c r="B735" t="s">
        <v>43</v>
      </c>
      <c r="C735" t="s">
        <v>18</v>
      </c>
      <c r="D735" t="s">
        <v>29</v>
      </c>
      <c r="E735">
        <v>2</v>
      </c>
      <c r="F735">
        <v>143.30000000000001</v>
      </c>
      <c r="G735">
        <v>100</v>
      </c>
      <c r="H735">
        <v>5</v>
      </c>
      <c r="I735">
        <v>8</v>
      </c>
      <c r="J735">
        <v>4.5599999999999996</v>
      </c>
      <c r="K735">
        <v>4.0199999999999996</v>
      </c>
      <c r="L735">
        <v>1</v>
      </c>
      <c r="M735" t="s">
        <v>34</v>
      </c>
      <c r="N735" t="s">
        <v>21</v>
      </c>
      <c r="O735">
        <v>19.97</v>
      </c>
      <c r="P735" t="s">
        <v>22</v>
      </c>
    </row>
    <row r="736" spans="1:16" x14ac:dyDescent="0.3">
      <c r="A736" t="s">
        <v>106</v>
      </c>
      <c r="B736" t="s">
        <v>17</v>
      </c>
      <c r="C736" t="s">
        <v>37</v>
      </c>
      <c r="D736" t="s">
        <v>29</v>
      </c>
      <c r="E736">
        <v>3</v>
      </c>
      <c r="F736">
        <v>174.8</v>
      </c>
      <c r="G736">
        <v>98.5</v>
      </c>
      <c r="H736">
        <v>4.2</v>
      </c>
      <c r="I736">
        <v>8</v>
      </c>
      <c r="J736">
        <v>7.11</v>
      </c>
      <c r="K736">
        <v>4.21</v>
      </c>
      <c r="L736">
        <v>0</v>
      </c>
      <c r="M736" t="s">
        <v>25</v>
      </c>
      <c r="N736" t="s">
        <v>21</v>
      </c>
      <c r="O736">
        <v>15.54</v>
      </c>
      <c r="P736" t="s">
        <v>28</v>
      </c>
    </row>
    <row r="737" spans="1:16" x14ac:dyDescent="0.3">
      <c r="A737" t="s">
        <v>106</v>
      </c>
      <c r="B737" t="s">
        <v>43</v>
      </c>
      <c r="C737" t="s">
        <v>41</v>
      </c>
      <c r="D737" t="s">
        <v>39</v>
      </c>
      <c r="E737">
        <v>3</v>
      </c>
      <c r="F737">
        <v>165.8</v>
      </c>
      <c r="G737">
        <v>96</v>
      </c>
      <c r="H737">
        <v>1.3</v>
      </c>
      <c r="I737">
        <v>9</v>
      </c>
      <c r="J737">
        <v>6.32</v>
      </c>
      <c r="K737">
        <v>6.16</v>
      </c>
      <c r="L737">
        <v>1</v>
      </c>
      <c r="M737" t="s">
        <v>34</v>
      </c>
      <c r="N737" t="s">
        <v>26</v>
      </c>
      <c r="O737">
        <v>13.76</v>
      </c>
      <c r="P737" t="s">
        <v>28</v>
      </c>
    </row>
    <row r="738" spans="1:16" x14ac:dyDescent="0.3">
      <c r="A738" t="s">
        <v>106</v>
      </c>
      <c r="B738" t="s">
        <v>27</v>
      </c>
      <c r="C738" t="s">
        <v>31</v>
      </c>
      <c r="D738" t="s">
        <v>39</v>
      </c>
      <c r="E738">
        <v>10</v>
      </c>
      <c r="F738">
        <v>173.4</v>
      </c>
      <c r="G738">
        <v>100</v>
      </c>
      <c r="H738">
        <v>2.8</v>
      </c>
      <c r="I738">
        <v>3</v>
      </c>
      <c r="J738">
        <v>6.63</v>
      </c>
      <c r="K738">
        <v>8.69</v>
      </c>
      <c r="L738">
        <v>0</v>
      </c>
      <c r="M738" t="s">
        <v>34</v>
      </c>
      <c r="N738" t="s">
        <v>35</v>
      </c>
      <c r="O738">
        <v>9.41</v>
      </c>
      <c r="P738" t="s">
        <v>30</v>
      </c>
    </row>
    <row r="739" spans="1:16" x14ac:dyDescent="0.3">
      <c r="A739" t="s">
        <v>106</v>
      </c>
      <c r="B739" t="s">
        <v>17</v>
      </c>
      <c r="C739" t="s">
        <v>41</v>
      </c>
      <c r="D739" t="s">
        <v>19</v>
      </c>
      <c r="E739">
        <v>3</v>
      </c>
      <c r="F739">
        <v>148.1</v>
      </c>
      <c r="G739">
        <v>97.2</v>
      </c>
      <c r="H739">
        <v>5.4</v>
      </c>
      <c r="I739">
        <v>9</v>
      </c>
      <c r="J739">
        <v>7.27</v>
      </c>
      <c r="K739">
        <v>4.42</v>
      </c>
      <c r="L739">
        <v>0</v>
      </c>
      <c r="M739" t="s">
        <v>34</v>
      </c>
      <c r="N739" t="s">
        <v>21</v>
      </c>
      <c r="O739">
        <v>12.45</v>
      </c>
      <c r="P739" t="s">
        <v>32</v>
      </c>
    </row>
    <row r="740" spans="1:16" x14ac:dyDescent="0.3">
      <c r="A740" t="s">
        <v>106</v>
      </c>
      <c r="B740" t="s">
        <v>33</v>
      </c>
      <c r="C740" t="s">
        <v>18</v>
      </c>
      <c r="D740" t="s">
        <v>39</v>
      </c>
      <c r="E740">
        <v>4</v>
      </c>
      <c r="F740">
        <v>167.8</v>
      </c>
      <c r="G740">
        <v>92.2</v>
      </c>
      <c r="I740">
        <v>11</v>
      </c>
      <c r="J740">
        <v>7.31</v>
      </c>
      <c r="K740">
        <v>4.0599999999999996</v>
      </c>
      <c r="L740">
        <v>0</v>
      </c>
      <c r="M740" t="s">
        <v>25</v>
      </c>
      <c r="N740" t="s">
        <v>26</v>
      </c>
      <c r="O740">
        <v>17.77</v>
      </c>
      <c r="P740" t="s">
        <v>36</v>
      </c>
    </row>
    <row r="741" spans="1:16" x14ac:dyDescent="0.3">
      <c r="A741" t="s">
        <v>106</v>
      </c>
      <c r="B741" t="s">
        <v>23</v>
      </c>
      <c r="C741" t="s">
        <v>24</v>
      </c>
      <c r="D741" t="s">
        <v>19</v>
      </c>
      <c r="E741">
        <v>8</v>
      </c>
      <c r="F741">
        <v>164.6</v>
      </c>
      <c r="G741">
        <v>100</v>
      </c>
      <c r="H741">
        <v>5.4</v>
      </c>
      <c r="I741">
        <v>8</v>
      </c>
      <c r="J741">
        <v>6.18</v>
      </c>
      <c r="K741">
        <v>8.5299999999999994</v>
      </c>
      <c r="L741">
        <v>0</v>
      </c>
      <c r="M741" t="s">
        <v>20</v>
      </c>
      <c r="N741" t="s">
        <v>35</v>
      </c>
      <c r="O741">
        <v>14.05</v>
      </c>
      <c r="P741" t="s">
        <v>38</v>
      </c>
    </row>
    <row r="742" spans="1:16" x14ac:dyDescent="0.3">
      <c r="A742" t="s">
        <v>106</v>
      </c>
      <c r="B742" t="s">
        <v>27</v>
      </c>
      <c r="C742" t="s">
        <v>18</v>
      </c>
      <c r="D742" t="s">
        <v>39</v>
      </c>
      <c r="E742">
        <v>6</v>
      </c>
      <c r="F742">
        <v>143.9</v>
      </c>
      <c r="G742">
        <v>98.8</v>
      </c>
      <c r="I742">
        <v>8</v>
      </c>
      <c r="J742">
        <v>6.99</v>
      </c>
      <c r="K742">
        <v>4.2699999999999996</v>
      </c>
      <c r="L742">
        <v>1</v>
      </c>
      <c r="M742" t="s">
        <v>34</v>
      </c>
      <c r="N742" t="s">
        <v>35</v>
      </c>
      <c r="O742">
        <v>6.78</v>
      </c>
      <c r="P742" t="s">
        <v>40</v>
      </c>
    </row>
    <row r="743" spans="1:16" x14ac:dyDescent="0.3">
      <c r="A743" t="s">
        <v>106</v>
      </c>
      <c r="B743" t="s">
        <v>23</v>
      </c>
      <c r="C743" t="s">
        <v>18</v>
      </c>
      <c r="D743" t="s">
        <v>29</v>
      </c>
      <c r="E743">
        <v>8</v>
      </c>
      <c r="F743">
        <v>158.4</v>
      </c>
      <c r="G743">
        <v>95.3</v>
      </c>
      <c r="H743">
        <v>4.3</v>
      </c>
      <c r="I743">
        <v>5</v>
      </c>
      <c r="J743">
        <v>10</v>
      </c>
      <c r="K743">
        <v>9</v>
      </c>
      <c r="L743">
        <v>0</v>
      </c>
      <c r="M743" t="s">
        <v>25</v>
      </c>
      <c r="N743" t="s">
        <v>35</v>
      </c>
      <c r="O743">
        <v>19.48</v>
      </c>
      <c r="P743" t="s">
        <v>42</v>
      </c>
    </row>
    <row r="744" spans="1:16" x14ac:dyDescent="0.3">
      <c r="A744" t="s">
        <v>106</v>
      </c>
      <c r="B744" t="s">
        <v>17</v>
      </c>
      <c r="C744" t="s">
        <v>31</v>
      </c>
      <c r="D744" t="s">
        <v>19</v>
      </c>
      <c r="E744">
        <v>4</v>
      </c>
      <c r="F744">
        <v>154</v>
      </c>
      <c r="G744">
        <v>91.2</v>
      </c>
      <c r="H744">
        <v>4.9000000000000004</v>
      </c>
      <c r="I744">
        <v>14</v>
      </c>
      <c r="J744">
        <v>9.3000000000000007</v>
      </c>
      <c r="K744">
        <v>6.95</v>
      </c>
      <c r="L744">
        <v>0</v>
      </c>
      <c r="M744" t="s">
        <v>34</v>
      </c>
      <c r="N744" t="s">
        <v>21</v>
      </c>
      <c r="O744">
        <v>20.72</v>
      </c>
      <c r="P744" t="s">
        <v>44</v>
      </c>
    </row>
    <row r="745" spans="1:16" x14ac:dyDescent="0.3">
      <c r="A745" t="s">
        <v>106</v>
      </c>
      <c r="B745" t="s">
        <v>33</v>
      </c>
      <c r="C745" t="s">
        <v>24</v>
      </c>
      <c r="D745" t="s">
        <v>29</v>
      </c>
      <c r="E745">
        <v>10</v>
      </c>
      <c r="F745">
        <v>153.4</v>
      </c>
      <c r="G745">
        <v>96.5</v>
      </c>
      <c r="H745">
        <v>3.9</v>
      </c>
      <c r="I745">
        <v>5</v>
      </c>
      <c r="J745">
        <v>7.17</v>
      </c>
      <c r="K745">
        <v>7.2</v>
      </c>
      <c r="L745">
        <v>0</v>
      </c>
      <c r="M745" t="s">
        <v>25</v>
      </c>
      <c r="N745" t="s">
        <v>26</v>
      </c>
      <c r="O745">
        <v>9.57</v>
      </c>
      <c r="P745" t="s">
        <v>45</v>
      </c>
    </row>
    <row r="746" spans="1:16" x14ac:dyDescent="0.3">
      <c r="A746" t="s">
        <v>107</v>
      </c>
      <c r="B746" t="s">
        <v>23</v>
      </c>
      <c r="C746" t="s">
        <v>18</v>
      </c>
      <c r="D746" t="s">
        <v>29</v>
      </c>
      <c r="E746">
        <v>9</v>
      </c>
      <c r="F746">
        <v>154.69999999999999</v>
      </c>
      <c r="G746">
        <v>90.2</v>
      </c>
      <c r="H746">
        <v>8.1999999999999993</v>
      </c>
      <c r="I746">
        <v>4</v>
      </c>
      <c r="J746">
        <v>9.6300000000000008</v>
      </c>
      <c r="K746">
        <v>5.35</v>
      </c>
      <c r="L746">
        <v>1</v>
      </c>
      <c r="M746" t="s">
        <v>20</v>
      </c>
      <c r="N746" t="s">
        <v>35</v>
      </c>
      <c r="O746">
        <v>15.29</v>
      </c>
      <c r="P746" t="s">
        <v>22</v>
      </c>
    </row>
    <row r="747" spans="1:16" x14ac:dyDescent="0.3">
      <c r="A747" t="s">
        <v>107</v>
      </c>
      <c r="B747" t="s">
        <v>27</v>
      </c>
      <c r="C747" t="s">
        <v>41</v>
      </c>
      <c r="D747" t="s">
        <v>19</v>
      </c>
      <c r="E747">
        <v>8</v>
      </c>
      <c r="F747">
        <v>171.2</v>
      </c>
      <c r="G747">
        <v>98.4</v>
      </c>
      <c r="H747">
        <v>5.4</v>
      </c>
      <c r="I747">
        <v>9</v>
      </c>
      <c r="J747">
        <v>9.7799999999999994</v>
      </c>
      <c r="K747">
        <v>5.82</v>
      </c>
      <c r="L747">
        <v>0</v>
      </c>
      <c r="M747" t="s">
        <v>20</v>
      </c>
      <c r="N747" t="s">
        <v>21</v>
      </c>
      <c r="O747">
        <v>21.29</v>
      </c>
      <c r="P747" t="s">
        <v>22</v>
      </c>
    </row>
    <row r="748" spans="1:16" x14ac:dyDescent="0.3">
      <c r="A748" t="s">
        <v>107</v>
      </c>
      <c r="B748" t="s">
        <v>33</v>
      </c>
      <c r="C748" t="s">
        <v>24</v>
      </c>
      <c r="D748" t="s">
        <v>19</v>
      </c>
      <c r="E748">
        <v>2</v>
      </c>
      <c r="F748">
        <v>165.9</v>
      </c>
      <c r="G748">
        <v>100</v>
      </c>
      <c r="H748">
        <v>2.6</v>
      </c>
      <c r="I748">
        <v>4</v>
      </c>
      <c r="J748">
        <v>7.88</v>
      </c>
      <c r="K748">
        <v>7.88</v>
      </c>
      <c r="L748">
        <v>1</v>
      </c>
      <c r="M748" t="s">
        <v>20</v>
      </c>
      <c r="N748" t="s">
        <v>26</v>
      </c>
      <c r="O748">
        <v>19.41</v>
      </c>
      <c r="P748" t="s">
        <v>28</v>
      </c>
    </row>
    <row r="749" spans="1:16" x14ac:dyDescent="0.3">
      <c r="A749" t="s">
        <v>107</v>
      </c>
      <c r="B749" t="s">
        <v>17</v>
      </c>
      <c r="C749" t="s">
        <v>18</v>
      </c>
      <c r="D749" t="s">
        <v>39</v>
      </c>
      <c r="E749">
        <v>3</v>
      </c>
      <c r="F749">
        <v>167</v>
      </c>
      <c r="G749">
        <v>90.6</v>
      </c>
      <c r="H749">
        <v>5.9</v>
      </c>
      <c r="I749">
        <v>10</v>
      </c>
      <c r="J749">
        <v>5.49</v>
      </c>
      <c r="K749">
        <v>8.15</v>
      </c>
      <c r="L749">
        <v>0</v>
      </c>
      <c r="M749" t="s">
        <v>20</v>
      </c>
      <c r="N749" t="s">
        <v>35</v>
      </c>
      <c r="O749">
        <v>13.41</v>
      </c>
      <c r="P749" t="s">
        <v>28</v>
      </c>
    </row>
    <row r="750" spans="1:16" x14ac:dyDescent="0.3">
      <c r="A750" t="s">
        <v>107</v>
      </c>
      <c r="B750" t="s">
        <v>27</v>
      </c>
      <c r="C750" t="s">
        <v>18</v>
      </c>
      <c r="D750" t="s">
        <v>39</v>
      </c>
      <c r="E750">
        <v>6</v>
      </c>
      <c r="F750">
        <v>157.5</v>
      </c>
      <c r="G750">
        <v>97.2</v>
      </c>
      <c r="H750">
        <v>6.2</v>
      </c>
      <c r="I750">
        <v>7</v>
      </c>
      <c r="J750">
        <v>7.51</v>
      </c>
      <c r="K750">
        <v>4.43</v>
      </c>
      <c r="L750">
        <v>0</v>
      </c>
      <c r="M750" t="s">
        <v>34</v>
      </c>
      <c r="N750" t="s">
        <v>26</v>
      </c>
      <c r="O750">
        <v>12.18</v>
      </c>
      <c r="P750" t="s">
        <v>30</v>
      </c>
    </row>
    <row r="751" spans="1:16" x14ac:dyDescent="0.3">
      <c r="A751" t="s">
        <v>107</v>
      </c>
      <c r="B751" t="s">
        <v>17</v>
      </c>
      <c r="C751" t="s">
        <v>31</v>
      </c>
      <c r="D751" t="s">
        <v>39</v>
      </c>
      <c r="E751">
        <v>2</v>
      </c>
      <c r="F751">
        <v>164.5</v>
      </c>
      <c r="G751">
        <v>94.7</v>
      </c>
      <c r="H751">
        <v>5.5</v>
      </c>
      <c r="I751">
        <v>6</v>
      </c>
      <c r="J751">
        <v>5.9</v>
      </c>
      <c r="K751">
        <v>6.76</v>
      </c>
      <c r="L751">
        <v>0</v>
      </c>
      <c r="M751" t="s">
        <v>34</v>
      </c>
      <c r="N751" t="s">
        <v>35</v>
      </c>
      <c r="O751">
        <v>14.98</v>
      </c>
      <c r="P751" t="s">
        <v>32</v>
      </c>
    </row>
    <row r="752" spans="1:16" x14ac:dyDescent="0.3">
      <c r="A752" t="s">
        <v>107</v>
      </c>
      <c r="B752" t="s">
        <v>17</v>
      </c>
      <c r="C752" t="s">
        <v>31</v>
      </c>
      <c r="D752" t="s">
        <v>19</v>
      </c>
      <c r="E752">
        <v>8</v>
      </c>
      <c r="F752">
        <v>174.6</v>
      </c>
      <c r="G752">
        <v>95</v>
      </c>
      <c r="H752">
        <v>5.9</v>
      </c>
      <c r="I752">
        <v>7</v>
      </c>
      <c r="J752">
        <v>6.1</v>
      </c>
      <c r="K752">
        <v>8.11</v>
      </c>
      <c r="L752">
        <v>1</v>
      </c>
      <c r="M752" t="s">
        <v>25</v>
      </c>
      <c r="N752" t="s">
        <v>35</v>
      </c>
      <c r="O752">
        <v>8.56</v>
      </c>
      <c r="P752" t="s">
        <v>36</v>
      </c>
    </row>
    <row r="753" spans="1:16" x14ac:dyDescent="0.3">
      <c r="A753" t="s">
        <v>107</v>
      </c>
      <c r="B753" t="s">
        <v>23</v>
      </c>
      <c r="C753" t="s">
        <v>37</v>
      </c>
      <c r="D753" t="s">
        <v>29</v>
      </c>
      <c r="E753">
        <v>6</v>
      </c>
      <c r="F753">
        <v>165.9</v>
      </c>
      <c r="G753">
        <v>95.3</v>
      </c>
      <c r="H753">
        <v>0</v>
      </c>
      <c r="I753">
        <v>7</v>
      </c>
      <c r="J753">
        <v>7.38</v>
      </c>
      <c r="K753">
        <v>4.63</v>
      </c>
      <c r="L753">
        <v>1</v>
      </c>
      <c r="M753" t="s">
        <v>34</v>
      </c>
      <c r="N753" t="s">
        <v>26</v>
      </c>
      <c r="O753">
        <v>12.99</v>
      </c>
      <c r="P753" t="s">
        <v>38</v>
      </c>
    </row>
    <row r="754" spans="1:16" x14ac:dyDescent="0.3">
      <c r="A754" t="s">
        <v>107</v>
      </c>
      <c r="B754" t="s">
        <v>17</v>
      </c>
      <c r="C754" t="s">
        <v>24</v>
      </c>
      <c r="D754" t="s">
        <v>19</v>
      </c>
      <c r="E754">
        <v>9</v>
      </c>
      <c r="F754">
        <v>167.7</v>
      </c>
      <c r="G754">
        <v>92.5</v>
      </c>
      <c r="H754">
        <v>4.7</v>
      </c>
      <c r="I754">
        <v>6</v>
      </c>
      <c r="K754">
        <v>6.41</v>
      </c>
      <c r="L754">
        <v>0</v>
      </c>
      <c r="M754" t="s">
        <v>34</v>
      </c>
      <c r="N754" t="s">
        <v>21</v>
      </c>
      <c r="O754">
        <v>16.510000000000002</v>
      </c>
      <c r="P754" t="s">
        <v>40</v>
      </c>
    </row>
    <row r="755" spans="1:16" x14ac:dyDescent="0.3">
      <c r="A755" t="s">
        <v>107</v>
      </c>
      <c r="B755" t="s">
        <v>17</v>
      </c>
      <c r="C755" t="s">
        <v>18</v>
      </c>
      <c r="D755" t="s">
        <v>29</v>
      </c>
      <c r="E755">
        <v>6</v>
      </c>
      <c r="F755">
        <v>140.9</v>
      </c>
      <c r="G755">
        <v>100</v>
      </c>
      <c r="H755">
        <v>5.7</v>
      </c>
      <c r="I755">
        <v>5</v>
      </c>
      <c r="J755">
        <v>8.6300000000000008</v>
      </c>
      <c r="K755">
        <v>10</v>
      </c>
      <c r="L755">
        <v>0</v>
      </c>
      <c r="M755" t="s">
        <v>25</v>
      </c>
      <c r="N755" t="s">
        <v>35</v>
      </c>
      <c r="O755">
        <v>17.47</v>
      </c>
      <c r="P755" t="s">
        <v>42</v>
      </c>
    </row>
    <row r="756" spans="1:16" x14ac:dyDescent="0.3">
      <c r="A756" t="s">
        <v>107</v>
      </c>
      <c r="B756" t="s">
        <v>33</v>
      </c>
      <c r="C756" t="s">
        <v>31</v>
      </c>
      <c r="D756" t="s">
        <v>29</v>
      </c>
      <c r="E756">
        <v>2</v>
      </c>
      <c r="F756">
        <v>179.8</v>
      </c>
      <c r="G756">
        <v>100</v>
      </c>
      <c r="H756">
        <v>2.2000000000000002</v>
      </c>
      <c r="I756">
        <v>5</v>
      </c>
      <c r="J756">
        <v>8.98</v>
      </c>
      <c r="K756">
        <v>7.35</v>
      </c>
      <c r="L756">
        <v>0</v>
      </c>
      <c r="M756" t="s">
        <v>25</v>
      </c>
      <c r="N756" t="s">
        <v>21</v>
      </c>
      <c r="O756">
        <v>8.68</v>
      </c>
      <c r="P756" t="s">
        <v>44</v>
      </c>
    </row>
    <row r="757" spans="1:16" x14ac:dyDescent="0.3">
      <c r="A757" t="s">
        <v>107</v>
      </c>
      <c r="B757" t="s">
        <v>27</v>
      </c>
      <c r="C757" t="s">
        <v>31</v>
      </c>
      <c r="D757" t="s">
        <v>29</v>
      </c>
      <c r="E757">
        <v>2</v>
      </c>
      <c r="F757">
        <v>164.5</v>
      </c>
      <c r="G757">
        <v>98.7</v>
      </c>
      <c r="H757">
        <v>5.9</v>
      </c>
      <c r="I757">
        <v>10</v>
      </c>
      <c r="K757">
        <v>6.76</v>
      </c>
      <c r="L757">
        <v>0</v>
      </c>
      <c r="M757" t="s">
        <v>20</v>
      </c>
      <c r="N757" t="s">
        <v>21</v>
      </c>
      <c r="O757">
        <v>11.67</v>
      </c>
      <c r="P757" t="s">
        <v>45</v>
      </c>
    </row>
    <row r="758" spans="1:16" x14ac:dyDescent="0.3">
      <c r="A758" t="s">
        <v>108</v>
      </c>
      <c r="B758" t="s">
        <v>43</v>
      </c>
      <c r="C758" t="s">
        <v>37</v>
      </c>
      <c r="D758" t="s">
        <v>39</v>
      </c>
      <c r="E758">
        <v>4</v>
      </c>
      <c r="F758">
        <v>159.80000000000001</v>
      </c>
      <c r="G758">
        <v>98.1</v>
      </c>
      <c r="I758">
        <v>6</v>
      </c>
      <c r="J758">
        <v>6.7</v>
      </c>
      <c r="K758">
        <v>7.23</v>
      </c>
      <c r="L758">
        <v>1</v>
      </c>
      <c r="M758" t="s">
        <v>25</v>
      </c>
      <c r="N758" t="s">
        <v>26</v>
      </c>
      <c r="O758">
        <v>13.6</v>
      </c>
      <c r="P758" t="s">
        <v>22</v>
      </c>
    </row>
    <row r="759" spans="1:16" x14ac:dyDescent="0.3">
      <c r="A759" t="s">
        <v>108</v>
      </c>
      <c r="B759" t="s">
        <v>33</v>
      </c>
      <c r="C759" t="s">
        <v>18</v>
      </c>
      <c r="D759" t="s">
        <v>19</v>
      </c>
      <c r="E759">
        <v>2</v>
      </c>
      <c r="F759">
        <v>174.5</v>
      </c>
      <c r="G759">
        <v>94</v>
      </c>
      <c r="H759">
        <v>10</v>
      </c>
      <c r="I759">
        <v>11</v>
      </c>
      <c r="J759">
        <v>5.73</v>
      </c>
      <c r="K759">
        <v>3.56</v>
      </c>
      <c r="L759">
        <v>0</v>
      </c>
      <c r="M759" t="s">
        <v>34</v>
      </c>
      <c r="N759" t="s">
        <v>21</v>
      </c>
      <c r="O759">
        <v>19.48</v>
      </c>
      <c r="P759" t="s">
        <v>22</v>
      </c>
    </row>
    <row r="760" spans="1:16" x14ac:dyDescent="0.3">
      <c r="A760" t="s">
        <v>108</v>
      </c>
      <c r="B760" t="s">
        <v>23</v>
      </c>
      <c r="C760" t="s">
        <v>24</v>
      </c>
      <c r="D760" t="s">
        <v>19</v>
      </c>
      <c r="E760">
        <v>4</v>
      </c>
      <c r="F760">
        <v>145.5</v>
      </c>
      <c r="G760">
        <v>93.8</v>
      </c>
      <c r="H760">
        <v>5.8</v>
      </c>
      <c r="I760">
        <v>5</v>
      </c>
      <c r="J760">
        <v>7</v>
      </c>
      <c r="K760">
        <v>6.04</v>
      </c>
      <c r="L760">
        <v>0</v>
      </c>
      <c r="M760" t="s">
        <v>25</v>
      </c>
      <c r="N760" t="s">
        <v>35</v>
      </c>
      <c r="O760">
        <v>19.45</v>
      </c>
      <c r="P760" t="s">
        <v>28</v>
      </c>
    </row>
    <row r="761" spans="1:16" x14ac:dyDescent="0.3">
      <c r="A761" t="s">
        <v>108</v>
      </c>
      <c r="B761" t="s">
        <v>17</v>
      </c>
      <c r="C761" t="s">
        <v>31</v>
      </c>
      <c r="D761" t="s">
        <v>39</v>
      </c>
      <c r="E761">
        <v>2</v>
      </c>
      <c r="F761">
        <v>160.80000000000001</v>
      </c>
      <c r="G761">
        <v>94.3</v>
      </c>
      <c r="H761">
        <v>4</v>
      </c>
      <c r="I761">
        <v>4</v>
      </c>
      <c r="J761">
        <v>5.54</v>
      </c>
      <c r="K761">
        <v>5.28</v>
      </c>
      <c r="L761">
        <v>0</v>
      </c>
      <c r="M761" t="s">
        <v>20</v>
      </c>
      <c r="N761" t="s">
        <v>35</v>
      </c>
      <c r="O761">
        <v>10.43</v>
      </c>
      <c r="P761" t="s">
        <v>28</v>
      </c>
    </row>
    <row r="762" spans="1:16" x14ac:dyDescent="0.3">
      <c r="A762" t="s">
        <v>108</v>
      </c>
      <c r="B762" t="s">
        <v>17</v>
      </c>
      <c r="C762" t="s">
        <v>41</v>
      </c>
      <c r="D762" t="s">
        <v>39</v>
      </c>
      <c r="E762">
        <v>2</v>
      </c>
      <c r="F762">
        <v>169.2</v>
      </c>
      <c r="G762">
        <v>87.7</v>
      </c>
      <c r="H762">
        <v>5.0999999999999996</v>
      </c>
      <c r="I762">
        <v>8</v>
      </c>
      <c r="J762">
        <v>9.49</v>
      </c>
      <c r="K762">
        <v>6.65</v>
      </c>
      <c r="L762">
        <v>0</v>
      </c>
      <c r="M762" t="s">
        <v>25</v>
      </c>
      <c r="N762" t="s">
        <v>35</v>
      </c>
      <c r="O762">
        <v>9.64</v>
      </c>
      <c r="P762" t="s">
        <v>30</v>
      </c>
    </row>
    <row r="763" spans="1:16" x14ac:dyDescent="0.3">
      <c r="A763" t="s">
        <v>108</v>
      </c>
      <c r="B763" t="s">
        <v>23</v>
      </c>
      <c r="C763" t="s">
        <v>37</v>
      </c>
      <c r="D763" t="s">
        <v>19</v>
      </c>
      <c r="E763">
        <v>5</v>
      </c>
      <c r="F763">
        <v>160.6</v>
      </c>
      <c r="G763">
        <v>88.9</v>
      </c>
      <c r="H763">
        <v>4.4000000000000004</v>
      </c>
      <c r="I763">
        <v>7</v>
      </c>
      <c r="J763">
        <v>9.59</v>
      </c>
      <c r="K763">
        <v>7.09</v>
      </c>
      <c r="L763">
        <v>0</v>
      </c>
      <c r="M763" t="s">
        <v>20</v>
      </c>
      <c r="N763" t="s">
        <v>26</v>
      </c>
      <c r="O763">
        <v>12.26</v>
      </c>
      <c r="P763" t="s">
        <v>32</v>
      </c>
    </row>
    <row r="764" spans="1:16" x14ac:dyDescent="0.3">
      <c r="A764" t="s">
        <v>108</v>
      </c>
      <c r="B764" t="s">
        <v>27</v>
      </c>
      <c r="C764" t="s">
        <v>24</v>
      </c>
      <c r="D764" t="s">
        <v>39</v>
      </c>
      <c r="E764">
        <v>5</v>
      </c>
      <c r="F764">
        <v>148</v>
      </c>
      <c r="G764">
        <v>97.2</v>
      </c>
      <c r="H764">
        <v>6.1</v>
      </c>
      <c r="I764">
        <v>3</v>
      </c>
      <c r="J764">
        <v>5.86</v>
      </c>
      <c r="K764">
        <v>9.5</v>
      </c>
      <c r="L764">
        <v>0</v>
      </c>
      <c r="M764" t="s">
        <v>20</v>
      </c>
      <c r="N764" t="s">
        <v>26</v>
      </c>
      <c r="O764">
        <v>18.07</v>
      </c>
      <c r="P764" t="s">
        <v>36</v>
      </c>
    </row>
    <row r="765" spans="1:16" x14ac:dyDescent="0.3">
      <c r="A765" t="s">
        <v>108</v>
      </c>
      <c r="B765" t="s">
        <v>43</v>
      </c>
      <c r="C765" t="s">
        <v>24</v>
      </c>
      <c r="D765" t="s">
        <v>19</v>
      </c>
      <c r="E765">
        <v>4</v>
      </c>
      <c r="F765">
        <v>163.19999999999999</v>
      </c>
      <c r="G765">
        <v>98.8</v>
      </c>
      <c r="I765">
        <v>5</v>
      </c>
      <c r="J765">
        <v>9.61</v>
      </c>
      <c r="K765">
        <v>5.89</v>
      </c>
      <c r="L765">
        <v>0</v>
      </c>
      <c r="M765" t="s">
        <v>34</v>
      </c>
      <c r="N765" t="s">
        <v>21</v>
      </c>
      <c r="O765">
        <v>22.11</v>
      </c>
      <c r="P765" t="s">
        <v>38</v>
      </c>
    </row>
    <row r="766" spans="1:16" x14ac:dyDescent="0.3">
      <c r="A766" t="s">
        <v>108</v>
      </c>
      <c r="B766" t="s">
        <v>23</v>
      </c>
      <c r="C766" t="s">
        <v>18</v>
      </c>
      <c r="D766" t="s">
        <v>39</v>
      </c>
      <c r="E766">
        <v>4</v>
      </c>
      <c r="F766">
        <v>166.4</v>
      </c>
      <c r="G766">
        <v>100</v>
      </c>
      <c r="H766">
        <v>7.1</v>
      </c>
      <c r="I766">
        <v>9</v>
      </c>
      <c r="J766">
        <v>9.6199999999999992</v>
      </c>
      <c r="K766">
        <v>4.9400000000000004</v>
      </c>
      <c r="L766">
        <v>2</v>
      </c>
      <c r="M766" t="s">
        <v>25</v>
      </c>
      <c r="N766" t="s">
        <v>21</v>
      </c>
      <c r="O766">
        <v>16.03</v>
      </c>
      <c r="P766" t="s">
        <v>40</v>
      </c>
    </row>
    <row r="767" spans="1:16" x14ac:dyDescent="0.3">
      <c r="A767" t="s">
        <v>108</v>
      </c>
      <c r="B767" t="s">
        <v>27</v>
      </c>
      <c r="C767" t="s">
        <v>37</v>
      </c>
      <c r="D767" t="s">
        <v>19</v>
      </c>
      <c r="E767">
        <v>1</v>
      </c>
      <c r="F767">
        <v>140.30000000000001</v>
      </c>
      <c r="G767">
        <v>94.7</v>
      </c>
      <c r="H767">
        <v>2.5</v>
      </c>
      <c r="I767">
        <v>3</v>
      </c>
      <c r="J767">
        <v>7.52</v>
      </c>
      <c r="K767">
        <v>9.15</v>
      </c>
      <c r="L767">
        <v>1</v>
      </c>
      <c r="M767" t="s">
        <v>34</v>
      </c>
      <c r="N767" t="s">
        <v>21</v>
      </c>
      <c r="O767">
        <v>11.01</v>
      </c>
      <c r="P767" t="s">
        <v>42</v>
      </c>
    </row>
    <row r="768" spans="1:16" x14ac:dyDescent="0.3">
      <c r="A768" t="s">
        <v>108</v>
      </c>
      <c r="B768" t="s">
        <v>33</v>
      </c>
      <c r="C768" t="s">
        <v>18</v>
      </c>
      <c r="D768" t="s">
        <v>19</v>
      </c>
      <c r="E768">
        <v>3</v>
      </c>
      <c r="F768">
        <v>151.69999999999999</v>
      </c>
      <c r="G768">
        <v>91.6</v>
      </c>
      <c r="H768">
        <v>6.3</v>
      </c>
      <c r="I768">
        <v>4</v>
      </c>
      <c r="J768">
        <v>8.0399999999999991</v>
      </c>
      <c r="K768">
        <v>5.87</v>
      </c>
      <c r="L768">
        <v>0</v>
      </c>
      <c r="M768" t="s">
        <v>20</v>
      </c>
      <c r="N768" t="s">
        <v>26</v>
      </c>
      <c r="O768">
        <v>21.83</v>
      </c>
      <c r="P768" t="s">
        <v>44</v>
      </c>
    </row>
    <row r="769" spans="1:16" x14ac:dyDescent="0.3">
      <c r="A769" t="s">
        <v>108</v>
      </c>
      <c r="B769" t="s">
        <v>33</v>
      </c>
      <c r="C769" t="s">
        <v>18</v>
      </c>
      <c r="D769" t="s">
        <v>29</v>
      </c>
      <c r="E769">
        <v>1</v>
      </c>
      <c r="F769">
        <v>158.1</v>
      </c>
      <c r="G769">
        <v>86.1</v>
      </c>
      <c r="H769">
        <v>0.3</v>
      </c>
      <c r="I769">
        <v>7</v>
      </c>
      <c r="J769">
        <v>6.58</v>
      </c>
      <c r="K769">
        <v>5.22</v>
      </c>
      <c r="L769">
        <v>1</v>
      </c>
      <c r="M769" t="s">
        <v>34</v>
      </c>
      <c r="N769" t="s">
        <v>21</v>
      </c>
      <c r="O769">
        <v>7.06</v>
      </c>
      <c r="P769" t="s">
        <v>45</v>
      </c>
    </row>
    <row r="770" spans="1:16" x14ac:dyDescent="0.3">
      <c r="A770" t="s">
        <v>109</v>
      </c>
      <c r="B770" t="s">
        <v>43</v>
      </c>
      <c r="C770" t="s">
        <v>31</v>
      </c>
      <c r="D770" t="s">
        <v>29</v>
      </c>
      <c r="E770">
        <v>8</v>
      </c>
      <c r="F770">
        <v>163.9</v>
      </c>
      <c r="G770">
        <v>89.8</v>
      </c>
      <c r="H770">
        <v>6.3</v>
      </c>
      <c r="I770">
        <v>7</v>
      </c>
      <c r="J770">
        <v>8.14</v>
      </c>
      <c r="K770">
        <v>6.03</v>
      </c>
      <c r="L770">
        <v>0</v>
      </c>
      <c r="M770" t="s">
        <v>25</v>
      </c>
      <c r="N770" t="s">
        <v>26</v>
      </c>
      <c r="O770">
        <v>13.49</v>
      </c>
      <c r="P770" t="s">
        <v>22</v>
      </c>
    </row>
    <row r="771" spans="1:16" x14ac:dyDescent="0.3">
      <c r="A771" t="s">
        <v>109</v>
      </c>
      <c r="B771" t="s">
        <v>33</v>
      </c>
      <c r="C771" t="s">
        <v>18</v>
      </c>
      <c r="D771" t="s">
        <v>29</v>
      </c>
      <c r="E771">
        <v>4</v>
      </c>
      <c r="F771">
        <v>163.4</v>
      </c>
      <c r="G771">
        <v>93.4</v>
      </c>
      <c r="H771">
        <v>7</v>
      </c>
      <c r="I771">
        <v>4</v>
      </c>
      <c r="J771">
        <v>6</v>
      </c>
      <c r="K771">
        <v>8.56</v>
      </c>
      <c r="L771">
        <v>0</v>
      </c>
      <c r="M771" t="s">
        <v>25</v>
      </c>
      <c r="N771" t="s">
        <v>26</v>
      </c>
      <c r="O771">
        <v>7.73</v>
      </c>
      <c r="P771" t="s">
        <v>22</v>
      </c>
    </row>
    <row r="772" spans="1:16" x14ac:dyDescent="0.3">
      <c r="A772" t="s">
        <v>109</v>
      </c>
      <c r="B772" t="s">
        <v>43</v>
      </c>
      <c r="C772" t="s">
        <v>37</v>
      </c>
      <c r="D772" t="s">
        <v>39</v>
      </c>
      <c r="E772">
        <v>8</v>
      </c>
      <c r="F772">
        <v>152.9</v>
      </c>
      <c r="G772">
        <v>95.7</v>
      </c>
      <c r="H772">
        <v>1.7</v>
      </c>
      <c r="I772">
        <v>8</v>
      </c>
      <c r="J772">
        <v>7.55</v>
      </c>
      <c r="K772">
        <v>3.98</v>
      </c>
      <c r="L772">
        <v>0</v>
      </c>
      <c r="M772" t="s">
        <v>34</v>
      </c>
      <c r="N772" t="s">
        <v>21</v>
      </c>
      <c r="O772">
        <v>13.03</v>
      </c>
      <c r="P772" t="s">
        <v>28</v>
      </c>
    </row>
    <row r="773" spans="1:16" x14ac:dyDescent="0.3">
      <c r="A773" t="s">
        <v>109</v>
      </c>
      <c r="B773" t="s">
        <v>27</v>
      </c>
      <c r="C773" t="s">
        <v>18</v>
      </c>
      <c r="D773" t="s">
        <v>19</v>
      </c>
      <c r="E773">
        <v>6</v>
      </c>
      <c r="F773">
        <v>169.8</v>
      </c>
      <c r="G773">
        <v>93.4</v>
      </c>
      <c r="H773">
        <v>7.5</v>
      </c>
      <c r="I773">
        <v>4</v>
      </c>
      <c r="J773">
        <v>8.8699999999999992</v>
      </c>
      <c r="K773">
        <v>8.9499999999999993</v>
      </c>
      <c r="L773">
        <v>0</v>
      </c>
      <c r="M773" t="s">
        <v>25</v>
      </c>
      <c r="N773" t="s">
        <v>26</v>
      </c>
      <c r="O773">
        <v>13.11</v>
      </c>
      <c r="P773" t="s">
        <v>28</v>
      </c>
    </row>
    <row r="774" spans="1:16" x14ac:dyDescent="0.3">
      <c r="A774" t="s">
        <v>109</v>
      </c>
      <c r="B774" t="s">
        <v>43</v>
      </c>
      <c r="C774" t="s">
        <v>18</v>
      </c>
      <c r="D774" t="s">
        <v>19</v>
      </c>
      <c r="E774">
        <v>1</v>
      </c>
      <c r="F774">
        <v>162.19999999999999</v>
      </c>
      <c r="G774">
        <v>98.3</v>
      </c>
      <c r="H774">
        <v>6</v>
      </c>
      <c r="I774">
        <v>10</v>
      </c>
      <c r="J774">
        <v>6.09</v>
      </c>
      <c r="K774">
        <v>3.59</v>
      </c>
      <c r="L774">
        <v>1</v>
      </c>
      <c r="M774" t="s">
        <v>34</v>
      </c>
      <c r="N774" t="s">
        <v>21</v>
      </c>
      <c r="O774">
        <v>13.52</v>
      </c>
      <c r="P774" t="s">
        <v>30</v>
      </c>
    </row>
    <row r="775" spans="1:16" x14ac:dyDescent="0.3">
      <c r="A775" t="s">
        <v>109</v>
      </c>
      <c r="B775" t="s">
        <v>43</v>
      </c>
      <c r="C775" t="s">
        <v>24</v>
      </c>
      <c r="D775" t="s">
        <v>29</v>
      </c>
      <c r="E775">
        <v>10</v>
      </c>
      <c r="F775">
        <v>166</v>
      </c>
      <c r="G775">
        <v>92</v>
      </c>
      <c r="H775">
        <v>4.7</v>
      </c>
      <c r="I775">
        <v>5</v>
      </c>
      <c r="J775">
        <v>10</v>
      </c>
      <c r="K775">
        <v>5.3</v>
      </c>
      <c r="L775">
        <v>1</v>
      </c>
      <c r="M775" t="s">
        <v>20</v>
      </c>
      <c r="N775" t="s">
        <v>35</v>
      </c>
      <c r="O775">
        <v>13.71</v>
      </c>
      <c r="P775" t="s">
        <v>32</v>
      </c>
    </row>
    <row r="776" spans="1:16" x14ac:dyDescent="0.3">
      <c r="A776" t="s">
        <v>109</v>
      </c>
      <c r="B776" t="s">
        <v>33</v>
      </c>
      <c r="C776" t="s">
        <v>31</v>
      </c>
      <c r="D776" t="s">
        <v>19</v>
      </c>
      <c r="E776">
        <v>9</v>
      </c>
      <c r="F776">
        <v>160.1</v>
      </c>
      <c r="G776">
        <v>92.4</v>
      </c>
      <c r="H776">
        <v>3.8</v>
      </c>
      <c r="I776">
        <v>5</v>
      </c>
      <c r="J776">
        <v>8.0299999999999994</v>
      </c>
      <c r="K776">
        <v>10</v>
      </c>
      <c r="L776">
        <v>1</v>
      </c>
      <c r="M776" t="s">
        <v>34</v>
      </c>
      <c r="N776" t="s">
        <v>35</v>
      </c>
      <c r="O776">
        <v>16.21</v>
      </c>
      <c r="P776" t="s">
        <v>36</v>
      </c>
    </row>
    <row r="777" spans="1:16" x14ac:dyDescent="0.3">
      <c r="A777" t="s">
        <v>109</v>
      </c>
      <c r="B777" t="s">
        <v>33</v>
      </c>
      <c r="C777" t="s">
        <v>31</v>
      </c>
      <c r="D777" t="s">
        <v>39</v>
      </c>
      <c r="E777">
        <v>5</v>
      </c>
      <c r="F777">
        <v>168</v>
      </c>
      <c r="G777">
        <v>100</v>
      </c>
      <c r="H777">
        <v>4.2</v>
      </c>
      <c r="I777">
        <v>5</v>
      </c>
      <c r="J777">
        <v>10</v>
      </c>
      <c r="K777">
        <v>6.42</v>
      </c>
      <c r="L777">
        <v>0</v>
      </c>
      <c r="M777" t="s">
        <v>25</v>
      </c>
      <c r="N777" t="s">
        <v>21</v>
      </c>
      <c r="O777">
        <v>13.74</v>
      </c>
      <c r="P777" t="s">
        <v>38</v>
      </c>
    </row>
    <row r="778" spans="1:16" x14ac:dyDescent="0.3">
      <c r="A778" t="s">
        <v>109</v>
      </c>
      <c r="B778" t="s">
        <v>23</v>
      </c>
      <c r="C778" t="s">
        <v>24</v>
      </c>
      <c r="D778" t="s">
        <v>19</v>
      </c>
      <c r="E778">
        <v>4</v>
      </c>
      <c r="F778">
        <v>166.4</v>
      </c>
      <c r="G778">
        <v>99.2</v>
      </c>
      <c r="H778">
        <v>6.3</v>
      </c>
      <c r="I778">
        <v>8</v>
      </c>
      <c r="K778">
        <v>5.25</v>
      </c>
      <c r="L778">
        <v>1</v>
      </c>
      <c r="M778" t="s">
        <v>25</v>
      </c>
      <c r="N778" t="s">
        <v>21</v>
      </c>
      <c r="O778">
        <v>12.04</v>
      </c>
      <c r="P778" t="s">
        <v>40</v>
      </c>
    </row>
    <row r="779" spans="1:16" x14ac:dyDescent="0.3">
      <c r="A779" t="s">
        <v>109</v>
      </c>
      <c r="B779" t="s">
        <v>17</v>
      </c>
      <c r="C779" t="s">
        <v>24</v>
      </c>
      <c r="D779" t="s">
        <v>39</v>
      </c>
      <c r="E779">
        <v>1</v>
      </c>
      <c r="F779">
        <v>148.30000000000001</v>
      </c>
      <c r="G779">
        <v>97</v>
      </c>
      <c r="H779">
        <v>3.8</v>
      </c>
      <c r="I779">
        <v>7</v>
      </c>
      <c r="J779">
        <v>4.1100000000000003</v>
      </c>
      <c r="K779">
        <v>7.56</v>
      </c>
      <c r="L779">
        <v>1</v>
      </c>
      <c r="M779" t="s">
        <v>20</v>
      </c>
      <c r="N779" t="s">
        <v>35</v>
      </c>
      <c r="O779">
        <v>5.16</v>
      </c>
      <c r="P779" t="s">
        <v>42</v>
      </c>
    </row>
    <row r="780" spans="1:16" x14ac:dyDescent="0.3">
      <c r="A780" t="s">
        <v>109</v>
      </c>
      <c r="B780" t="s">
        <v>43</v>
      </c>
      <c r="C780" t="s">
        <v>18</v>
      </c>
      <c r="D780" t="s">
        <v>19</v>
      </c>
      <c r="E780">
        <v>3</v>
      </c>
      <c r="F780">
        <v>153.69999999999999</v>
      </c>
      <c r="G780">
        <v>100</v>
      </c>
      <c r="H780">
        <v>5.4</v>
      </c>
      <c r="I780">
        <v>6</v>
      </c>
      <c r="K780">
        <v>4</v>
      </c>
      <c r="L780">
        <v>0</v>
      </c>
      <c r="M780" t="s">
        <v>20</v>
      </c>
      <c r="N780" t="s">
        <v>21</v>
      </c>
      <c r="O780">
        <v>6.9</v>
      </c>
      <c r="P780" t="s">
        <v>44</v>
      </c>
    </row>
    <row r="781" spans="1:16" x14ac:dyDescent="0.3">
      <c r="A781" t="s">
        <v>109</v>
      </c>
      <c r="B781" t="s">
        <v>43</v>
      </c>
      <c r="C781" t="s">
        <v>37</v>
      </c>
      <c r="D781" t="s">
        <v>39</v>
      </c>
      <c r="E781">
        <v>1</v>
      </c>
      <c r="F781">
        <v>161.5</v>
      </c>
      <c r="G781">
        <v>93.3</v>
      </c>
      <c r="H781">
        <v>3.9</v>
      </c>
      <c r="I781">
        <v>6</v>
      </c>
      <c r="J781">
        <v>8.49</v>
      </c>
      <c r="K781">
        <v>7.95</v>
      </c>
      <c r="L781">
        <v>0</v>
      </c>
      <c r="M781" t="s">
        <v>20</v>
      </c>
      <c r="N781" t="s">
        <v>21</v>
      </c>
      <c r="O781">
        <v>0</v>
      </c>
      <c r="P781" t="s">
        <v>45</v>
      </c>
    </row>
    <row r="782" spans="1:16" x14ac:dyDescent="0.3">
      <c r="A782" t="s">
        <v>110</v>
      </c>
      <c r="B782" t="s">
        <v>17</v>
      </c>
      <c r="C782" t="s">
        <v>24</v>
      </c>
      <c r="D782" t="s">
        <v>19</v>
      </c>
      <c r="E782">
        <v>7</v>
      </c>
      <c r="F782">
        <v>153.1</v>
      </c>
      <c r="G782">
        <v>90.3</v>
      </c>
      <c r="H782">
        <v>3.3</v>
      </c>
      <c r="I782">
        <v>5</v>
      </c>
      <c r="J782">
        <v>6.83</v>
      </c>
      <c r="K782">
        <v>10</v>
      </c>
      <c r="L782">
        <v>0</v>
      </c>
      <c r="M782" t="s">
        <v>20</v>
      </c>
      <c r="N782" t="s">
        <v>26</v>
      </c>
      <c r="O782">
        <v>2.89</v>
      </c>
      <c r="P782" t="s">
        <v>22</v>
      </c>
    </row>
    <row r="783" spans="1:16" x14ac:dyDescent="0.3">
      <c r="A783" t="s">
        <v>110</v>
      </c>
      <c r="B783" t="s">
        <v>27</v>
      </c>
      <c r="C783" t="s">
        <v>18</v>
      </c>
      <c r="D783" t="s">
        <v>29</v>
      </c>
      <c r="E783">
        <v>2</v>
      </c>
      <c r="F783">
        <v>159.5</v>
      </c>
      <c r="G783">
        <v>97.8</v>
      </c>
      <c r="H783">
        <v>1.8</v>
      </c>
      <c r="I783">
        <v>11</v>
      </c>
      <c r="J783">
        <v>7.71</v>
      </c>
      <c r="K783">
        <v>4.4000000000000004</v>
      </c>
      <c r="L783">
        <v>0</v>
      </c>
      <c r="M783" t="s">
        <v>20</v>
      </c>
      <c r="N783" t="s">
        <v>21</v>
      </c>
      <c r="O783">
        <v>7.86</v>
      </c>
      <c r="P783" t="s">
        <v>22</v>
      </c>
    </row>
    <row r="784" spans="1:16" x14ac:dyDescent="0.3">
      <c r="A784" t="s">
        <v>110</v>
      </c>
      <c r="B784" t="s">
        <v>17</v>
      </c>
      <c r="C784" t="s">
        <v>24</v>
      </c>
      <c r="D784" t="s">
        <v>39</v>
      </c>
      <c r="E784">
        <v>7</v>
      </c>
      <c r="F784">
        <v>154.19999999999999</v>
      </c>
      <c r="G784">
        <v>100</v>
      </c>
      <c r="H784">
        <v>3.7</v>
      </c>
      <c r="I784">
        <v>8</v>
      </c>
      <c r="J784">
        <v>5.82</v>
      </c>
      <c r="K784">
        <v>8.2799999999999994</v>
      </c>
      <c r="L784">
        <v>0</v>
      </c>
      <c r="M784" t="s">
        <v>20</v>
      </c>
      <c r="N784" t="s">
        <v>26</v>
      </c>
      <c r="O784">
        <v>16.22</v>
      </c>
      <c r="P784" t="s">
        <v>28</v>
      </c>
    </row>
    <row r="785" spans="1:16" x14ac:dyDescent="0.3">
      <c r="A785" t="s">
        <v>110</v>
      </c>
      <c r="B785" t="s">
        <v>17</v>
      </c>
      <c r="C785" t="s">
        <v>37</v>
      </c>
      <c r="D785" t="s">
        <v>39</v>
      </c>
      <c r="E785">
        <v>10</v>
      </c>
      <c r="F785">
        <v>160.30000000000001</v>
      </c>
      <c r="G785">
        <v>97.6</v>
      </c>
      <c r="H785">
        <v>6.8</v>
      </c>
      <c r="I785">
        <v>7</v>
      </c>
      <c r="J785">
        <v>7.67</v>
      </c>
      <c r="K785">
        <v>6.28</v>
      </c>
      <c r="L785">
        <v>1</v>
      </c>
      <c r="M785" t="s">
        <v>25</v>
      </c>
      <c r="N785" t="s">
        <v>21</v>
      </c>
      <c r="O785">
        <v>13.44</v>
      </c>
      <c r="P785" t="s">
        <v>28</v>
      </c>
    </row>
    <row r="786" spans="1:16" x14ac:dyDescent="0.3">
      <c r="A786" t="s">
        <v>110</v>
      </c>
      <c r="B786" t="s">
        <v>43</v>
      </c>
      <c r="C786" t="s">
        <v>31</v>
      </c>
      <c r="D786" t="s">
        <v>19</v>
      </c>
      <c r="E786">
        <v>3</v>
      </c>
      <c r="F786">
        <v>161.4</v>
      </c>
      <c r="G786">
        <v>90.5</v>
      </c>
      <c r="H786">
        <v>8.1999999999999993</v>
      </c>
      <c r="I786">
        <v>7</v>
      </c>
      <c r="J786">
        <v>6.5</v>
      </c>
      <c r="K786">
        <v>6.48</v>
      </c>
      <c r="L786">
        <v>1</v>
      </c>
      <c r="M786" t="s">
        <v>34</v>
      </c>
      <c r="N786" t="s">
        <v>26</v>
      </c>
      <c r="O786">
        <v>15.84</v>
      </c>
      <c r="P786" t="s">
        <v>30</v>
      </c>
    </row>
    <row r="787" spans="1:16" x14ac:dyDescent="0.3">
      <c r="A787" t="s">
        <v>110</v>
      </c>
      <c r="B787" t="s">
        <v>23</v>
      </c>
      <c r="C787" t="s">
        <v>18</v>
      </c>
      <c r="D787" t="s">
        <v>39</v>
      </c>
      <c r="E787">
        <v>10</v>
      </c>
      <c r="F787">
        <v>165.5</v>
      </c>
      <c r="G787">
        <v>98</v>
      </c>
      <c r="H787">
        <v>5.3</v>
      </c>
      <c r="I787">
        <v>7</v>
      </c>
      <c r="J787">
        <v>8.9499999999999993</v>
      </c>
      <c r="K787">
        <v>9.19</v>
      </c>
      <c r="L787">
        <v>0</v>
      </c>
      <c r="M787" t="s">
        <v>25</v>
      </c>
      <c r="N787" t="s">
        <v>21</v>
      </c>
      <c r="O787">
        <v>15.04</v>
      </c>
      <c r="P787" t="s">
        <v>32</v>
      </c>
    </row>
    <row r="788" spans="1:16" x14ac:dyDescent="0.3">
      <c r="A788" t="s">
        <v>110</v>
      </c>
      <c r="B788" t="s">
        <v>17</v>
      </c>
      <c r="C788" t="s">
        <v>18</v>
      </c>
      <c r="D788" t="s">
        <v>29</v>
      </c>
      <c r="E788">
        <v>5</v>
      </c>
      <c r="F788">
        <v>158.9</v>
      </c>
      <c r="G788">
        <v>98.4</v>
      </c>
      <c r="H788">
        <v>3.3</v>
      </c>
      <c r="I788">
        <v>10</v>
      </c>
      <c r="J788">
        <v>4.49</v>
      </c>
      <c r="K788">
        <v>5.93</v>
      </c>
      <c r="L788">
        <v>0</v>
      </c>
      <c r="M788" t="s">
        <v>25</v>
      </c>
      <c r="N788" t="s">
        <v>21</v>
      </c>
      <c r="O788">
        <v>9.89</v>
      </c>
      <c r="P788" t="s">
        <v>36</v>
      </c>
    </row>
    <row r="789" spans="1:16" x14ac:dyDescent="0.3">
      <c r="A789" t="s">
        <v>110</v>
      </c>
      <c r="B789" t="s">
        <v>23</v>
      </c>
      <c r="C789" t="s">
        <v>31</v>
      </c>
      <c r="D789" t="s">
        <v>39</v>
      </c>
      <c r="E789">
        <v>9</v>
      </c>
      <c r="F789">
        <v>149.6</v>
      </c>
      <c r="G789">
        <v>98.2</v>
      </c>
      <c r="H789">
        <v>6.3</v>
      </c>
      <c r="I789">
        <v>3</v>
      </c>
      <c r="J789">
        <v>10</v>
      </c>
      <c r="K789">
        <v>5.89</v>
      </c>
      <c r="L789">
        <v>0</v>
      </c>
      <c r="M789" t="s">
        <v>34</v>
      </c>
      <c r="N789" t="s">
        <v>26</v>
      </c>
      <c r="O789">
        <v>4.63</v>
      </c>
      <c r="P789" t="s">
        <v>38</v>
      </c>
    </row>
    <row r="790" spans="1:16" x14ac:dyDescent="0.3">
      <c r="A790" t="s">
        <v>110</v>
      </c>
      <c r="B790" t="s">
        <v>17</v>
      </c>
      <c r="C790" t="s">
        <v>41</v>
      </c>
      <c r="D790" t="s">
        <v>19</v>
      </c>
      <c r="E790">
        <v>8</v>
      </c>
      <c r="F790">
        <v>165.1</v>
      </c>
      <c r="G790">
        <v>100</v>
      </c>
      <c r="H790">
        <v>0.2</v>
      </c>
      <c r="I790">
        <v>4</v>
      </c>
      <c r="J790">
        <v>10</v>
      </c>
      <c r="K790">
        <v>9.9499999999999993</v>
      </c>
      <c r="L790">
        <v>2</v>
      </c>
      <c r="M790" t="s">
        <v>20</v>
      </c>
      <c r="N790" t="s">
        <v>21</v>
      </c>
      <c r="O790">
        <v>23.96</v>
      </c>
      <c r="P790" t="s">
        <v>40</v>
      </c>
    </row>
    <row r="791" spans="1:16" x14ac:dyDescent="0.3">
      <c r="A791" t="s">
        <v>110</v>
      </c>
      <c r="B791" t="s">
        <v>17</v>
      </c>
      <c r="C791" t="s">
        <v>18</v>
      </c>
      <c r="D791" t="s">
        <v>29</v>
      </c>
      <c r="E791">
        <v>7</v>
      </c>
      <c r="F791">
        <v>160.19999999999999</v>
      </c>
      <c r="G791">
        <v>87</v>
      </c>
      <c r="H791">
        <v>4.4000000000000004</v>
      </c>
      <c r="I791">
        <v>3</v>
      </c>
      <c r="J791">
        <v>7.73</v>
      </c>
      <c r="K791">
        <v>5.19</v>
      </c>
      <c r="L791">
        <v>1</v>
      </c>
      <c r="M791" t="s">
        <v>34</v>
      </c>
      <c r="N791" t="s">
        <v>35</v>
      </c>
      <c r="O791">
        <v>12.15</v>
      </c>
      <c r="P791" t="s">
        <v>42</v>
      </c>
    </row>
    <row r="792" spans="1:16" x14ac:dyDescent="0.3">
      <c r="A792" t="s">
        <v>110</v>
      </c>
      <c r="B792" t="s">
        <v>23</v>
      </c>
      <c r="C792" t="s">
        <v>18</v>
      </c>
      <c r="D792" t="s">
        <v>39</v>
      </c>
      <c r="E792">
        <v>9</v>
      </c>
      <c r="F792">
        <v>157.80000000000001</v>
      </c>
      <c r="G792">
        <v>91.8</v>
      </c>
      <c r="H792">
        <v>7.1</v>
      </c>
      <c r="I792">
        <v>6</v>
      </c>
      <c r="J792">
        <v>6.44</v>
      </c>
      <c r="K792">
        <v>6.98</v>
      </c>
      <c r="L792">
        <v>0</v>
      </c>
      <c r="M792" t="s">
        <v>25</v>
      </c>
      <c r="N792" t="s">
        <v>21</v>
      </c>
      <c r="O792">
        <v>14.96</v>
      </c>
      <c r="P792" t="s">
        <v>44</v>
      </c>
    </row>
    <row r="793" spans="1:16" x14ac:dyDescent="0.3">
      <c r="A793" t="s">
        <v>110</v>
      </c>
      <c r="B793" t="s">
        <v>43</v>
      </c>
      <c r="C793" t="s">
        <v>18</v>
      </c>
      <c r="D793" t="s">
        <v>29</v>
      </c>
      <c r="E793">
        <v>2</v>
      </c>
      <c r="F793">
        <v>165.9</v>
      </c>
      <c r="G793">
        <v>97.7</v>
      </c>
      <c r="H793">
        <v>3.8</v>
      </c>
      <c r="I793">
        <v>8</v>
      </c>
      <c r="J793">
        <v>6.45</v>
      </c>
      <c r="K793">
        <v>9.2200000000000006</v>
      </c>
      <c r="L793">
        <v>2</v>
      </c>
      <c r="M793" t="s">
        <v>34</v>
      </c>
      <c r="N793" t="s">
        <v>35</v>
      </c>
      <c r="O793">
        <v>10.43</v>
      </c>
      <c r="P793" t="s">
        <v>45</v>
      </c>
    </row>
    <row r="794" spans="1:16" x14ac:dyDescent="0.3">
      <c r="A794" t="s">
        <v>111</v>
      </c>
      <c r="B794" t="s">
        <v>43</v>
      </c>
      <c r="C794" t="s">
        <v>31</v>
      </c>
      <c r="D794" t="s">
        <v>29</v>
      </c>
      <c r="E794">
        <v>6</v>
      </c>
      <c r="F794">
        <v>163.5</v>
      </c>
      <c r="G794">
        <v>94.7</v>
      </c>
      <c r="H794">
        <v>7.1</v>
      </c>
      <c r="I794">
        <v>3</v>
      </c>
      <c r="J794">
        <v>7.85</v>
      </c>
      <c r="K794">
        <v>5.83</v>
      </c>
      <c r="L794">
        <v>0</v>
      </c>
      <c r="M794" t="s">
        <v>20</v>
      </c>
      <c r="N794" t="s">
        <v>26</v>
      </c>
      <c r="O794">
        <v>9.3699999999999992</v>
      </c>
      <c r="P794" t="s">
        <v>22</v>
      </c>
    </row>
    <row r="795" spans="1:16" x14ac:dyDescent="0.3">
      <c r="A795" t="s">
        <v>111</v>
      </c>
      <c r="B795" t="s">
        <v>43</v>
      </c>
      <c r="C795" t="s">
        <v>24</v>
      </c>
      <c r="D795" t="s">
        <v>39</v>
      </c>
      <c r="E795">
        <v>1</v>
      </c>
      <c r="F795">
        <v>141.1</v>
      </c>
      <c r="G795">
        <v>93.8</v>
      </c>
      <c r="H795">
        <v>2.7</v>
      </c>
      <c r="I795">
        <v>8</v>
      </c>
      <c r="J795">
        <v>6.22</v>
      </c>
      <c r="K795">
        <v>6.48</v>
      </c>
      <c r="L795">
        <v>1</v>
      </c>
      <c r="M795" t="s">
        <v>25</v>
      </c>
      <c r="N795" t="s">
        <v>21</v>
      </c>
      <c r="O795">
        <v>14.46</v>
      </c>
      <c r="P795" t="s">
        <v>22</v>
      </c>
    </row>
    <row r="796" spans="1:16" x14ac:dyDescent="0.3">
      <c r="A796" t="s">
        <v>111</v>
      </c>
      <c r="B796" t="s">
        <v>33</v>
      </c>
      <c r="C796" t="s">
        <v>37</v>
      </c>
      <c r="D796" t="s">
        <v>39</v>
      </c>
      <c r="E796">
        <v>5</v>
      </c>
      <c r="F796">
        <v>158.5</v>
      </c>
      <c r="G796">
        <v>98.6</v>
      </c>
      <c r="H796">
        <v>5.2</v>
      </c>
      <c r="I796">
        <v>3</v>
      </c>
      <c r="J796">
        <v>6.72</v>
      </c>
      <c r="K796">
        <v>5.69</v>
      </c>
      <c r="L796">
        <v>0</v>
      </c>
      <c r="M796" t="s">
        <v>25</v>
      </c>
      <c r="N796" t="s">
        <v>21</v>
      </c>
      <c r="O796">
        <v>17.670000000000002</v>
      </c>
      <c r="P796" t="s">
        <v>28</v>
      </c>
    </row>
    <row r="797" spans="1:16" x14ac:dyDescent="0.3">
      <c r="A797" t="s">
        <v>111</v>
      </c>
      <c r="B797" t="s">
        <v>27</v>
      </c>
      <c r="C797" t="s">
        <v>41</v>
      </c>
      <c r="D797" t="s">
        <v>19</v>
      </c>
      <c r="E797">
        <v>9</v>
      </c>
      <c r="F797">
        <v>172.2</v>
      </c>
      <c r="G797">
        <v>86.7</v>
      </c>
      <c r="H797">
        <v>7.3</v>
      </c>
      <c r="I797">
        <v>12</v>
      </c>
      <c r="J797">
        <v>10</v>
      </c>
      <c r="K797">
        <v>6.88</v>
      </c>
      <c r="L797">
        <v>1</v>
      </c>
      <c r="M797" t="s">
        <v>25</v>
      </c>
      <c r="N797" t="s">
        <v>26</v>
      </c>
      <c r="O797">
        <v>8.35</v>
      </c>
      <c r="P797" t="s">
        <v>28</v>
      </c>
    </row>
    <row r="798" spans="1:16" x14ac:dyDescent="0.3">
      <c r="A798" t="s">
        <v>111</v>
      </c>
      <c r="B798" t="s">
        <v>33</v>
      </c>
      <c r="C798" t="s">
        <v>31</v>
      </c>
      <c r="D798" t="s">
        <v>39</v>
      </c>
      <c r="E798">
        <v>3</v>
      </c>
      <c r="F798">
        <v>162.4</v>
      </c>
      <c r="G798">
        <v>93.2</v>
      </c>
      <c r="H798">
        <v>1.9</v>
      </c>
      <c r="I798">
        <v>8</v>
      </c>
      <c r="J798">
        <v>8.49</v>
      </c>
      <c r="K798">
        <v>5.17</v>
      </c>
      <c r="L798">
        <v>1</v>
      </c>
      <c r="M798" t="s">
        <v>34</v>
      </c>
      <c r="N798" t="s">
        <v>35</v>
      </c>
      <c r="O798">
        <v>3.8</v>
      </c>
      <c r="P798" t="s">
        <v>30</v>
      </c>
    </row>
    <row r="799" spans="1:16" x14ac:dyDescent="0.3">
      <c r="A799" t="s">
        <v>111</v>
      </c>
      <c r="B799" t="s">
        <v>17</v>
      </c>
      <c r="C799" t="s">
        <v>18</v>
      </c>
      <c r="D799" t="s">
        <v>39</v>
      </c>
      <c r="E799">
        <v>5</v>
      </c>
      <c r="F799">
        <v>167.4</v>
      </c>
      <c r="G799">
        <v>99.8</v>
      </c>
      <c r="H799">
        <v>2.4</v>
      </c>
      <c r="I799">
        <v>5</v>
      </c>
      <c r="J799">
        <v>9.85</v>
      </c>
      <c r="K799">
        <v>10</v>
      </c>
      <c r="L799">
        <v>0</v>
      </c>
      <c r="M799" t="s">
        <v>20</v>
      </c>
      <c r="N799" t="s">
        <v>21</v>
      </c>
      <c r="O799">
        <v>6.75</v>
      </c>
      <c r="P799" t="s">
        <v>32</v>
      </c>
    </row>
    <row r="800" spans="1:16" x14ac:dyDescent="0.3">
      <c r="A800" t="s">
        <v>111</v>
      </c>
      <c r="B800" t="s">
        <v>43</v>
      </c>
      <c r="C800" t="s">
        <v>24</v>
      </c>
      <c r="D800" t="s">
        <v>19</v>
      </c>
      <c r="E800">
        <v>9</v>
      </c>
      <c r="F800">
        <v>165.6</v>
      </c>
      <c r="G800">
        <v>89.5</v>
      </c>
      <c r="H800">
        <v>5.9</v>
      </c>
      <c r="I800">
        <v>7</v>
      </c>
      <c r="J800">
        <v>7.79</v>
      </c>
      <c r="K800">
        <v>9.2899999999999991</v>
      </c>
      <c r="L800">
        <v>0</v>
      </c>
      <c r="M800" t="s">
        <v>34</v>
      </c>
      <c r="N800" t="s">
        <v>21</v>
      </c>
      <c r="O800">
        <v>4.38</v>
      </c>
      <c r="P800" t="s">
        <v>36</v>
      </c>
    </row>
    <row r="801" spans="1:16" x14ac:dyDescent="0.3">
      <c r="A801" t="s">
        <v>111</v>
      </c>
      <c r="B801" t="s">
        <v>27</v>
      </c>
      <c r="C801" t="s">
        <v>18</v>
      </c>
      <c r="D801" t="s">
        <v>39</v>
      </c>
      <c r="E801">
        <v>5</v>
      </c>
      <c r="F801">
        <v>152.30000000000001</v>
      </c>
      <c r="G801">
        <v>93.9</v>
      </c>
      <c r="H801">
        <v>5.7</v>
      </c>
      <c r="I801">
        <v>6</v>
      </c>
      <c r="J801">
        <v>6.65</v>
      </c>
      <c r="K801">
        <v>4.51</v>
      </c>
      <c r="L801">
        <v>0</v>
      </c>
      <c r="M801" t="s">
        <v>34</v>
      </c>
      <c r="N801" t="s">
        <v>35</v>
      </c>
      <c r="O801">
        <v>9.49</v>
      </c>
      <c r="P801" t="s">
        <v>38</v>
      </c>
    </row>
    <row r="802" spans="1:16" x14ac:dyDescent="0.3">
      <c r="A802" t="s">
        <v>111</v>
      </c>
      <c r="B802" t="s">
        <v>43</v>
      </c>
      <c r="C802" t="s">
        <v>41</v>
      </c>
      <c r="D802" t="s">
        <v>39</v>
      </c>
      <c r="E802">
        <v>10</v>
      </c>
      <c r="F802">
        <v>142.9</v>
      </c>
      <c r="G802">
        <v>96.1</v>
      </c>
      <c r="H802">
        <v>7.7</v>
      </c>
      <c r="I802">
        <v>7</v>
      </c>
      <c r="J802">
        <v>8.94</v>
      </c>
      <c r="K802">
        <v>9.84</v>
      </c>
      <c r="L802">
        <v>1</v>
      </c>
      <c r="M802" t="s">
        <v>20</v>
      </c>
      <c r="N802" t="s">
        <v>26</v>
      </c>
      <c r="O802">
        <v>25.25</v>
      </c>
      <c r="P802" t="s">
        <v>40</v>
      </c>
    </row>
    <row r="803" spans="1:16" x14ac:dyDescent="0.3">
      <c r="A803" t="s">
        <v>111</v>
      </c>
      <c r="B803" t="s">
        <v>27</v>
      </c>
      <c r="C803" t="s">
        <v>37</v>
      </c>
      <c r="D803" t="s">
        <v>39</v>
      </c>
      <c r="E803">
        <v>3</v>
      </c>
      <c r="F803">
        <v>168.7</v>
      </c>
      <c r="G803">
        <v>98.4</v>
      </c>
      <c r="H803">
        <v>3.4</v>
      </c>
      <c r="I803">
        <v>9</v>
      </c>
      <c r="J803">
        <v>5.23</v>
      </c>
      <c r="K803">
        <v>3.29</v>
      </c>
      <c r="L803">
        <v>2</v>
      </c>
      <c r="M803" t="s">
        <v>20</v>
      </c>
      <c r="N803" t="s">
        <v>21</v>
      </c>
      <c r="O803">
        <v>6.52</v>
      </c>
      <c r="P803" t="s">
        <v>42</v>
      </c>
    </row>
    <row r="804" spans="1:16" x14ac:dyDescent="0.3">
      <c r="A804" t="s">
        <v>111</v>
      </c>
      <c r="B804" t="s">
        <v>17</v>
      </c>
      <c r="C804" t="s">
        <v>37</v>
      </c>
      <c r="D804" t="s">
        <v>19</v>
      </c>
      <c r="E804">
        <v>9</v>
      </c>
      <c r="F804">
        <v>147.4</v>
      </c>
      <c r="G804">
        <v>86.7</v>
      </c>
      <c r="H804">
        <v>5.9</v>
      </c>
      <c r="I804">
        <v>5</v>
      </c>
      <c r="J804">
        <v>6.5</v>
      </c>
      <c r="K804">
        <v>4.0199999999999996</v>
      </c>
      <c r="L804">
        <v>1</v>
      </c>
      <c r="M804" t="s">
        <v>25</v>
      </c>
      <c r="N804" t="s">
        <v>21</v>
      </c>
      <c r="O804">
        <v>13.41</v>
      </c>
      <c r="P804" t="s">
        <v>44</v>
      </c>
    </row>
    <row r="805" spans="1:16" x14ac:dyDescent="0.3">
      <c r="A805" t="s">
        <v>111</v>
      </c>
      <c r="B805" t="s">
        <v>33</v>
      </c>
      <c r="C805" t="s">
        <v>18</v>
      </c>
      <c r="D805" t="s">
        <v>39</v>
      </c>
      <c r="E805">
        <v>4</v>
      </c>
      <c r="F805">
        <v>150.5</v>
      </c>
      <c r="G805">
        <v>97.5</v>
      </c>
      <c r="H805">
        <v>4.9000000000000004</v>
      </c>
      <c r="I805">
        <v>9</v>
      </c>
      <c r="J805">
        <v>6.75</v>
      </c>
      <c r="K805">
        <v>10</v>
      </c>
      <c r="L805">
        <v>0</v>
      </c>
      <c r="M805" t="s">
        <v>34</v>
      </c>
      <c r="N805" t="s">
        <v>35</v>
      </c>
      <c r="O805">
        <v>11.46</v>
      </c>
      <c r="P805" t="s">
        <v>45</v>
      </c>
    </row>
    <row r="806" spans="1:16" x14ac:dyDescent="0.3">
      <c r="A806" t="s">
        <v>112</v>
      </c>
      <c r="B806" t="s">
        <v>27</v>
      </c>
      <c r="C806" t="s">
        <v>24</v>
      </c>
      <c r="D806" t="s">
        <v>29</v>
      </c>
      <c r="E806">
        <v>7</v>
      </c>
      <c r="F806">
        <v>163.19999999999999</v>
      </c>
      <c r="G806">
        <v>100</v>
      </c>
      <c r="H806">
        <v>5.9</v>
      </c>
      <c r="I806">
        <v>7</v>
      </c>
      <c r="J806">
        <v>6.45</v>
      </c>
      <c r="K806">
        <v>3.67</v>
      </c>
      <c r="L806">
        <v>0</v>
      </c>
      <c r="M806" t="s">
        <v>25</v>
      </c>
      <c r="N806" t="s">
        <v>21</v>
      </c>
      <c r="O806">
        <v>8.61</v>
      </c>
      <c r="P806" t="s">
        <v>22</v>
      </c>
    </row>
    <row r="807" spans="1:16" x14ac:dyDescent="0.3">
      <c r="A807" t="s">
        <v>112</v>
      </c>
      <c r="B807" t="s">
        <v>23</v>
      </c>
      <c r="C807" t="s">
        <v>37</v>
      </c>
      <c r="D807" t="s">
        <v>19</v>
      </c>
      <c r="E807">
        <v>1</v>
      </c>
      <c r="F807">
        <v>160.6</v>
      </c>
      <c r="G807">
        <v>86.1</v>
      </c>
      <c r="H807">
        <v>7.1</v>
      </c>
      <c r="I807">
        <v>5</v>
      </c>
      <c r="J807">
        <v>7.21</v>
      </c>
      <c r="K807">
        <v>4.4000000000000004</v>
      </c>
      <c r="L807">
        <v>0</v>
      </c>
      <c r="M807" t="s">
        <v>34</v>
      </c>
      <c r="N807" t="s">
        <v>21</v>
      </c>
      <c r="O807">
        <v>10.29</v>
      </c>
      <c r="P807" t="s">
        <v>22</v>
      </c>
    </row>
    <row r="808" spans="1:16" x14ac:dyDescent="0.3">
      <c r="A808" t="s">
        <v>112</v>
      </c>
      <c r="B808" t="s">
        <v>23</v>
      </c>
      <c r="C808" t="s">
        <v>41</v>
      </c>
      <c r="D808" t="s">
        <v>39</v>
      </c>
      <c r="E808">
        <v>4</v>
      </c>
      <c r="F808">
        <v>165.2</v>
      </c>
      <c r="G808">
        <v>95.5</v>
      </c>
      <c r="H808">
        <v>4</v>
      </c>
      <c r="I808">
        <v>8</v>
      </c>
      <c r="J808">
        <v>6.07</v>
      </c>
      <c r="K808">
        <v>7.34</v>
      </c>
      <c r="L808">
        <v>0</v>
      </c>
      <c r="M808" t="s">
        <v>20</v>
      </c>
      <c r="N808" t="s">
        <v>21</v>
      </c>
      <c r="O808">
        <v>10.69</v>
      </c>
      <c r="P808" t="s">
        <v>28</v>
      </c>
    </row>
    <row r="809" spans="1:16" x14ac:dyDescent="0.3">
      <c r="A809" t="s">
        <v>112</v>
      </c>
      <c r="B809" t="s">
        <v>23</v>
      </c>
      <c r="C809" t="s">
        <v>24</v>
      </c>
      <c r="D809" t="s">
        <v>19</v>
      </c>
      <c r="E809">
        <v>8</v>
      </c>
      <c r="F809">
        <v>157.6</v>
      </c>
      <c r="G809">
        <v>99.8</v>
      </c>
      <c r="H809">
        <v>3</v>
      </c>
      <c r="I809">
        <v>3</v>
      </c>
      <c r="J809">
        <v>6.34</v>
      </c>
      <c r="K809">
        <v>4.82</v>
      </c>
      <c r="L809">
        <v>2</v>
      </c>
      <c r="M809" t="s">
        <v>20</v>
      </c>
      <c r="N809" t="s">
        <v>26</v>
      </c>
      <c r="O809">
        <v>9.5399999999999991</v>
      </c>
      <c r="P809" t="s">
        <v>28</v>
      </c>
    </row>
    <row r="810" spans="1:16" x14ac:dyDescent="0.3">
      <c r="A810" t="s">
        <v>112</v>
      </c>
      <c r="B810" t="s">
        <v>33</v>
      </c>
      <c r="C810" t="s">
        <v>41</v>
      </c>
      <c r="D810" t="s">
        <v>29</v>
      </c>
      <c r="E810">
        <v>7</v>
      </c>
      <c r="F810">
        <v>155.1</v>
      </c>
      <c r="G810">
        <v>99.4</v>
      </c>
      <c r="H810">
        <v>8.8000000000000007</v>
      </c>
      <c r="I810">
        <v>6</v>
      </c>
      <c r="J810">
        <v>8.85</v>
      </c>
      <c r="K810">
        <v>9.2799999999999994</v>
      </c>
      <c r="L810">
        <v>0</v>
      </c>
      <c r="M810" t="s">
        <v>34</v>
      </c>
      <c r="N810" t="s">
        <v>26</v>
      </c>
      <c r="O810">
        <v>19.21</v>
      </c>
      <c r="P810" t="s">
        <v>30</v>
      </c>
    </row>
    <row r="811" spans="1:16" x14ac:dyDescent="0.3">
      <c r="A811" t="s">
        <v>112</v>
      </c>
      <c r="B811" t="s">
        <v>33</v>
      </c>
      <c r="C811" t="s">
        <v>41</v>
      </c>
      <c r="D811" t="s">
        <v>19</v>
      </c>
      <c r="E811">
        <v>1</v>
      </c>
      <c r="F811">
        <v>150.4</v>
      </c>
      <c r="G811">
        <v>95</v>
      </c>
      <c r="H811">
        <v>4.8</v>
      </c>
      <c r="I811">
        <v>7</v>
      </c>
      <c r="J811">
        <v>5.38</v>
      </c>
      <c r="K811">
        <v>3.22</v>
      </c>
      <c r="L811">
        <v>0</v>
      </c>
      <c r="M811" t="s">
        <v>25</v>
      </c>
      <c r="N811" t="s">
        <v>26</v>
      </c>
      <c r="O811">
        <v>12.41</v>
      </c>
      <c r="P811" t="s">
        <v>32</v>
      </c>
    </row>
    <row r="812" spans="1:16" x14ac:dyDescent="0.3">
      <c r="A812" t="s">
        <v>112</v>
      </c>
      <c r="B812" t="s">
        <v>23</v>
      </c>
      <c r="C812" t="s">
        <v>31</v>
      </c>
      <c r="D812" t="s">
        <v>19</v>
      </c>
      <c r="E812">
        <v>6</v>
      </c>
      <c r="F812">
        <v>179.5</v>
      </c>
      <c r="G812">
        <v>92.8</v>
      </c>
      <c r="H812">
        <v>4.4000000000000004</v>
      </c>
      <c r="I812">
        <v>8</v>
      </c>
      <c r="J812">
        <v>7.66</v>
      </c>
      <c r="K812">
        <v>7.43</v>
      </c>
      <c r="L812">
        <v>0</v>
      </c>
      <c r="M812" t="s">
        <v>20</v>
      </c>
      <c r="N812" t="s">
        <v>21</v>
      </c>
      <c r="O812">
        <v>20.260000000000002</v>
      </c>
      <c r="P812" t="s">
        <v>36</v>
      </c>
    </row>
    <row r="813" spans="1:16" x14ac:dyDescent="0.3">
      <c r="A813" t="s">
        <v>112</v>
      </c>
      <c r="B813" t="s">
        <v>43</v>
      </c>
      <c r="C813" t="s">
        <v>18</v>
      </c>
      <c r="D813" t="s">
        <v>29</v>
      </c>
      <c r="E813">
        <v>1</v>
      </c>
      <c r="F813">
        <v>160.69999999999999</v>
      </c>
      <c r="G813">
        <v>80.900000000000006</v>
      </c>
      <c r="H813">
        <v>4.5</v>
      </c>
      <c r="I813">
        <v>4</v>
      </c>
      <c r="J813">
        <v>8.17</v>
      </c>
      <c r="K813">
        <v>4.92</v>
      </c>
      <c r="L813">
        <v>0</v>
      </c>
      <c r="M813" t="s">
        <v>25</v>
      </c>
      <c r="N813" t="s">
        <v>21</v>
      </c>
      <c r="O813">
        <v>7.01</v>
      </c>
      <c r="P813" t="s">
        <v>38</v>
      </c>
    </row>
    <row r="814" spans="1:16" x14ac:dyDescent="0.3">
      <c r="A814" t="s">
        <v>112</v>
      </c>
      <c r="B814" t="s">
        <v>27</v>
      </c>
      <c r="C814" t="s">
        <v>24</v>
      </c>
      <c r="D814" t="s">
        <v>29</v>
      </c>
      <c r="E814">
        <v>2</v>
      </c>
      <c r="F814">
        <v>145.30000000000001</v>
      </c>
      <c r="G814">
        <v>89.8</v>
      </c>
      <c r="H814">
        <v>2.8</v>
      </c>
      <c r="I814">
        <v>5</v>
      </c>
      <c r="J814">
        <v>8.09</v>
      </c>
      <c r="K814">
        <v>5.44</v>
      </c>
      <c r="L814">
        <v>0</v>
      </c>
      <c r="M814" t="s">
        <v>34</v>
      </c>
      <c r="N814" t="s">
        <v>35</v>
      </c>
      <c r="O814">
        <v>23.45</v>
      </c>
      <c r="P814" t="s">
        <v>40</v>
      </c>
    </row>
    <row r="815" spans="1:16" x14ac:dyDescent="0.3">
      <c r="A815" t="s">
        <v>112</v>
      </c>
      <c r="B815" t="s">
        <v>17</v>
      </c>
      <c r="C815" t="s">
        <v>37</v>
      </c>
      <c r="D815" t="s">
        <v>19</v>
      </c>
      <c r="E815">
        <v>1</v>
      </c>
      <c r="F815">
        <v>164.6</v>
      </c>
      <c r="G815">
        <v>92.6</v>
      </c>
      <c r="H815">
        <v>4.7</v>
      </c>
      <c r="I815">
        <v>8</v>
      </c>
      <c r="J815">
        <v>8.1999999999999993</v>
      </c>
      <c r="K815">
        <v>5.44</v>
      </c>
      <c r="L815">
        <v>0</v>
      </c>
      <c r="M815" t="s">
        <v>25</v>
      </c>
      <c r="N815" t="s">
        <v>21</v>
      </c>
      <c r="O815">
        <v>20.25</v>
      </c>
      <c r="P815" t="s">
        <v>42</v>
      </c>
    </row>
    <row r="816" spans="1:16" x14ac:dyDescent="0.3">
      <c r="A816" t="s">
        <v>112</v>
      </c>
      <c r="B816" t="s">
        <v>33</v>
      </c>
      <c r="C816" t="s">
        <v>24</v>
      </c>
      <c r="D816" t="s">
        <v>39</v>
      </c>
      <c r="E816">
        <v>1</v>
      </c>
      <c r="F816">
        <v>161.19999999999999</v>
      </c>
      <c r="G816">
        <v>96.1</v>
      </c>
      <c r="H816">
        <v>8</v>
      </c>
      <c r="I816">
        <v>8</v>
      </c>
      <c r="J816">
        <v>7.93</v>
      </c>
      <c r="K816">
        <v>7.71</v>
      </c>
      <c r="L816">
        <v>0</v>
      </c>
      <c r="M816" t="s">
        <v>25</v>
      </c>
      <c r="N816" t="s">
        <v>21</v>
      </c>
      <c r="O816">
        <v>15.61</v>
      </c>
      <c r="P816" t="s">
        <v>44</v>
      </c>
    </row>
    <row r="817" spans="1:16" x14ac:dyDescent="0.3">
      <c r="A817" t="s">
        <v>112</v>
      </c>
      <c r="B817" t="s">
        <v>23</v>
      </c>
      <c r="C817" t="s">
        <v>41</v>
      </c>
      <c r="D817" t="s">
        <v>19</v>
      </c>
      <c r="E817">
        <v>5</v>
      </c>
      <c r="F817">
        <v>172.1</v>
      </c>
      <c r="G817">
        <v>97.9</v>
      </c>
      <c r="H817">
        <v>3.1</v>
      </c>
      <c r="I817">
        <v>6</v>
      </c>
      <c r="J817">
        <v>8.48</v>
      </c>
      <c r="K817">
        <v>5.15</v>
      </c>
      <c r="L817">
        <v>1</v>
      </c>
      <c r="M817" t="s">
        <v>25</v>
      </c>
      <c r="N817" t="s">
        <v>21</v>
      </c>
      <c r="O817">
        <v>18.37</v>
      </c>
      <c r="P817" t="s">
        <v>45</v>
      </c>
    </row>
    <row r="818" spans="1:16" x14ac:dyDescent="0.3">
      <c r="A818" t="s">
        <v>113</v>
      </c>
      <c r="B818" t="s">
        <v>27</v>
      </c>
      <c r="C818" t="s">
        <v>37</v>
      </c>
      <c r="D818" t="s">
        <v>29</v>
      </c>
      <c r="E818">
        <v>2</v>
      </c>
      <c r="F818">
        <v>154.19999999999999</v>
      </c>
      <c r="G818">
        <v>100</v>
      </c>
      <c r="H818">
        <v>3.5</v>
      </c>
      <c r="I818">
        <v>5</v>
      </c>
      <c r="J818">
        <v>8.7799999999999994</v>
      </c>
      <c r="K818">
        <v>6.8</v>
      </c>
      <c r="L818">
        <v>1</v>
      </c>
      <c r="M818" t="s">
        <v>20</v>
      </c>
      <c r="N818" t="s">
        <v>26</v>
      </c>
      <c r="O818">
        <v>15.22</v>
      </c>
      <c r="P818" t="s">
        <v>22</v>
      </c>
    </row>
    <row r="819" spans="1:16" x14ac:dyDescent="0.3">
      <c r="A819" t="s">
        <v>113</v>
      </c>
      <c r="B819" t="s">
        <v>43</v>
      </c>
      <c r="C819" t="s">
        <v>41</v>
      </c>
      <c r="D819" t="s">
        <v>29</v>
      </c>
      <c r="E819">
        <v>9</v>
      </c>
      <c r="F819">
        <v>175</v>
      </c>
      <c r="G819">
        <v>91.5</v>
      </c>
      <c r="H819">
        <v>4</v>
      </c>
      <c r="I819">
        <v>4</v>
      </c>
      <c r="J819">
        <v>5.64</v>
      </c>
      <c r="K819">
        <v>8.1199999999999992</v>
      </c>
      <c r="L819">
        <v>0</v>
      </c>
      <c r="M819" t="s">
        <v>20</v>
      </c>
      <c r="N819" t="s">
        <v>35</v>
      </c>
      <c r="O819">
        <v>18.559999999999999</v>
      </c>
      <c r="P819" t="s">
        <v>22</v>
      </c>
    </row>
    <row r="820" spans="1:16" x14ac:dyDescent="0.3">
      <c r="A820" t="s">
        <v>113</v>
      </c>
      <c r="B820" t="s">
        <v>33</v>
      </c>
      <c r="C820" t="s">
        <v>24</v>
      </c>
      <c r="D820" t="s">
        <v>29</v>
      </c>
      <c r="E820">
        <v>7</v>
      </c>
      <c r="F820">
        <v>183.9</v>
      </c>
      <c r="G820">
        <v>94.4</v>
      </c>
      <c r="H820">
        <v>5.3</v>
      </c>
      <c r="I820">
        <v>4</v>
      </c>
      <c r="J820">
        <v>6.96</v>
      </c>
      <c r="K820">
        <v>7.21</v>
      </c>
      <c r="L820">
        <v>0</v>
      </c>
      <c r="M820" t="s">
        <v>34</v>
      </c>
      <c r="N820" t="s">
        <v>35</v>
      </c>
      <c r="O820">
        <v>12.29</v>
      </c>
      <c r="P820" t="s">
        <v>28</v>
      </c>
    </row>
    <row r="821" spans="1:16" x14ac:dyDescent="0.3">
      <c r="A821" t="s">
        <v>113</v>
      </c>
      <c r="B821" t="s">
        <v>43</v>
      </c>
      <c r="C821" t="s">
        <v>37</v>
      </c>
      <c r="D821" t="s">
        <v>29</v>
      </c>
      <c r="E821">
        <v>8</v>
      </c>
      <c r="F821">
        <v>169.2</v>
      </c>
      <c r="G821">
        <v>100</v>
      </c>
      <c r="H821">
        <v>4.0999999999999996</v>
      </c>
      <c r="I821">
        <v>5</v>
      </c>
      <c r="J821">
        <v>8.39</v>
      </c>
      <c r="K821">
        <v>5.63</v>
      </c>
      <c r="L821">
        <v>1</v>
      </c>
      <c r="M821" t="s">
        <v>34</v>
      </c>
      <c r="N821" t="s">
        <v>26</v>
      </c>
      <c r="O821">
        <v>22.88</v>
      </c>
      <c r="P821" t="s">
        <v>28</v>
      </c>
    </row>
    <row r="822" spans="1:16" x14ac:dyDescent="0.3">
      <c r="A822" t="s">
        <v>113</v>
      </c>
      <c r="B822" t="s">
        <v>27</v>
      </c>
      <c r="C822" t="s">
        <v>37</v>
      </c>
      <c r="D822" t="s">
        <v>29</v>
      </c>
      <c r="E822">
        <v>8</v>
      </c>
      <c r="F822">
        <v>162.30000000000001</v>
      </c>
      <c r="G822">
        <v>100</v>
      </c>
      <c r="H822">
        <v>4.5</v>
      </c>
      <c r="I822">
        <v>8</v>
      </c>
      <c r="J822">
        <v>7.03</v>
      </c>
      <c r="K822">
        <v>9.7100000000000009</v>
      </c>
      <c r="L822">
        <v>1</v>
      </c>
      <c r="M822" t="s">
        <v>34</v>
      </c>
      <c r="N822" t="s">
        <v>26</v>
      </c>
      <c r="O822">
        <v>12.69</v>
      </c>
      <c r="P822" t="s">
        <v>30</v>
      </c>
    </row>
    <row r="823" spans="1:16" x14ac:dyDescent="0.3">
      <c r="A823" t="s">
        <v>113</v>
      </c>
      <c r="B823" t="s">
        <v>23</v>
      </c>
      <c r="C823" t="s">
        <v>31</v>
      </c>
      <c r="D823" t="s">
        <v>39</v>
      </c>
      <c r="E823">
        <v>3</v>
      </c>
      <c r="F823">
        <v>166.7</v>
      </c>
      <c r="G823">
        <v>89.1</v>
      </c>
      <c r="H823">
        <v>7.8</v>
      </c>
      <c r="I823">
        <v>6</v>
      </c>
      <c r="J823">
        <v>7.87</v>
      </c>
      <c r="K823">
        <v>3.77</v>
      </c>
      <c r="L823">
        <v>1</v>
      </c>
      <c r="M823" t="s">
        <v>34</v>
      </c>
      <c r="N823" t="s">
        <v>26</v>
      </c>
      <c r="O823">
        <v>24.93</v>
      </c>
      <c r="P823" t="s">
        <v>32</v>
      </c>
    </row>
    <row r="824" spans="1:16" x14ac:dyDescent="0.3">
      <c r="A824" t="s">
        <v>113</v>
      </c>
      <c r="B824" t="s">
        <v>33</v>
      </c>
      <c r="C824" t="s">
        <v>24</v>
      </c>
      <c r="D824" t="s">
        <v>29</v>
      </c>
      <c r="E824">
        <v>10</v>
      </c>
      <c r="F824">
        <v>161.69999999999999</v>
      </c>
      <c r="G824">
        <v>97.1</v>
      </c>
      <c r="H824">
        <v>3.6</v>
      </c>
      <c r="I824">
        <v>5</v>
      </c>
      <c r="J824">
        <v>8.06</v>
      </c>
      <c r="K824">
        <v>7.6</v>
      </c>
      <c r="L824">
        <v>0</v>
      </c>
      <c r="M824" t="s">
        <v>34</v>
      </c>
      <c r="N824" t="s">
        <v>21</v>
      </c>
      <c r="O824">
        <v>12.63</v>
      </c>
      <c r="P824" t="s">
        <v>36</v>
      </c>
    </row>
    <row r="825" spans="1:16" x14ac:dyDescent="0.3">
      <c r="A825" t="s">
        <v>113</v>
      </c>
      <c r="B825" t="s">
        <v>27</v>
      </c>
      <c r="C825" t="s">
        <v>31</v>
      </c>
      <c r="D825" t="s">
        <v>19</v>
      </c>
      <c r="E825">
        <v>5</v>
      </c>
      <c r="F825">
        <v>154.9</v>
      </c>
      <c r="G825">
        <v>99.4</v>
      </c>
      <c r="H825">
        <v>7.1</v>
      </c>
      <c r="I825">
        <v>5</v>
      </c>
      <c r="J825">
        <v>7.37</v>
      </c>
      <c r="K825">
        <v>8.0399999999999991</v>
      </c>
      <c r="L825">
        <v>1</v>
      </c>
      <c r="M825" t="s">
        <v>25</v>
      </c>
      <c r="N825" t="s">
        <v>21</v>
      </c>
      <c r="O825">
        <v>3.79</v>
      </c>
      <c r="P825" t="s">
        <v>38</v>
      </c>
    </row>
    <row r="826" spans="1:16" x14ac:dyDescent="0.3">
      <c r="A826" t="s">
        <v>113</v>
      </c>
      <c r="B826" t="s">
        <v>27</v>
      </c>
      <c r="C826" t="s">
        <v>37</v>
      </c>
      <c r="D826" t="s">
        <v>19</v>
      </c>
      <c r="E826">
        <v>6</v>
      </c>
      <c r="F826">
        <v>155.80000000000001</v>
      </c>
      <c r="G826">
        <v>100</v>
      </c>
      <c r="H826">
        <v>6.2</v>
      </c>
      <c r="I826">
        <v>3</v>
      </c>
      <c r="J826">
        <v>6.44</v>
      </c>
      <c r="K826">
        <v>9.35</v>
      </c>
      <c r="L826">
        <v>0</v>
      </c>
      <c r="M826" t="s">
        <v>25</v>
      </c>
      <c r="N826" t="s">
        <v>26</v>
      </c>
      <c r="O826">
        <v>24.47</v>
      </c>
      <c r="P826" t="s">
        <v>40</v>
      </c>
    </row>
    <row r="827" spans="1:16" x14ac:dyDescent="0.3">
      <c r="A827" t="s">
        <v>113</v>
      </c>
      <c r="B827" t="s">
        <v>27</v>
      </c>
      <c r="C827" t="s">
        <v>18</v>
      </c>
      <c r="D827" t="s">
        <v>39</v>
      </c>
      <c r="E827">
        <v>7</v>
      </c>
      <c r="F827">
        <v>175.4</v>
      </c>
      <c r="G827">
        <v>91.3</v>
      </c>
      <c r="H827">
        <v>2</v>
      </c>
      <c r="I827">
        <v>8</v>
      </c>
      <c r="J827">
        <v>8.69</v>
      </c>
      <c r="K827">
        <v>4.68</v>
      </c>
      <c r="L827">
        <v>1</v>
      </c>
      <c r="M827" t="s">
        <v>25</v>
      </c>
      <c r="N827" t="s">
        <v>35</v>
      </c>
      <c r="O827">
        <v>4.66</v>
      </c>
      <c r="P827" t="s">
        <v>42</v>
      </c>
    </row>
    <row r="828" spans="1:16" x14ac:dyDescent="0.3">
      <c r="A828" t="s">
        <v>113</v>
      </c>
      <c r="B828" t="s">
        <v>17</v>
      </c>
      <c r="C828" t="s">
        <v>24</v>
      </c>
      <c r="D828" t="s">
        <v>39</v>
      </c>
      <c r="E828">
        <v>7</v>
      </c>
      <c r="F828">
        <v>169.3</v>
      </c>
      <c r="G828">
        <v>100</v>
      </c>
      <c r="H828">
        <v>4</v>
      </c>
      <c r="I828">
        <v>8</v>
      </c>
      <c r="J828">
        <v>7.25</v>
      </c>
      <c r="K828">
        <v>8.39</v>
      </c>
      <c r="L828">
        <v>0</v>
      </c>
      <c r="M828" t="s">
        <v>20</v>
      </c>
      <c r="N828" t="s">
        <v>21</v>
      </c>
      <c r="O828">
        <v>12.98</v>
      </c>
      <c r="P828" t="s">
        <v>44</v>
      </c>
    </row>
    <row r="829" spans="1:16" x14ac:dyDescent="0.3">
      <c r="A829" t="s">
        <v>113</v>
      </c>
      <c r="B829" t="s">
        <v>17</v>
      </c>
      <c r="C829" t="s">
        <v>37</v>
      </c>
      <c r="D829" t="s">
        <v>39</v>
      </c>
      <c r="E829">
        <v>3</v>
      </c>
      <c r="F829">
        <v>151.69999999999999</v>
      </c>
      <c r="G829">
        <v>93</v>
      </c>
      <c r="H829">
        <v>8.4</v>
      </c>
      <c r="I829">
        <v>2</v>
      </c>
      <c r="J829">
        <v>7.39</v>
      </c>
      <c r="K829">
        <v>6.96</v>
      </c>
      <c r="L829">
        <v>0</v>
      </c>
      <c r="M829" t="s">
        <v>25</v>
      </c>
      <c r="N829" t="s">
        <v>35</v>
      </c>
      <c r="O829">
        <v>10.220000000000001</v>
      </c>
      <c r="P829" t="s">
        <v>45</v>
      </c>
    </row>
    <row r="830" spans="1:16" x14ac:dyDescent="0.3">
      <c r="A830" t="s">
        <v>114</v>
      </c>
      <c r="B830" t="s">
        <v>23</v>
      </c>
      <c r="C830" t="s">
        <v>24</v>
      </c>
      <c r="D830" t="s">
        <v>19</v>
      </c>
      <c r="E830">
        <v>4</v>
      </c>
      <c r="F830">
        <v>149.9</v>
      </c>
      <c r="G830">
        <v>100</v>
      </c>
      <c r="H830">
        <v>4.8</v>
      </c>
      <c r="I830">
        <v>4</v>
      </c>
      <c r="J830">
        <v>3.6</v>
      </c>
      <c r="K830">
        <v>7.82</v>
      </c>
      <c r="L830">
        <v>1</v>
      </c>
      <c r="M830" t="s">
        <v>25</v>
      </c>
      <c r="N830" t="s">
        <v>35</v>
      </c>
      <c r="O830">
        <v>8.68</v>
      </c>
      <c r="P830" t="s">
        <v>22</v>
      </c>
    </row>
    <row r="831" spans="1:16" x14ac:dyDescent="0.3">
      <c r="A831" t="s">
        <v>114</v>
      </c>
      <c r="B831" t="s">
        <v>33</v>
      </c>
      <c r="C831" t="s">
        <v>18</v>
      </c>
      <c r="D831" t="s">
        <v>19</v>
      </c>
      <c r="E831">
        <v>4</v>
      </c>
      <c r="F831">
        <v>177</v>
      </c>
      <c r="G831">
        <v>98.2</v>
      </c>
      <c r="H831">
        <v>3.3</v>
      </c>
      <c r="I831">
        <v>5</v>
      </c>
      <c r="J831">
        <v>6.41</v>
      </c>
      <c r="K831">
        <v>4.28</v>
      </c>
      <c r="L831">
        <v>0</v>
      </c>
      <c r="M831" t="s">
        <v>25</v>
      </c>
      <c r="N831" t="s">
        <v>21</v>
      </c>
      <c r="O831">
        <v>6.88</v>
      </c>
      <c r="P831" t="s">
        <v>22</v>
      </c>
    </row>
    <row r="832" spans="1:16" x14ac:dyDescent="0.3">
      <c r="A832" t="s">
        <v>114</v>
      </c>
      <c r="B832" t="s">
        <v>43</v>
      </c>
      <c r="C832" t="s">
        <v>31</v>
      </c>
      <c r="D832" t="s">
        <v>19</v>
      </c>
      <c r="E832">
        <v>1</v>
      </c>
      <c r="F832">
        <v>154.69999999999999</v>
      </c>
      <c r="G832">
        <v>100</v>
      </c>
      <c r="H832">
        <v>9.1</v>
      </c>
      <c r="I832">
        <v>4</v>
      </c>
      <c r="J832">
        <v>9.5399999999999991</v>
      </c>
      <c r="K832">
        <v>5.52</v>
      </c>
      <c r="L832">
        <v>0</v>
      </c>
      <c r="M832" t="s">
        <v>20</v>
      </c>
      <c r="N832" t="s">
        <v>21</v>
      </c>
      <c r="O832">
        <v>18.059999999999999</v>
      </c>
      <c r="P832" t="s">
        <v>28</v>
      </c>
    </row>
    <row r="833" spans="1:16" x14ac:dyDescent="0.3">
      <c r="A833" t="s">
        <v>114</v>
      </c>
      <c r="B833" t="s">
        <v>43</v>
      </c>
      <c r="C833" t="s">
        <v>31</v>
      </c>
      <c r="D833" t="s">
        <v>39</v>
      </c>
      <c r="E833">
        <v>10</v>
      </c>
      <c r="F833">
        <v>170.6</v>
      </c>
      <c r="G833">
        <v>94.6</v>
      </c>
      <c r="H833">
        <v>1.5</v>
      </c>
      <c r="I833">
        <v>4</v>
      </c>
      <c r="J833">
        <v>6.82</v>
      </c>
      <c r="K833">
        <v>2.9</v>
      </c>
      <c r="L833">
        <v>1</v>
      </c>
      <c r="M833" t="s">
        <v>20</v>
      </c>
      <c r="N833" t="s">
        <v>26</v>
      </c>
      <c r="O833">
        <v>17.100000000000001</v>
      </c>
      <c r="P833" t="s">
        <v>28</v>
      </c>
    </row>
    <row r="834" spans="1:16" x14ac:dyDescent="0.3">
      <c r="A834" t="s">
        <v>114</v>
      </c>
      <c r="B834" t="s">
        <v>43</v>
      </c>
      <c r="C834" t="s">
        <v>18</v>
      </c>
      <c r="D834" t="s">
        <v>39</v>
      </c>
      <c r="E834">
        <v>9</v>
      </c>
      <c r="F834">
        <v>159.5</v>
      </c>
      <c r="G834">
        <v>100</v>
      </c>
      <c r="H834">
        <v>4.5</v>
      </c>
      <c r="I834">
        <v>4</v>
      </c>
      <c r="J834">
        <v>7.68</v>
      </c>
      <c r="K834">
        <v>4.57</v>
      </c>
      <c r="L834">
        <v>1</v>
      </c>
      <c r="M834" t="s">
        <v>34</v>
      </c>
      <c r="N834" t="s">
        <v>26</v>
      </c>
      <c r="O834">
        <v>0</v>
      </c>
      <c r="P834" t="s">
        <v>30</v>
      </c>
    </row>
    <row r="835" spans="1:16" x14ac:dyDescent="0.3">
      <c r="A835" t="s">
        <v>114</v>
      </c>
      <c r="B835" t="s">
        <v>23</v>
      </c>
      <c r="C835" t="s">
        <v>24</v>
      </c>
      <c r="D835" t="s">
        <v>39</v>
      </c>
      <c r="E835">
        <v>1</v>
      </c>
      <c r="F835">
        <v>164.3</v>
      </c>
      <c r="G835">
        <v>89.6</v>
      </c>
      <c r="H835">
        <v>3.1</v>
      </c>
      <c r="I835">
        <v>6</v>
      </c>
      <c r="J835">
        <v>6.39</v>
      </c>
      <c r="K835">
        <v>3.85</v>
      </c>
      <c r="L835">
        <v>2</v>
      </c>
      <c r="M835" t="s">
        <v>25</v>
      </c>
      <c r="N835" t="s">
        <v>21</v>
      </c>
      <c r="O835">
        <v>13.91</v>
      </c>
      <c r="P835" t="s">
        <v>32</v>
      </c>
    </row>
    <row r="836" spans="1:16" x14ac:dyDescent="0.3">
      <c r="A836" t="s">
        <v>114</v>
      </c>
      <c r="B836" t="s">
        <v>33</v>
      </c>
      <c r="C836" t="s">
        <v>18</v>
      </c>
      <c r="D836" t="s">
        <v>39</v>
      </c>
      <c r="E836">
        <v>8</v>
      </c>
      <c r="F836">
        <v>156.80000000000001</v>
      </c>
      <c r="G836">
        <v>98.3</v>
      </c>
      <c r="H836">
        <v>2.9</v>
      </c>
      <c r="I836">
        <v>5</v>
      </c>
      <c r="J836">
        <v>6.4</v>
      </c>
      <c r="K836">
        <v>6.43</v>
      </c>
      <c r="L836">
        <v>0</v>
      </c>
      <c r="M836" t="s">
        <v>20</v>
      </c>
      <c r="N836" t="s">
        <v>21</v>
      </c>
      <c r="O836">
        <v>18.59</v>
      </c>
      <c r="P836" t="s">
        <v>36</v>
      </c>
    </row>
    <row r="837" spans="1:16" x14ac:dyDescent="0.3">
      <c r="A837" t="s">
        <v>114</v>
      </c>
      <c r="B837" t="s">
        <v>17</v>
      </c>
      <c r="C837" t="s">
        <v>37</v>
      </c>
      <c r="D837" t="s">
        <v>29</v>
      </c>
      <c r="E837">
        <v>5</v>
      </c>
      <c r="F837">
        <v>154.80000000000001</v>
      </c>
      <c r="G837">
        <v>97.6</v>
      </c>
      <c r="H837">
        <v>3.7</v>
      </c>
      <c r="I837">
        <v>9</v>
      </c>
      <c r="J837">
        <v>5.81</v>
      </c>
      <c r="K837">
        <v>7.47</v>
      </c>
      <c r="L837">
        <v>1</v>
      </c>
      <c r="M837" t="s">
        <v>20</v>
      </c>
      <c r="N837" t="s">
        <v>21</v>
      </c>
      <c r="O837">
        <v>11.05</v>
      </c>
      <c r="P837" t="s">
        <v>38</v>
      </c>
    </row>
    <row r="838" spans="1:16" x14ac:dyDescent="0.3">
      <c r="A838" t="s">
        <v>114</v>
      </c>
      <c r="B838" t="s">
        <v>17</v>
      </c>
      <c r="C838" t="s">
        <v>41</v>
      </c>
      <c r="D838" t="s">
        <v>29</v>
      </c>
      <c r="E838">
        <v>7</v>
      </c>
      <c r="F838">
        <v>171.6</v>
      </c>
      <c r="G838">
        <v>99.5</v>
      </c>
      <c r="H838">
        <v>3.1</v>
      </c>
      <c r="I838">
        <v>5</v>
      </c>
      <c r="K838">
        <v>6.37</v>
      </c>
      <c r="L838">
        <v>0</v>
      </c>
      <c r="M838" t="s">
        <v>20</v>
      </c>
      <c r="N838" t="s">
        <v>26</v>
      </c>
      <c r="O838">
        <v>13.39</v>
      </c>
      <c r="P838" t="s">
        <v>40</v>
      </c>
    </row>
    <row r="839" spans="1:16" x14ac:dyDescent="0.3">
      <c r="A839" t="s">
        <v>114</v>
      </c>
      <c r="B839" t="s">
        <v>27</v>
      </c>
      <c r="C839" t="s">
        <v>31</v>
      </c>
      <c r="D839" t="s">
        <v>19</v>
      </c>
      <c r="E839">
        <v>9</v>
      </c>
      <c r="F839">
        <v>156.6</v>
      </c>
      <c r="G839">
        <v>90</v>
      </c>
      <c r="H839">
        <v>6.4</v>
      </c>
      <c r="I839">
        <v>4</v>
      </c>
      <c r="J839">
        <v>6.86</v>
      </c>
      <c r="K839">
        <v>6.42</v>
      </c>
      <c r="L839">
        <v>0</v>
      </c>
      <c r="M839" t="s">
        <v>25</v>
      </c>
      <c r="N839" t="s">
        <v>35</v>
      </c>
      <c r="O839">
        <v>15.25</v>
      </c>
      <c r="P839" t="s">
        <v>42</v>
      </c>
    </row>
    <row r="840" spans="1:16" x14ac:dyDescent="0.3">
      <c r="A840" t="s">
        <v>114</v>
      </c>
      <c r="B840" t="s">
        <v>23</v>
      </c>
      <c r="C840" t="s">
        <v>41</v>
      </c>
      <c r="D840" t="s">
        <v>39</v>
      </c>
      <c r="E840">
        <v>2</v>
      </c>
      <c r="F840">
        <v>152.5</v>
      </c>
      <c r="G840">
        <v>93.5</v>
      </c>
      <c r="H840">
        <v>3</v>
      </c>
      <c r="I840">
        <v>9</v>
      </c>
      <c r="J840">
        <v>8.49</v>
      </c>
      <c r="K840">
        <v>7.57</v>
      </c>
      <c r="L840">
        <v>0</v>
      </c>
      <c r="M840" t="s">
        <v>25</v>
      </c>
      <c r="N840" t="s">
        <v>21</v>
      </c>
      <c r="O840">
        <v>9.2200000000000006</v>
      </c>
      <c r="P840" t="s">
        <v>44</v>
      </c>
    </row>
    <row r="841" spans="1:16" x14ac:dyDescent="0.3">
      <c r="A841" t="s">
        <v>114</v>
      </c>
      <c r="B841" t="s">
        <v>17</v>
      </c>
      <c r="C841" t="s">
        <v>37</v>
      </c>
      <c r="D841" t="s">
        <v>29</v>
      </c>
      <c r="E841">
        <v>4</v>
      </c>
      <c r="F841">
        <v>170.9</v>
      </c>
      <c r="G841">
        <v>96.5</v>
      </c>
      <c r="H841">
        <v>1.7</v>
      </c>
      <c r="I841">
        <v>9</v>
      </c>
      <c r="K841">
        <v>6.65</v>
      </c>
      <c r="L841">
        <v>0</v>
      </c>
      <c r="M841" t="s">
        <v>25</v>
      </c>
      <c r="N841" t="s">
        <v>35</v>
      </c>
      <c r="O841">
        <v>15</v>
      </c>
      <c r="P841" t="s">
        <v>45</v>
      </c>
    </row>
    <row r="842" spans="1:16" x14ac:dyDescent="0.3">
      <c r="A842" t="s">
        <v>115</v>
      </c>
      <c r="B842" t="s">
        <v>27</v>
      </c>
      <c r="C842" t="s">
        <v>41</v>
      </c>
      <c r="D842" t="s">
        <v>39</v>
      </c>
      <c r="E842">
        <v>2</v>
      </c>
      <c r="F842">
        <v>159.30000000000001</v>
      </c>
      <c r="G842">
        <v>94.6</v>
      </c>
      <c r="H842">
        <v>8.1</v>
      </c>
      <c r="I842">
        <v>3</v>
      </c>
      <c r="J842">
        <v>5.08</v>
      </c>
      <c r="K842">
        <v>2.2400000000000002</v>
      </c>
      <c r="L842">
        <v>0</v>
      </c>
      <c r="M842" t="s">
        <v>34</v>
      </c>
      <c r="N842" t="s">
        <v>35</v>
      </c>
      <c r="O842">
        <v>8.4</v>
      </c>
      <c r="P842" t="s">
        <v>22</v>
      </c>
    </row>
    <row r="843" spans="1:16" x14ac:dyDescent="0.3">
      <c r="A843" t="s">
        <v>115</v>
      </c>
      <c r="B843" t="s">
        <v>33</v>
      </c>
      <c r="C843" t="s">
        <v>24</v>
      </c>
      <c r="D843" t="s">
        <v>29</v>
      </c>
      <c r="E843">
        <v>9</v>
      </c>
      <c r="F843">
        <v>164</v>
      </c>
      <c r="G843">
        <v>95.5</v>
      </c>
      <c r="H843">
        <v>4.7</v>
      </c>
      <c r="I843">
        <v>4</v>
      </c>
      <c r="J843">
        <v>9.4</v>
      </c>
      <c r="K843">
        <v>4.91</v>
      </c>
      <c r="L843">
        <v>1</v>
      </c>
      <c r="M843" t="s">
        <v>25</v>
      </c>
      <c r="N843" t="s">
        <v>35</v>
      </c>
      <c r="O843">
        <v>12.38</v>
      </c>
      <c r="P843" t="s">
        <v>22</v>
      </c>
    </row>
    <row r="844" spans="1:16" x14ac:dyDescent="0.3">
      <c r="A844" t="s">
        <v>115</v>
      </c>
      <c r="B844" t="s">
        <v>27</v>
      </c>
      <c r="C844" t="s">
        <v>41</v>
      </c>
      <c r="D844" t="s">
        <v>39</v>
      </c>
      <c r="E844">
        <v>5</v>
      </c>
      <c r="F844">
        <v>162.19999999999999</v>
      </c>
      <c r="G844">
        <v>93.8</v>
      </c>
      <c r="H844">
        <v>4.2</v>
      </c>
      <c r="I844">
        <v>5</v>
      </c>
      <c r="J844">
        <v>5.52</v>
      </c>
      <c r="K844">
        <v>8.16</v>
      </c>
      <c r="L844">
        <v>1</v>
      </c>
      <c r="M844" t="s">
        <v>25</v>
      </c>
      <c r="N844" t="s">
        <v>21</v>
      </c>
      <c r="O844">
        <v>16.71</v>
      </c>
      <c r="P844" t="s">
        <v>28</v>
      </c>
    </row>
    <row r="845" spans="1:16" x14ac:dyDescent="0.3">
      <c r="A845" t="s">
        <v>115</v>
      </c>
      <c r="B845" t="s">
        <v>33</v>
      </c>
      <c r="C845" t="s">
        <v>18</v>
      </c>
      <c r="D845" t="s">
        <v>39</v>
      </c>
      <c r="E845">
        <v>10</v>
      </c>
      <c r="F845">
        <v>163.4</v>
      </c>
      <c r="G845">
        <v>97.9</v>
      </c>
      <c r="H845">
        <v>7.1</v>
      </c>
      <c r="I845">
        <v>8</v>
      </c>
      <c r="J845">
        <v>8.41</v>
      </c>
      <c r="K845">
        <v>2.69</v>
      </c>
      <c r="L845">
        <v>1</v>
      </c>
      <c r="M845" t="s">
        <v>25</v>
      </c>
      <c r="N845" t="s">
        <v>35</v>
      </c>
      <c r="O845">
        <v>15.39</v>
      </c>
      <c r="P845" t="s">
        <v>28</v>
      </c>
    </row>
    <row r="846" spans="1:16" x14ac:dyDescent="0.3">
      <c r="A846" t="s">
        <v>115</v>
      </c>
      <c r="B846" t="s">
        <v>27</v>
      </c>
      <c r="C846" t="s">
        <v>31</v>
      </c>
      <c r="D846" t="s">
        <v>29</v>
      </c>
      <c r="E846">
        <v>6</v>
      </c>
      <c r="F846">
        <v>149.4</v>
      </c>
      <c r="G846">
        <v>93.7</v>
      </c>
      <c r="I846">
        <v>4</v>
      </c>
      <c r="J846">
        <v>7.64</v>
      </c>
      <c r="K846">
        <v>6.92</v>
      </c>
      <c r="L846">
        <v>0</v>
      </c>
      <c r="M846" t="s">
        <v>25</v>
      </c>
      <c r="N846" t="s">
        <v>21</v>
      </c>
      <c r="O846">
        <v>11.9</v>
      </c>
      <c r="P846" t="s">
        <v>30</v>
      </c>
    </row>
    <row r="847" spans="1:16" x14ac:dyDescent="0.3">
      <c r="A847" t="s">
        <v>115</v>
      </c>
      <c r="B847" t="s">
        <v>23</v>
      </c>
      <c r="C847" t="s">
        <v>24</v>
      </c>
      <c r="D847" t="s">
        <v>19</v>
      </c>
      <c r="E847">
        <v>9</v>
      </c>
      <c r="F847">
        <v>160.9</v>
      </c>
      <c r="G847">
        <v>98.7</v>
      </c>
      <c r="H847">
        <v>6.6</v>
      </c>
      <c r="I847">
        <v>5</v>
      </c>
      <c r="J847">
        <v>9.9499999999999993</v>
      </c>
      <c r="K847">
        <v>7.12</v>
      </c>
      <c r="L847">
        <v>0</v>
      </c>
      <c r="M847" t="s">
        <v>20</v>
      </c>
      <c r="N847" t="s">
        <v>21</v>
      </c>
      <c r="O847">
        <v>20.78</v>
      </c>
      <c r="P847" t="s">
        <v>32</v>
      </c>
    </row>
    <row r="848" spans="1:16" x14ac:dyDescent="0.3">
      <c r="A848" t="s">
        <v>115</v>
      </c>
      <c r="B848" t="s">
        <v>43</v>
      </c>
      <c r="C848" t="s">
        <v>18</v>
      </c>
      <c r="D848" t="s">
        <v>39</v>
      </c>
      <c r="E848">
        <v>2</v>
      </c>
      <c r="F848">
        <v>179.5</v>
      </c>
      <c r="G848">
        <v>95.8</v>
      </c>
      <c r="H848">
        <v>5.0999999999999996</v>
      </c>
      <c r="I848">
        <v>3</v>
      </c>
      <c r="J848">
        <v>7.35</v>
      </c>
      <c r="K848">
        <v>10</v>
      </c>
      <c r="L848">
        <v>0</v>
      </c>
      <c r="M848" t="s">
        <v>20</v>
      </c>
      <c r="N848" t="s">
        <v>35</v>
      </c>
      <c r="O848">
        <v>14.16</v>
      </c>
      <c r="P848" t="s">
        <v>36</v>
      </c>
    </row>
    <row r="849" spans="1:16" x14ac:dyDescent="0.3">
      <c r="A849" t="s">
        <v>115</v>
      </c>
      <c r="B849" t="s">
        <v>43</v>
      </c>
      <c r="C849" t="s">
        <v>37</v>
      </c>
      <c r="D849" t="s">
        <v>29</v>
      </c>
      <c r="E849">
        <v>5</v>
      </c>
      <c r="F849">
        <v>159</v>
      </c>
      <c r="G849">
        <v>98.9</v>
      </c>
      <c r="H849">
        <v>3.8</v>
      </c>
      <c r="I849">
        <v>3</v>
      </c>
      <c r="J849">
        <v>6.87</v>
      </c>
      <c r="K849">
        <v>7.65</v>
      </c>
      <c r="L849">
        <v>0</v>
      </c>
      <c r="M849" t="s">
        <v>34</v>
      </c>
      <c r="N849" t="s">
        <v>26</v>
      </c>
      <c r="O849">
        <v>19.190000000000001</v>
      </c>
      <c r="P849" t="s">
        <v>38</v>
      </c>
    </row>
    <row r="850" spans="1:16" x14ac:dyDescent="0.3">
      <c r="A850" t="s">
        <v>115</v>
      </c>
      <c r="B850" t="s">
        <v>43</v>
      </c>
      <c r="C850" t="s">
        <v>24</v>
      </c>
      <c r="D850" t="s">
        <v>39</v>
      </c>
      <c r="E850">
        <v>9</v>
      </c>
      <c r="F850">
        <v>148.19999999999999</v>
      </c>
      <c r="G850">
        <v>97.2</v>
      </c>
      <c r="H850">
        <v>7.2</v>
      </c>
      <c r="I850">
        <v>4</v>
      </c>
      <c r="J850">
        <v>8.6300000000000008</v>
      </c>
      <c r="K850">
        <v>5.66</v>
      </c>
      <c r="L850">
        <v>1</v>
      </c>
      <c r="M850" t="s">
        <v>20</v>
      </c>
      <c r="N850" t="s">
        <v>35</v>
      </c>
      <c r="O850">
        <v>10.130000000000001</v>
      </c>
      <c r="P850" t="s">
        <v>40</v>
      </c>
    </row>
    <row r="851" spans="1:16" x14ac:dyDescent="0.3">
      <c r="A851" t="s">
        <v>115</v>
      </c>
      <c r="B851" t="s">
        <v>23</v>
      </c>
      <c r="C851" t="s">
        <v>31</v>
      </c>
      <c r="D851" t="s">
        <v>29</v>
      </c>
      <c r="E851">
        <v>7</v>
      </c>
      <c r="F851">
        <v>171.1</v>
      </c>
      <c r="G851">
        <v>82.6</v>
      </c>
      <c r="H851">
        <v>4.0999999999999996</v>
      </c>
      <c r="I851">
        <v>6</v>
      </c>
      <c r="J851">
        <v>7.84</v>
      </c>
      <c r="K851">
        <v>8.5299999999999994</v>
      </c>
      <c r="L851">
        <v>2</v>
      </c>
      <c r="M851" t="s">
        <v>20</v>
      </c>
      <c r="N851" t="s">
        <v>35</v>
      </c>
      <c r="O851">
        <v>17.29</v>
      </c>
      <c r="P851" t="s">
        <v>42</v>
      </c>
    </row>
    <row r="852" spans="1:16" x14ac:dyDescent="0.3">
      <c r="A852" t="s">
        <v>115</v>
      </c>
      <c r="B852" t="s">
        <v>43</v>
      </c>
      <c r="C852" t="s">
        <v>37</v>
      </c>
      <c r="D852" t="s">
        <v>29</v>
      </c>
      <c r="E852">
        <v>3</v>
      </c>
      <c r="F852">
        <v>171.4</v>
      </c>
      <c r="G852">
        <v>100</v>
      </c>
      <c r="H852">
        <v>7.4</v>
      </c>
      <c r="I852">
        <v>6</v>
      </c>
      <c r="J852">
        <v>6.29</v>
      </c>
      <c r="K852">
        <v>5.27</v>
      </c>
      <c r="L852">
        <v>1</v>
      </c>
      <c r="M852" t="s">
        <v>20</v>
      </c>
      <c r="N852" t="s">
        <v>26</v>
      </c>
      <c r="O852">
        <v>12.7</v>
      </c>
      <c r="P852" t="s">
        <v>44</v>
      </c>
    </row>
    <row r="853" spans="1:16" x14ac:dyDescent="0.3">
      <c r="A853" t="s">
        <v>115</v>
      </c>
      <c r="B853" t="s">
        <v>17</v>
      </c>
      <c r="C853" t="s">
        <v>24</v>
      </c>
      <c r="D853" t="s">
        <v>19</v>
      </c>
      <c r="E853">
        <v>2</v>
      </c>
      <c r="F853">
        <v>171</v>
      </c>
      <c r="G853">
        <v>100</v>
      </c>
      <c r="H853">
        <v>6.7</v>
      </c>
      <c r="I853">
        <v>2</v>
      </c>
      <c r="J853">
        <v>10</v>
      </c>
      <c r="K853">
        <v>6.59</v>
      </c>
      <c r="L853">
        <v>0</v>
      </c>
      <c r="M853" t="s">
        <v>34</v>
      </c>
      <c r="N853" t="s">
        <v>21</v>
      </c>
      <c r="O853">
        <v>10.64</v>
      </c>
      <c r="P853" t="s">
        <v>45</v>
      </c>
    </row>
    <row r="854" spans="1:16" x14ac:dyDescent="0.3">
      <c r="A854" t="s">
        <v>116</v>
      </c>
      <c r="B854" t="s">
        <v>17</v>
      </c>
      <c r="C854" t="s">
        <v>37</v>
      </c>
      <c r="D854" t="s">
        <v>19</v>
      </c>
      <c r="E854">
        <v>2</v>
      </c>
      <c r="F854">
        <v>134.69999999999999</v>
      </c>
      <c r="G854">
        <v>94.7</v>
      </c>
      <c r="I854">
        <v>7</v>
      </c>
      <c r="J854">
        <v>7.65</v>
      </c>
      <c r="K854">
        <v>6.58</v>
      </c>
      <c r="L854">
        <v>1</v>
      </c>
      <c r="M854" t="s">
        <v>20</v>
      </c>
      <c r="N854" t="s">
        <v>26</v>
      </c>
      <c r="O854">
        <v>15.33</v>
      </c>
      <c r="P854" t="s">
        <v>22</v>
      </c>
    </row>
    <row r="855" spans="1:16" x14ac:dyDescent="0.3">
      <c r="A855" t="s">
        <v>116</v>
      </c>
      <c r="B855" t="s">
        <v>23</v>
      </c>
      <c r="C855" t="s">
        <v>41</v>
      </c>
      <c r="D855" t="s">
        <v>29</v>
      </c>
      <c r="E855">
        <v>10</v>
      </c>
      <c r="F855">
        <v>161.69999999999999</v>
      </c>
      <c r="G855">
        <v>90.4</v>
      </c>
      <c r="H855">
        <v>6.2</v>
      </c>
      <c r="I855">
        <v>8</v>
      </c>
      <c r="J855">
        <v>7.65</v>
      </c>
      <c r="K855">
        <v>10</v>
      </c>
      <c r="L855">
        <v>0</v>
      </c>
      <c r="M855" t="s">
        <v>20</v>
      </c>
      <c r="N855" t="s">
        <v>26</v>
      </c>
      <c r="O855">
        <v>10.41</v>
      </c>
      <c r="P855" t="s">
        <v>22</v>
      </c>
    </row>
    <row r="856" spans="1:16" x14ac:dyDescent="0.3">
      <c r="A856" t="s">
        <v>116</v>
      </c>
      <c r="B856" t="s">
        <v>43</v>
      </c>
      <c r="C856" t="s">
        <v>41</v>
      </c>
      <c r="D856" t="s">
        <v>19</v>
      </c>
      <c r="E856">
        <v>5</v>
      </c>
      <c r="F856">
        <v>160.30000000000001</v>
      </c>
      <c r="G856">
        <v>95.1</v>
      </c>
      <c r="H856">
        <v>5.9</v>
      </c>
      <c r="I856">
        <v>5</v>
      </c>
      <c r="J856">
        <v>5.21</v>
      </c>
      <c r="K856">
        <v>7.75</v>
      </c>
      <c r="L856">
        <v>0</v>
      </c>
      <c r="M856" t="s">
        <v>20</v>
      </c>
      <c r="N856" t="s">
        <v>26</v>
      </c>
      <c r="O856">
        <v>8.1300000000000008</v>
      </c>
      <c r="P856" t="s">
        <v>28</v>
      </c>
    </row>
    <row r="857" spans="1:16" x14ac:dyDescent="0.3">
      <c r="A857" t="s">
        <v>116</v>
      </c>
      <c r="B857" t="s">
        <v>23</v>
      </c>
      <c r="C857" t="s">
        <v>31</v>
      </c>
      <c r="D857" t="s">
        <v>39</v>
      </c>
      <c r="E857">
        <v>3</v>
      </c>
      <c r="F857">
        <v>154.1</v>
      </c>
      <c r="G857">
        <v>93.9</v>
      </c>
      <c r="H857">
        <v>8.1</v>
      </c>
      <c r="I857">
        <v>11</v>
      </c>
      <c r="J857">
        <v>5.94</v>
      </c>
      <c r="K857">
        <v>9.09</v>
      </c>
      <c r="L857">
        <v>0</v>
      </c>
      <c r="M857" t="s">
        <v>25</v>
      </c>
      <c r="N857" t="s">
        <v>35</v>
      </c>
      <c r="O857">
        <v>11.73</v>
      </c>
      <c r="P857" t="s">
        <v>28</v>
      </c>
    </row>
    <row r="858" spans="1:16" x14ac:dyDescent="0.3">
      <c r="A858" t="s">
        <v>116</v>
      </c>
      <c r="B858" t="s">
        <v>17</v>
      </c>
      <c r="C858" t="s">
        <v>41</v>
      </c>
      <c r="D858" t="s">
        <v>19</v>
      </c>
      <c r="E858">
        <v>8</v>
      </c>
      <c r="F858">
        <v>166.7</v>
      </c>
      <c r="G858">
        <v>92.9</v>
      </c>
      <c r="H858">
        <v>3.8</v>
      </c>
      <c r="I858">
        <v>7</v>
      </c>
      <c r="J858">
        <v>9.07</v>
      </c>
      <c r="K858">
        <v>8.69</v>
      </c>
      <c r="L858">
        <v>0</v>
      </c>
      <c r="M858" t="s">
        <v>34</v>
      </c>
      <c r="N858" t="s">
        <v>26</v>
      </c>
      <c r="O858">
        <v>9.44</v>
      </c>
      <c r="P858" t="s">
        <v>30</v>
      </c>
    </row>
    <row r="859" spans="1:16" x14ac:dyDescent="0.3">
      <c r="A859" t="s">
        <v>116</v>
      </c>
      <c r="B859" t="s">
        <v>27</v>
      </c>
      <c r="C859" t="s">
        <v>24</v>
      </c>
      <c r="D859" t="s">
        <v>29</v>
      </c>
      <c r="E859">
        <v>1</v>
      </c>
      <c r="F859">
        <v>162.30000000000001</v>
      </c>
      <c r="G859">
        <v>100</v>
      </c>
      <c r="H859">
        <v>3.5</v>
      </c>
      <c r="I859">
        <v>8</v>
      </c>
      <c r="J859">
        <v>6.93</v>
      </c>
      <c r="K859">
        <v>9.5500000000000007</v>
      </c>
      <c r="L859">
        <v>0</v>
      </c>
      <c r="M859" t="s">
        <v>20</v>
      </c>
      <c r="N859" t="s">
        <v>21</v>
      </c>
      <c r="O859">
        <v>10.039999999999999</v>
      </c>
      <c r="P859" t="s">
        <v>32</v>
      </c>
    </row>
    <row r="860" spans="1:16" x14ac:dyDescent="0.3">
      <c r="A860" t="s">
        <v>116</v>
      </c>
      <c r="B860" t="s">
        <v>23</v>
      </c>
      <c r="C860" t="s">
        <v>24</v>
      </c>
      <c r="D860" t="s">
        <v>29</v>
      </c>
      <c r="E860">
        <v>2</v>
      </c>
      <c r="F860">
        <v>167.2</v>
      </c>
      <c r="G860">
        <v>92.1</v>
      </c>
      <c r="H860">
        <v>2.5</v>
      </c>
      <c r="I860">
        <v>4</v>
      </c>
      <c r="J860">
        <v>8.1</v>
      </c>
      <c r="K860">
        <v>4.67</v>
      </c>
      <c r="L860">
        <v>1</v>
      </c>
      <c r="M860" t="s">
        <v>25</v>
      </c>
      <c r="N860" t="s">
        <v>21</v>
      </c>
      <c r="O860">
        <v>19.64</v>
      </c>
      <c r="P860" t="s">
        <v>36</v>
      </c>
    </row>
    <row r="861" spans="1:16" x14ac:dyDescent="0.3">
      <c r="A861" t="s">
        <v>116</v>
      </c>
      <c r="B861" t="s">
        <v>43</v>
      </c>
      <c r="C861" t="s">
        <v>18</v>
      </c>
      <c r="D861" t="s">
        <v>19</v>
      </c>
      <c r="E861">
        <v>4</v>
      </c>
      <c r="F861">
        <v>171.9</v>
      </c>
      <c r="G861">
        <v>99.5</v>
      </c>
      <c r="H861">
        <v>3.6</v>
      </c>
      <c r="I861">
        <v>3</v>
      </c>
      <c r="J861">
        <v>8.01</v>
      </c>
      <c r="K861">
        <v>4.55</v>
      </c>
      <c r="L861">
        <v>1</v>
      </c>
      <c r="M861" t="s">
        <v>20</v>
      </c>
      <c r="N861" t="s">
        <v>21</v>
      </c>
      <c r="O861">
        <v>0.61</v>
      </c>
      <c r="P861" t="s">
        <v>38</v>
      </c>
    </row>
    <row r="862" spans="1:16" x14ac:dyDescent="0.3">
      <c r="A862" t="s">
        <v>116</v>
      </c>
      <c r="B862" t="s">
        <v>23</v>
      </c>
      <c r="C862" t="s">
        <v>41</v>
      </c>
      <c r="D862" t="s">
        <v>39</v>
      </c>
      <c r="E862">
        <v>6</v>
      </c>
      <c r="F862">
        <v>156</v>
      </c>
      <c r="G862">
        <v>94.2</v>
      </c>
      <c r="H862">
        <v>6.3</v>
      </c>
      <c r="I862">
        <v>8</v>
      </c>
      <c r="J862">
        <v>10</v>
      </c>
      <c r="K862">
        <v>7.82</v>
      </c>
      <c r="L862">
        <v>1</v>
      </c>
      <c r="M862" t="s">
        <v>20</v>
      </c>
      <c r="N862" t="s">
        <v>26</v>
      </c>
      <c r="O862">
        <v>9.5500000000000007</v>
      </c>
      <c r="P862" t="s">
        <v>40</v>
      </c>
    </row>
    <row r="863" spans="1:16" x14ac:dyDescent="0.3">
      <c r="A863" t="s">
        <v>116</v>
      </c>
      <c r="B863" t="s">
        <v>17</v>
      </c>
      <c r="C863" t="s">
        <v>18</v>
      </c>
      <c r="D863" t="s">
        <v>39</v>
      </c>
      <c r="E863">
        <v>8</v>
      </c>
      <c r="F863">
        <v>162.30000000000001</v>
      </c>
      <c r="G863">
        <v>93.3</v>
      </c>
      <c r="H863">
        <v>6.8</v>
      </c>
      <c r="I863">
        <v>10</v>
      </c>
      <c r="K863">
        <v>5.23</v>
      </c>
      <c r="L863">
        <v>0</v>
      </c>
      <c r="M863" t="s">
        <v>34</v>
      </c>
      <c r="N863" t="s">
        <v>35</v>
      </c>
      <c r="O863">
        <v>12.4</v>
      </c>
      <c r="P863" t="s">
        <v>42</v>
      </c>
    </row>
    <row r="864" spans="1:16" x14ac:dyDescent="0.3">
      <c r="A864" t="s">
        <v>116</v>
      </c>
      <c r="B864" t="s">
        <v>27</v>
      </c>
      <c r="C864" t="s">
        <v>37</v>
      </c>
      <c r="D864" t="s">
        <v>39</v>
      </c>
      <c r="E864">
        <v>4</v>
      </c>
      <c r="F864">
        <v>160.69999999999999</v>
      </c>
      <c r="G864">
        <v>89.3</v>
      </c>
      <c r="H864">
        <v>4.9000000000000004</v>
      </c>
      <c r="I864">
        <v>6</v>
      </c>
      <c r="K864">
        <v>6.98</v>
      </c>
      <c r="L864">
        <v>0</v>
      </c>
      <c r="M864" t="s">
        <v>34</v>
      </c>
      <c r="N864" t="s">
        <v>35</v>
      </c>
      <c r="O864">
        <v>7.57</v>
      </c>
      <c r="P864" t="s">
        <v>44</v>
      </c>
    </row>
    <row r="865" spans="1:16" x14ac:dyDescent="0.3">
      <c r="A865" t="s">
        <v>116</v>
      </c>
      <c r="B865" t="s">
        <v>17</v>
      </c>
      <c r="C865" t="s">
        <v>41</v>
      </c>
      <c r="D865" t="s">
        <v>19</v>
      </c>
      <c r="E865">
        <v>3</v>
      </c>
      <c r="F865">
        <v>162.5</v>
      </c>
      <c r="G865">
        <v>91.5</v>
      </c>
      <c r="H865">
        <v>2.2999999999999998</v>
      </c>
      <c r="I865">
        <v>5</v>
      </c>
      <c r="J865">
        <v>8.3800000000000008</v>
      </c>
      <c r="K865">
        <v>4.41</v>
      </c>
      <c r="L865">
        <v>0</v>
      </c>
      <c r="M865" t="s">
        <v>34</v>
      </c>
      <c r="N865" t="s">
        <v>35</v>
      </c>
      <c r="O865">
        <v>8.6</v>
      </c>
      <c r="P865" t="s">
        <v>45</v>
      </c>
    </row>
    <row r="866" spans="1:16" x14ac:dyDescent="0.3">
      <c r="A866" t="s">
        <v>117</v>
      </c>
      <c r="B866" t="s">
        <v>17</v>
      </c>
      <c r="C866" t="s">
        <v>31</v>
      </c>
      <c r="D866" t="s">
        <v>29</v>
      </c>
      <c r="E866">
        <v>3</v>
      </c>
      <c r="F866">
        <v>166.4</v>
      </c>
      <c r="G866">
        <v>93.1</v>
      </c>
      <c r="H866">
        <v>3.2</v>
      </c>
      <c r="I866">
        <v>3</v>
      </c>
      <c r="J866">
        <v>7.1</v>
      </c>
      <c r="K866">
        <v>8.7200000000000006</v>
      </c>
      <c r="L866">
        <v>0</v>
      </c>
      <c r="M866" t="s">
        <v>25</v>
      </c>
      <c r="N866" t="s">
        <v>26</v>
      </c>
      <c r="O866">
        <v>0</v>
      </c>
      <c r="P866" t="s">
        <v>22</v>
      </c>
    </row>
    <row r="867" spans="1:16" x14ac:dyDescent="0.3">
      <c r="A867" t="s">
        <v>117</v>
      </c>
      <c r="B867" t="s">
        <v>27</v>
      </c>
      <c r="C867" t="s">
        <v>41</v>
      </c>
      <c r="D867" t="s">
        <v>29</v>
      </c>
      <c r="E867">
        <v>9</v>
      </c>
      <c r="F867">
        <v>176.3</v>
      </c>
      <c r="G867">
        <v>99.3</v>
      </c>
      <c r="H867">
        <v>7.3</v>
      </c>
      <c r="I867">
        <v>7</v>
      </c>
      <c r="J867">
        <v>9.0500000000000007</v>
      </c>
      <c r="K867">
        <v>4.0999999999999996</v>
      </c>
      <c r="L867">
        <v>1</v>
      </c>
      <c r="M867" t="s">
        <v>25</v>
      </c>
      <c r="N867" t="s">
        <v>26</v>
      </c>
      <c r="O867">
        <v>13.63</v>
      </c>
      <c r="P867" t="s">
        <v>22</v>
      </c>
    </row>
    <row r="868" spans="1:16" x14ac:dyDescent="0.3">
      <c r="A868" t="s">
        <v>117</v>
      </c>
      <c r="B868" t="s">
        <v>17</v>
      </c>
      <c r="C868" t="s">
        <v>37</v>
      </c>
      <c r="D868" t="s">
        <v>19</v>
      </c>
      <c r="E868">
        <v>6</v>
      </c>
      <c r="F868">
        <v>175.3</v>
      </c>
      <c r="G868">
        <v>93</v>
      </c>
      <c r="H868">
        <v>4.0999999999999996</v>
      </c>
      <c r="I868">
        <v>9</v>
      </c>
      <c r="J868">
        <v>9.8000000000000007</v>
      </c>
      <c r="K868">
        <v>6.74</v>
      </c>
      <c r="L868">
        <v>1</v>
      </c>
      <c r="M868" t="s">
        <v>20</v>
      </c>
      <c r="N868" t="s">
        <v>35</v>
      </c>
      <c r="O868">
        <v>10.27</v>
      </c>
      <c r="P868" t="s">
        <v>28</v>
      </c>
    </row>
    <row r="869" spans="1:16" x14ac:dyDescent="0.3">
      <c r="A869" t="s">
        <v>117</v>
      </c>
      <c r="B869" t="s">
        <v>33</v>
      </c>
      <c r="C869" t="s">
        <v>31</v>
      </c>
      <c r="D869" t="s">
        <v>19</v>
      </c>
      <c r="E869">
        <v>10</v>
      </c>
      <c r="F869">
        <v>165.4</v>
      </c>
      <c r="G869">
        <v>98.8</v>
      </c>
      <c r="H869">
        <v>5</v>
      </c>
      <c r="I869">
        <v>4</v>
      </c>
      <c r="J869">
        <v>4.59</v>
      </c>
      <c r="K869">
        <v>6.9</v>
      </c>
      <c r="L869">
        <v>1</v>
      </c>
      <c r="M869" t="s">
        <v>20</v>
      </c>
      <c r="N869" t="s">
        <v>26</v>
      </c>
      <c r="O869">
        <v>6.57</v>
      </c>
      <c r="P869" t="s">
        <v>28</v>
      </c>
    </row>
    <row r="870" spans="1:16" x14ac:dyDescent="0.3">
      <c r="A870" t="s">
        <v>117</v>
      </c>
      <c r="B870" t="s">
        <v>27</v>
      </c>
      <c r="C870" t="s">
        <v>31</v>
      </c>
      <c r="D870" t="s">
        <v>29</v>
      </c>
      <c r="E870">
        <v>9</v>
      </c>
      <c r="F870">
        <v>176.1</v>
      </c>
      <c r="G870">
        <v>97.4</v>
      </c>
      <c r="H870">
        <v>0.8</v>
      </c>
      <c r="I870">
        <v>5</v>
      </c>
      <c r="J870">
        <v>8.33</v>
      </c>
      <c r="K870">
        <v>7.37</v>
      </c>
      <c r="L870">
        <v>1</v>
      </c>
      <c r="M870" t="s">
        <v>25</v>
      </c>
      <c r="N870" t="s">
        <v>35</v>
      </c>
      <c r="O870">
        <v>5.99</v>
      </c>
      <c r="P870" t="s">
        <v>30</v>
      </c>
    </row>
    <row r="871" spans="1:16" x14ac:dyDescent="0.3">
      <c r="A871" t="s">
        <v>117</v>
      </c>
      <c r="B871" t="s">
        <v>43</v>
      </c>
      <c r="C871" t="s">
        <v>24</v>
      </c>
      <c r="D871" t="s">
        <v>19</v>
      </c>
      <c r="E871">
        <v>2</v>
      </c>
      <c r="F871">
        <v>151.9</v>
      </c>
      <c r="G871">
        <v>97.4</v>
      </c>
      <c r="H871">
        <v>3.7</v>
      </c>
      <c r="I871">
        <v>4</v>
      </c>
      <c r="J871">
        <v>7.86</v>
      </c>
      <c r="K871">
        <v>5.71</v>
      </c>
      <c r="L871">
        <v>0</v>
      </c>
      <c r="M871" t="s">
        <v>34</v>
      </c>
      <c r="N871" t="s">
        <v>26</v>
      </c>
      <c r="O871">
        <v>9.4</v>
      </c>
      <c r="P871" t="s">
        <v>32</v>
      </c>
    </row>
    <row r="872" spans="1:16" x14ac:dyDescent="0.3">
      <c r="A872" t="s">
        <v>117</v>
      </c>
      <c r="B872" t="s">
        <v>43</v>
      </c>
      <c r="C872" t="s">
        <v>18</v>
      </c>
      <c r="D872" t="s">
        <v>39</v>
      </c>
      <c r="E872">
        <v>5</v>
      </c>
      <c r="F872">
        <v>170.4</v>
      </c>
      <c r="G872">
        <v>100</v>
      </c>
      <c r="H872">
        <v>5.8</v>
      </c>
      <c r="I872">
        <v>6</v>
      </c>
      <c r="J872">
        <v>7.78</v>
      </c>
      <c r="K872">
        <v>6.09</v>
      </c>
      <c r="L872">
        <v>0</v>
      </c>
      <c r="M872" t="s">
        <v>20</v>
      </c>
      <c r="N872" t="s">
        <v>26</v>
      </c>
      <c r="O872">
        <v>18.61</v>
      </c>
      <c r="P872" t="s">
        <v>36</v>
      </c>
    </row>
    <row r="873" spans="1:16" x14ac:dyDescent="0.3">
      <c r="A873" t="s">
        <v>117</v>
      </c>
      <c r="B873" t="s">
        <v>23</v>
      </c>
      <c r="C873" t="s">
        <v>18</v>
      </c>
      <c r="D873" t="s">
        <v>19</v>
      </c>
      <c r="E873">
        <v>10</v>
      </c>
      <c r="F873">
        <v>157</v>
      </c>
      <c r="G873">
        <v>92.8</v>
      </c>
      <c r="H873">
        <v>5.4</v>
      </c>
      <c r="I873">
        <v>4</v>
      </c>
      <c r="J873">
        <v>7.55</v>
      </c>
      <c r="K873">
        <v>4.43</v>
      </c>
      <c r="L873">
        <v>0</v>
      </c>
      <c r="M873" t="s">
        <v>20</v>
      </c>
      <c r="N873" t="s">
        <v>35</v>
      </c>
      <c r="O873">
        <v>11.35</v>
      </c>
      <c r="P873" t="s">
        <v>38</v>
      </c>
    </row>
    <row r="874" spans="1:16" x14ac:dyDescent="0.3">
      <c r="A874" t="s">
        <v>117</v>
      </c>
      <c r="B874" t="s">
        <v>33</v>
      </c>
      <c r="C874" t="s">
        <v>18</v>
      </c>
      <c r="D874" t="s">
        <v>39</v>
      </c>
      <c r="E874">
        <v>2</v>
      </c>
      <c r="F874">
        <v>142.80000000000001</v>
      </c>
      <c r="G874">
        <v>93.4</v>
      </c>
      <c r="H874">
        <v>3.6</v>
      </c>
      <c r="I874">
        <v>10</v>
      </c>
      <c r="J874">
        <v>7.11</v>
      </c>
      <c r="K874">
        <v>7.76</v>
      </c>
      <c r="L874">
        <v>1</v>
      </c>
      <c r="M874" t="s">
        <v>20</v>
      </c>
      <c r="N874" t="s">
        <v>35</v>
      </c>
      <c r="O874">
        <v>17.48</v>
      </c>
      <c r="P874" t="s">
        <v>40</v>
      </c>
    </row>
    <row r="875" spans="1:16" x14ac:dyDescent="0.3">
      <c r="A875" t="s">
        <v>117</v>
      </c>
      <c r="B875" t="s">
        <v>33</v>
      </c>
      <c r="C875" t="s">
        <v>31</v>
      </c>
      <c r="D875" t="s">
        <v>19</v>
      </c>
      <c r="E875">
        <v>7</v>
      </c>
      <c r="F875">
        <v>154.80000000000001</v>
      </c>
      <c r="G875">
        <v>100</v>
      </c>
      <c r="H875">
        <v>5.2</v>
      </c>
      <c r="I875">
        <v>6</v>
      </c>
      <c r="J875">
        <v>7.25</v>
      </c>
      <c r="K875">
        <v>8.4499999999999993</v>
      </c>
      <c r="L875">
        <v>1</v>
      </c>
      <c r="M875" t="s">
        <v>34</v>
      </c>
      <c r="N875" t="s">
        <v>21</v>
      </c>
      <c r="O875">
        <v>15.25</v>
      </c>
      <c r="P875" t="s">
        <v>42</v>
      </c>
    </row>
    <row r="876" spans="1:16" x14ac:dyDescent="0.3">
      <c r="A876" t="s">
        <v>117</v>
      </c>
      <c r="B876" t="s">
        <v>23</v>
      </c>
      <c r="C876" t="s">
        <v>24</v>
      </c>
      <c r="D876" t="s">
        <v>39</v>
      </c>
      <c r="E876">
        <v>9</v>
      </c>
      <c r="F876">
        <v>168.6</v>
      </c>
      <c r="G876">
        <v>98.7</v>
      </c>
      <c r="H876">
        <v>5.6</v>
      </c>
      <c r="I876">
        <v>2</v>
      </c>
      <c r="J876">
        <v>9.48</v>
      </c>
      <c r="K876">
        <v>7.51</v>
      </c>
      <c r="L876">
        <v>2</v>
      </c>
      <c r="M876" t="s">
        <v>34</v>
      </c>
      <c r="N876" t="s">
        <v>35</v>
      </c>
      <c r="O876">
        <v>9.2100000000000009</v>
      </c>
      <c r="P876" t="s">
        <v>44</v>
      </c>
    </row>
    <row r="877" spans="1:16" x14ac:dyDescent="0.3">
      <c r="A877" t="s">
        <v>117</v>
      </c>
      <c r="B877" t="s">
        <v>33</v>
      </c>
      <c r="C877" t="s">
        <v>37</v>
      </c>
      <c r="D877" t="s">
        <v>19</v>
      </c>
      <c r="E877">
        <v>7</v>
      </c>
      <c r="F877">
        <v>153.1</v>
      </c>
      <c r="G877">
        <v>94.4</v>
      </c>
      <c r="H877">
        <v>5.3</v>
      </c>
      <c r="I877">
        <v>1</v>
      </c>
      <c r="J877">
        <v>9.6999999999999993</v>
      </c>
      <c r="K877">
        <v>9.4499999999999993</v>
      </c>
      <c r="L877">
        <v>0</v>
      </c>
      <c r="M877" t="s">
        <v>20</v>
      </c>
      <c r="N877" t="s">
        <v>26</v>
      </c>
      <c r="O877">
        <v>15.65</v>
      </c>
      <c r="P877" t="s">
        <v>45</v>
      </c>
    </row>
    <row r="878" spans="1:16" x14ac:dyDescent="0.3">
      <c r="A878" t="s">
        <v>118</v>
      </c>
      <c r="B878" t="s">
        <v>17</v>
      </c>
      <c r="C878" t="s">
        <v>24</v>
      </c>
      <c r="D878" t="s">
        <v>39</v>
      </c>
      <c r="E878">
        <v>9</v>
      </c>
      <c r="F878">
        <v>146.6</v>
      </c>
      <c r="G878">
        <v>97.7</v>
      </c>
      <c r="H878">
        <v>8.1</v>
      </c>
      <c r="I878">
        <v>8</v>
      </c>
      <c r="J878">
        <v>9.5500000000000007</v>
      </c>
      <c r="K878">
        <v>8.52</v>
      </c>
      <c r="L878">
        <v>0</v>
      </c>
      <c r="M878" t="s">
        <v>25</v>
      </c>
      <c r="N878" t="s">
        <v>35</v>
      </c>
      <c r="O878">
        <v>20.27</v>
      </c>
      <c r="P878" t="s">
        <v>22</v>
      </c>
    </row>
    <row r="879" spans="1:16" x14ac:dyDescent="0.3">
      <c r="A879" t="s">
        <v>118</v>
      </c>
      <c r="B879" t="s">
        <v>43</v>
      </c>
      <c r="C879" t="s">
        <v>41</v>
      </c>
      <c r="D879" t="s">
        <v>39</v>
      </c>
      <c r="E879">
        <v>8</v>
      </c>
      <c r="F879">
        <v>173.3</v>
      </c>
      <c r="G879">
        <v>90.6</v>
      </c>
      <c r="H879">
        <v>8.9</v>
      </c>
      <c r="I879">
        <v>5</v>
      </c>
      <c r="J879">
        <v>6.4</v>
      </c>
      <c r="K879">
        <v>8.76</v>
      </c>
      <c r="L879">
        <v>0</v>
      </c>
      <c r="M879" t="s">
        <v>25</v>
      </c>
      <c r="N879" t="s">
        <v>26</v>
      </c>
      <c r="O879">
        <v>12.51</v>
      </c>
      <c r="P879" t="s">
        <v>22</v>
      </c>
    </row>
    <row r="880" spans="1:16" x14ac:dyDescent="0.3">
      <c r="A880" t="s">
        <v>118</v>
      </c>
      <c r="B880" t="s">
        <v>23</v>
      </c>
      <c r="C880" t="s">
        <v>18</v>
      </c>
      <c r="D880" t="s">
        <v>39</v>
      </c>
      <c r="E880">
        <v>7</v>
      </c>
      <c r="F880">
        <v>157.6</v>
      </c>
      <c r="G880">
        <v>93.9</v>
      </c>
      <c r="H880">
        <v>9.5</v>
      </c>
      <c r="I880">
        <v>6</v>
      </c>
      <c r="J880">
        <v>7.58</v>
      </c>
      <c r="K880">
        <v>7.73</v>
      </c>
      <c r="L880">
        <v>1</v>
      </c>
      <c r="M880" t="s">
        <v>34</v>
      </c>
      <c r="N880" t="s">
        <v>26</v>
      </c>
      <c r="O880">
        <v>19.27</v>
      </c>
      <c r="P880" t="s">
        <v>28</v>
      </c>
    </row>
    <row r="881" spans="1:16" x14ac:dyDescent="0.3">
      <c r="A881" t="s">
        <v>118</v>
      </c>
      <c r="B881" t="s">
        <v>43</v>
      </c>
      <c r="C881" t="s">
        <v>24</v>
      </c>
      <c r="D881" t="s">
        <v>19</v>
      </c>
      <c r="E881">
        <v>6</v>
      </c>
      <c r="F881">
        <v>167.3</v>
      </c>
      <c r="G881">
        <v>100</v>
      </c>
      <c r="H881">
        <v>5.0999999999999996</v>
      </c>
      <c r="I881">
        <v>5</v>
      </c>
      <c r="J881">
        <v>6.56</v>
      </c>
      <c r="K881">
        <v>7.32</v>
      </c>
      <c r="L881">
        <v>0</v>
      </c>
      <c r="M881" t="s">
        <v>34</v>
      </c>
      <c r="N881" t="s">
        <v>21</v>
      </c>
      <c r="O881">
        <v>18.920000000000002</v>
      </c>
      <c r="P881" t="s">
        <v>28</v>
      </c>
    </row>
    <row r="882" spans="1:16" x14ac:dyDescent="0.3">
      <c r="A882" t="s">
        <v>118</v>
      </c>
      <c r="B882" t="s">
        <v>23</v>
      </c>
      <c r="C882" t="s">
        <v>24</v>
      </c>
      <c r="D882" t="s">
        <v>29</v>
      </c>
      <c r="E882">
        <v>4</v>
      </c>
      <c r="F882">
        <v>162.5</v>
      </c>
      <c r="G882">
        <v>97.4</v>
      </c>
      <c r="H882">
        <v>4.5</v>
      </c>
      <c r="I882">
        <v>4</v>
      </c>
      <c r="J882">
        <v>6.91</v>
      </c>
      <c r="K882">
        <v>9.3000000000000007</v>
      </c>
      <c r="L882">
        <v>1</v>
      </c>
      <c r="M882" t="s">
        <v>25</v>
      </c>
      <c r="N882" t="s">
        <v>21</v>
      </c>
      <c r="O882">
        <v>7.72</v>
      </c>
      <c r="P882" t="s">
        <v>30</v>
      </c>
    </row>
    <row r="883" spans="1:16" x14ac:dyDescent="0.3">
      <c r="A883" t="s">
        <v>118</v>
      </c>
      <c r="B883" t="s">
        <v>17</v>
      </c>
      <c r="C883" t="s">
        <v>31</v>
      </c>
      <c r="D883" t="s">
        <v>29</v>
      </c>
      <c r="E883">
        <v>4</v>
      </c>
      <c r="F883">
        <v>153.6</v>
      </c>
      <c r="G883">
        <v>84.9</v>
      </c>
      <c r="H883">
        <v>5.8</v>
      </c>
      <c r="I883">
        <v>2</v>
      </c>
      <c r="J883">
        <v>7.87</v>
      </c>
      <c r="K883">
        <v>9.02</v>
      </c>
      <c r="L883">
        <v>0</v>
      </c>
      <c r="M883" t="s">
        <v>20</v>
      </c>
      <c r="N883" t="s">
        <v>26</v>
      </c>
      <c r="O883">
        <v>11.79</v>
      </c>
      <c r="P883" t="s">
        <v>32</v>
      </c>
    </row>
    <row r="884" spans="1:16" x14ac:dyDescent="0.3">
      <c r="A884" t="s">
        <v>118</v>
      </c>
      <c r="B884" t="s">
        <v>23</v>
      </c>
      <c r="C884" t="s">
        <v>37</v>
      </c>
      <c r="D884" t="s">
        <v>39</v>
      </c>
      <c r="E884">
        <v>3</v>
      </c>
      <c r="F884">
        <v>156.5</v>
      </c>
      <c r="G884">
        <v>96.9</v>
      </c>
      <c r="H884">
        <v>4.7</v>
      </c>
      <c r="I884">
        <v>5</v>
      </c>
      <c r="J884">
        <v>6.6</v>
      </c>
      <c r="K884">
        <v>5.14</v>
      </c>
      <c r="L884">
        <v>0</v>
      </c>
      <c r="M884" t="s">
        <v>20</v>
      </c>
      <c r="N884" t="s">
        <v>26</v>
      </c>
      <c r="O884">
        <v>18.600000000000001</v>
      </c>
      <c r="P884" t="s">
        <v>36</v>
      </c>
    </row>
    <row r="885" spans="1:16" x14ac:dyDescent="0.3">
      <c r="A885" t="s">
        <v>118</v>
      </c>
      <c r="B885" t="s">
        <v>43</v>
      </c>
      <c r="C885" t="s">
        <v>18</v>
      </c>
      <c r="D885" t="s">
        <v>19</v>
      </c>
      <c r="E885">
        <v>9</v>
      </c>
      <c r="F885">
        <v>138.19999999999999</v>
      </c>
      <c r="G885">
        <v>94.7</v>
      </c>
      <c r="H885">
        <v>1.6</v>
      </c>
      <c r="I885">
        <v>7</v>
      </c>
      <c r="J885">
        <v>5.69</v>
      </c>
      <c r="K885">
        <v>4.2300000000000004</v>
      </c>
      <c r="L885">
        <v>1</v>
      </c>
      <c r="M885" t="s">
        <v>25</v>
      </c>
      <c r="N885" t="s">
        <v>21</v>
      </c>
      <c r="O885">
        <v>15.94</v>
      </c>
      <c r="P885" t="s">
        <v>38</v>
      </c>
    </row>
    <row r="886" spans="1:16" x14ac:dyDescent="0.3">
      <c r="A886" t="s">
        <v>118</v>
      </c>
      <c r="B886" t="s">
        <v>33</v>
      </c>
      <c r="C886" t="s">
        <v>31</v>
      </c>
      <c r="D886" t="s">
        <v>19</v>
      </c>
      <c r="E886">
        <v>9</v>
      </c>
      <c r="F886">
        <v>162.30000000000001</v>
      </c>
      <c r="G886">
        <v>98.1</v>
      </c>
      <c r="H886">
        <v>4.5999999999999996</v>
      </c>
      <c r="I886">
        <v>11</v>
      </c>
      <c r="J886">
        <v>4.83</v>
      </c>
      <c r="K886">
        <v>10</v>
      </c>
      <c r="L886">
        <v>0</v>
      </c>
      <c r="M886" t="s">
        <v>20</v>
      </c>
      <c r="N886" t="s">
        <v>21</v>
      </c>
      <c r="O886">
        <v>4.9800000000000004</v>
      </c>
      <c r="P886" t="s">
        <v>40</v>
      </c>
    </row>
    <row r="887" spans="1:16" x14ac:dyDescent="0.3">
      <c r="A887" t="s">
        <v>118</v>
      </c>
      <c r="B887" t="s">
        <v>43</v>
      </c>
      <c r="C887" t="s">
        <v>41</v>
      </c>
      <c r="D887" t="s">
        <v>19</v>
      </c>
      <c r="E887">
        <v>8</v>
      </c>
      <c r="F887">
        <v>159.5</v>
      </c>
      <c r="G887">
        <v>91.4</v>
      </c>
      <c r="H887">
        <v>4.5999999999999996</v>
      </c>
      <c r="I887">
        <v>9</v>
      </c>
      <c r="J887">
        <v>9.4</v>
      </c>
      <c r="K887">
        <v>4.71</v>
      </c>
      <c r="L887">
        <v>0</v>
      </c>
      <c r="M887" t="s">
        <v>20</v>
      </c>
      <c r="N887" t="s">
        <v>35</v>
      </c>
      <c r="O887">
        <v>14.27</v>
      </c>
      <c r="P887" t="s">
        <v>42</v>
      </c>
    </row>
    <row r="888" spans="1:16" x14ac:dyDescent="0.3">
      <c r="A888" t="s">
        <v>118</v>
      </c>
      <c r="B888" t="s">
        <v>23</v>
      </c>
      <c r="C888" t="s">
        <v>37</v>
      </c>
      <c r="D888" t="s">
        <v>19</v>
      </c>
      <c r="E888">
        <v>6</v>
      </c>
      <c r="F888">
        <v>159.5</v>
      </c>
      <c r="G888">
        <v>92.1</v>
      </c>
      <c r="H888">
        <v>7.8</v>
      </c>
      <c r="I888">
        <v>5</v>
      </c>
      <c r="J888">
        <v>6.88</v>
      </c>
      <c r="K888">
        <v>5.45</v>
      </c>
      <c r="L888">
        <v>1</v>
      </c>
      <c r="M888" t="s">
        <v>34</v>
      </c>
      <c r="N888" t="s">
        <v>21</v>
      </c>
      <c r="O888">
        <v>27.31</v>
      </c>
      <c r="P888" t="s">
        <v>44</v>
      </c>
    </row>
    <row r="889" spans="1:16" x14ac:dyDescent="0.3">
      <c r="A889" t="s">
        <v>118</v>
      </c>
      <c r="B889" t="s">
        <v>33</v>
      </c>
      <c r="C889" t="s">
        <v>18</v>
      </c>
      <c r="D889" t="s">
        <v>39</v>
      </c>
      <c r="E889">
        <v>2</v>
      </c>
      <c r="F889">
        <v>157.9</v>
      </c>
      <c r="G889">
        <v>90.2</v>
      </c>
      <c r="H889">
        <v>6.6</v>
      </c>
      <c r="I889">
        <v>2</v>
      </c>
      <c r="J889">
        <v>6.86</v>
      </c>
      <c r="K889">
        <v>4.32</v>
      </c>
      <c r="L889">
        <v>2</v>
      </c>
      <c r="M889" t="s">
        <v>25</v>
      </c>
      <c r="N889" t="s">
        <v>21</v>
      </c>
      <c r="O889">
        <v>12.07</v>
      </c>
      <c r="P889" t="s">
        <v>45</v>
      </c>
    </row>
    <row r="890" spans="1:16" x14ac:dyDescent="0.3">
      <c r="A890" t="s">
        <v>119</v>
      </c>
      <c r="B890" t="s">
        <v>27</v>
      </c>
      <c r="C890" t="s">
        <v>24</v>
      </c>
      <c r="D890" t="s">
        <v>29</v>
      </c>
      <c r="E890">
        <v>7</v>
      </c>
      <c r="F890">
        <v>152</v>
      </c>
      <c r="G890">
        <v>100</v>
      </c>
      <c r="H890">
        <v>5.9</v>
      </c>
      <c r="I890">
        <v>9</v>
      </c>
      <c r="J890">
        <v>8.86</v>
      </c>
      <c r="K890">
        <v>6.82</v>
      </c>
      <c r="L890">
        <v>0</v>
      </c>
      <c r="M890" t="s">
        <v>34</v>
      </c>
      <c r="N890" t="s">
        <v>21</v>
      </c>
      <c r="O890">
        <v>20.05</v>
      </c>
      <c r="P890" t="s">
        <v>22</v>
      </c>
    </row>
    <row r="891" spans="1:16" x14ac:dyDescent="0.3">
      <c r="A891" t="s">
        <v>119</v>
      </c>
      <c r="B891" t="s">
        <v>23</v>
      </c>
      <c r="C891" t="s">
        <v>37</v>
      </c>
      <c r="D891" t="s">
        <v>19</v>
      </c>
      <c r="E891">
        <v>9</v>
      </c>
      <c r="F891">
        <v>168.9</v>
      </c>
      <c r="G891">
        <v>88.6</v>
      </c>
      <c r="H891">
        <v>3.7</v>
      </c>
      <c r="I891">
        <v>7</v>
      </c>
      <c r="J891">
        <v>8.36</v>
      </c>
      <c r="K891">
        <v>8.51</v>
      </c>
      <c r="L891">
        <v>0</v>
      </c>
      <c r="M891" t="s">
        <v>20</v>
      </c>
      <c r="N891" t="s">
        <v>26</v>
      </c>
      <c r="O891">
        <v>17.53</v>
      </c>
      <c r="P891" t="s">
        <v>22</v>
      </c>
    </row>
    <row r="892" spans="1:16" x14ac:dyDescent="0.3">
      <c r="A892" t="s">
        <v>119</v>
      </c>
      <c r="B892" t="s">
        <v>17</v>
      </c>
      <c r="C892" t="s">
        <v>18</v>
      </c>
      <c r="D892" t="s">
        <v>39</v>
      </c>
      <c r="E892">
        <v>10</v>
      </c>
      <c r="F892">
        <v>160.19999999999999</v>
      </c>
      <c r="G892">
        <v>95.2</v>
      </c>
      <c r="H892">
        <v>9.5</v>
      </c>
      <c r="I892">
        <v>7</v>
      </c>
      <c r="J892">
        <v>7.32</v>
      </c>
      <c r="K892">
        <v>7.03</v>
      </c>
      <c r="L892">
        <v>0</v>
      </c>
      <c r="M892" t="s">
        <v>25</v>
      </c>
      <c r="N892" t="s">
        <v>26</v>
      </c>
      <c r="O892">
        <v>12.36</v>
      </c>
      <c r="P892" t="s">
        <v>28</v>
      </c>
    </row>
    <row r="893" spans="1:16" x14ac:dyDescent="0.3">
      <c r="A893" t="s">
        <v>119</v>
      </c>
      <c r="B893" t="s">
        <v>23</v>
      </c>
      <c r="C893" t="s">
        <v>41</v>
      </c>
      <c r="D893" t="s">
        <v>29</v>
      </c>
      <c r="E893">
        <v>10</v>
      </c>
      <c r="F893">
        <v>159.19999999999999</v>
      </c>
      <c r="G893">
        <v>86.2</v>
      </c>
      <c r="H893">
        <v>2.6</v>
      </c>
      <c r="I893">
        <v>7</v>
      </c>
      <c r="J893">
        <v>6.99</v>
      </c>
      <c r="K893">
        <v>9.94</v>
      </c>
      <c r="L893">
        <v>0</v>
      </c>
      <c r="M893" t="s">
        <v>25</v>
      </c>
      <c r="N893" t="s">
        <v>35</v>
      </c>
      <c r="O893">
        <v>14.76</v>
      </c>
      <c r="P893" t="s">
        <v>28</v>
      </c>
    </row>
    <row r="894" spans="1:16" x14ac:dyDescent="0.3">
      <c r="A894" t="s">
        <v>119</v>
      </c>
      <c r="B894" t="s">
        <v>27</v>
      </c>
      <c r="C894" t="s">
        <v>37</v>
      </c>
      <c r="D894" t="s">
        <v>19</v>
      </c>
      <c r="E894">
        <v>7</v>
      </c>
      <c r="F894">
        <v>155.80000000000001</v>
      </c>
      <c r="G894">
        <v>95.1</v>
      </c>
      <c r="H894">
        <v>3.8</v>
      </c>
      <c r="I894">
        <v>7</v>
      </c>
      <c r="J894">
        <v>7.99</v>
      </c>
      <c r="K894">
        <v>8.11</v>
      </c>
      <c r="L894">
        <v>0</v>
      </c>
      <c r="M894" t="s">
        <v>34</v>
      </c>
      <c r="N894" t="s">
        <v>26</v>
      </c>
      <c r="O894">
        <v>19.47</v>
      </c>
      <c r="P894" t="s">
        <v>30</v>
      </c>
    </row>
    <row r="895" spans="1:16" x14ac:dyDescent="0.3">
      <c r="A895" t="s">
        <v>119</v>
      </c>
      <c r="B895" t="s">
        <v>33</v>
      </c>
      <c r="C895" t="s">
        <v>31</v>
      </c>
      <c r="D895" t="s">
        <v>39</v>
      </c>
      <c r="E895">
        <v>8</v>
      </c>
      <c r="F895">
        <v>150.69999999999999</v>
      </c>
      <c r="G895">
        <v>90.1</v>
      </c>
      <c r="H895">
        <v>5.6</v>
      </c>
      <c r="I895">
        <v>6</v>
      </c>
      <c r="J895">
        <v>5.65</v>
      </c>
      <c r="K895">
        <v>9.4600000000000009</v>
      </c>
      <c r="L895">
        <v>0</v>
      </c>
      <c r="M895" t="s">
        <v>20</v>
      </c>
      <c r="N895" t="s">
        <v>35</v>
      </c>
      <c r="O895">
        <v>16.399999999999999</v>
      </c>
      <c r="P895" t="s">
        <v>32</v>
      </c>
    </row>
    <row r="896" spans="1:16" x14ac:dyDescent="0.3">
      <c r="A896" t="s">
        <v>119</v>
      </c>
      <c r="B896" t="s">
        <v>33</v>
      </c>
      <c r="C896" t="s">
        <v>24</v>
      </c>
      <c r="D896" t="s">
        <v>39</v>
      </c>
      <c r="E896">
        <v>10</v>
      </c>
      <c r="F896">
        <v>148.9</v>
      </c>
      <c r="G896">
        <v>95.5</v>
      </c>
      <c r="H896">
        <v>3.9</v>
      </c>
      <c r="I896">
        <v>6</v>
      </c>
      <c r="J896">
        <v>5.88</v>
      </c>
      <c r="K896">
        <v>8.5399999999999991</v>
      </c>
      <c r="L896">
        <v>1</v>
      </c>
      <c r="M896" t="s">
        <v>20</v>
      </c>
      <c r="N896" t="s">
        <v>26</v>
      </c>
      <c r="O896">
        <v>13.99</v>
      </c>
      <c r="P896" t="s">
        <v>36</v>
      </c>
    </row>
    <row r="897" spans="1:16" x14ac:dyDescent="0.3">
      <c r="A897" t="s">
        <v>119</v>
      </c>
      <c r="B897" t="s">
        <v>27</v>
      </c>
      <c r="C897" t="s">
        <v>41</v>
      </c>
      <c r="D897" t="s">
        <v>39</v>
      </c>
      <c r="E897">
        <v>5</v>
      </c>
      <c r="F897">
        <v>148.6</v>
      </c>
      <c r="G897">
        <v>96.2</v>
      </c>
      <c r="H897">
        <v>7</v>
      </c>
      <c r="I897">
        <v>4</v>
      </c>
      <c r="J897">
        <v>6.56</v>
      </c>
      <c r="K897">
        <v>8.18</v>
      </c>
      <c r="L897">
        <v>0</v>
      </c>
      <c r="M897" t="s">
        <v>34</v>
      </c>
      <c r="N897" t="s">
        <v>21</v>
      </c>
      <c r="O897">
        <v>14.66</v>
      </c>
      <c r="P897" t="s">
        <v>38</v>
      </c>
    </row>
    <row r="898" spans="1:16" x14ac:dyDescent="0.3">
      <c r="A898" t="s">
        <v>119</v>
      </c>
      <c r="B898" t="s">
        <v>17</v>
      </c>
      <c r="C898" t="s">
        <v>41</v>
      </c>
      <c r="D898" t="s">
        <v>19</v>
      </c>
      <c r="E898">
        <v>8</v>
      </c>
      <c r="F898">
        <v>143.9</v>
      </c>
      <c r="G898">
        <v>100</v>
      </c>
      <c r="H898">
        <v>7.2</v>
      </c>
      <c r="I898">
        <v>5</v>
      </c>
      <c r="J898">
        <v>7.46</v>
      </c>
      <c r="K898">
        <v>8.85</v>
      </c>
      <c r="L898">
        <v>0</v>
      </c>
      <c r="M898" t="s">
        <v>20</v>
      </c>
      <c r="N898" t="s">
        <v>26</v>
      </c>
      <c r="O898">
        <v>8.7100000000000009</v>
      </c>
      <c r="P898" t="s">
        <v>40</v>
      </c>
    </row>
    <row r="899" spans="1:16" x14ac:dyDescent="0.3">
      <c r="A899" t="s">
        <v>119</v>
      </c>
      <c r="B899" t="s">
        <v>27</v>
      </c>
      <c r="C899" t="s">
        <v>41</v>
      </c>
      <c r="D899" t="s">
        <v>39</v>
      </c>
      <c r="E899">
        <v>4</v>
      </c>
      <c r="F899">
        <v>163</v>
      </c>
      <c r="G899">
        <v>94.7</v>
      </c>
      <c r="H899">
        <v>10.9</v>
      </c>
      <c r="I899">
        <v>14</v>
      </c>
      <c r="J899">
        <v>8.14</v>
      </c>
      <c r="K899">
        <v>5.04</v>
      </c>
      <c r="L899">
        <v>0</v>
      </c>
      <c r="M899" t="s">
        <v>20</v>
      </c>
      <c r="N899" t="s">
        <v>26</v>
      </c>
      <c r="O899">
        <v>14</v>
      </c>
      <c r="P899" t="s">
        <v>42</v>
      </c>
    </row>
    <row r="900" spans="1:16" x14ac:dyDescent="0.3">
      <c r="A900" t="s">
        <v>119</v>
      </c>
      <c r="B900" t="s">
        <v>17</v>
      </c>
      <c r="C900" t="s">
        <v>31</v>
      </c>
      <c r="D900" t="s">
        <v>29</v>
      </c>
      <c r="E900">
        <v>6</v>
      </c>
      <c r="F900">
        <v>160.6</v>
      </c>
      <c r="G900">
        <v>100</v>
      </c>
      <c r="H900">
        <v>1.2</v>
      </c>
      <c r="I900">
        <v>7</v>
      </c>
      <c r="J900">
        <v>8.0500000000000007</v>
      </c>
      <c r="K900">
        <v>6.74</v>
      </c>
      <c r="L900">
        <v>0</v>
      </c>
      <c r="M900" t="s">
        <v>20</v>
      </c>
      <c r="N900" t="s">
        <v>35</v>
      </c>
      <c r="O900">
        <v>15.01</v>
      </c>
      <c r="P900" t="s">
        <v>44</v>
      </c>
    </row>
    <row r="901" spans="1:16" x14ac:dyDescent="0.3">
      <c r="A901" t="s">
        <v>119</v>
      </c>
      <c r="B901" t="s">
        <v>33</v>
      </c>
      <c r="C901" t="s">
        <v>37</v>
      </c>
      <c r="D901" t="s">
        <v>39</v>
      </c>
      <c r="E901">
        <v>3</v>
      </c>
      <c r="F901">
        <v>161</v>
      </c>
      <c r="G901">
        <v>91.2</v>
      </c>
      <c r="H901">
        <v>6.7</v>
      </c>
      <c r="I901">
        <v>8</v>
      </c>
      <c r="J901">
        <v>6.69</v>
      </c>
      <c r="K901">
        <v>2.84</v>
      </c>
      <c r="L901">
        <v>0</v>
      </c>
      <c r="M901" t="s">
        <v>34</v>
      </c>
      <c r="N901" t="s">
        <v>26</v>
      </c>
      <c r="O901">
        <v>14.37</v>
      </c>
      <c r="P901" t="s">
        <v>45</v>
      </c>
    </row>
    <row r="902" spans="1:16" x14ac:dyDescent="0.3">
      <c r="A902" t="s">
        <v>120</v>
      </c>
      <c r="B902" t="s">
        <v>33</v>
      </c>
      <c r="C902" t="s">
        <v>24</v>
      </c>
      <c r="D902" t="s">
        <v>29</v>
      </c>
      <c r="E902">
        <v>5</v>
      </c>
      <c r="F902">
        <v>152.69999999999999</v>
      </c>
      <c r="G902">
        <v>87.4</v>
      </c>
      <c r="H902">
        <v>5</v>
      </c>
      <c r="I902">
        <v>11</v>
      </c>
      <c r="J902">
        <v>5.84</v>
      </c>
      <c r="K902">
        <v>4.6900000000000004</v>
      </c>
      <c r="L902">
        <v>0</v>
      </c>
      <c r="M902" t="s">
        <v>34</v>
      </c>
      <c r="N902" t="s">
        <v>21</v>
      </c>
      <c r="O902">
        <v>9.9</v>
      </c>
      <c r="P902" t="s">
        <v>22</v>
      </c>
    </row>
    <row r="903" spans="1:16" x14ac:dyDescent="0.3">
      <c r="A903" t="s">
        <v>120</v>
      </c>
      <c r="B903" t="s">
        <v>17</v>
      </c>
      <c r="C903" t="s">
        <v>41</v>
      </c>
      <c r="D903" t="s">
        <v>39</v>
      </c>
      <c r="E903">
        <v>4</v>
      </c>
      <c r="F903">
        <v>154.1</v>
      </c>
      <c r="G903">
        <v>87.8</v>
      </c>
      <c r="H903">
        <v>6.4</v>
      </c>
      <c r="I903">
        <v>4</v>
      </c>
      <c r="J903">
        <v>7.98</v>
      </c>
      <c r="K903">
        <v>5.0599999999999996</v>
      </c>
      <c r="L903">
        <v>1</v>
      </c>
      <c r="M903" t="s">
        <v>34</v>
      </c>
      <c r="N903" t="s">
        <v>35</v>
      </c>
      <c r="O903">
        <v>19.16</v>
      </c>
      <c r="P903" t="s">
        <v>22</v>
      </c>
    </row>
    <row r="904" spans="1:16" x14ac:dyDescent="0.3">
      <c r="A904" t="s">
        <v>120</v>
      </c>
      <c r="B904" t="s">
        <v>23</v>
      </c>
      <c r="C904" t="s">
        <v>18</v>
      </c>
      <c r="D904" t="s">
        <v>19</v>
      </c>
      <c r="E904">
        <v>3</v>
      </c>
      <c r="F904">
        <v>160.1</v>
      </c>
      <c r="G904">
        <v>100</v>
      </c>
      <c r="H904">
        <v>6.6</v>
      </c>
      <c r="I904">
        <v>6</v>
      </c>
      <c r="J904">
        <v>10</v>
      </c>
      <c r="K904">
        <v>5.31</v>
      </c>
      <c r="L904">
        <v>0</v>
      </c>
      <c r="M904" t="s">
        <v>20</v>
      </c>
      <c r="N904" t="s">
        <v>35</v>
      </c>
      <c r="O904">
        <v>23.03</v>
      </c>
      <c r="P904" t="s">
        <v>28</v>
      </c>
    </row>
    <row r="905" spans="1:16" x14ac:dyDescent="0.3">
      <c r="A905" t="s">
        <v>120</v>
      </c>
      <c r="B905" t="s">
        <v>33</v>
      </c>
      <c r="C905" t="s">
        <v>31</v>
      </c>
      <c r="D905" t="s">
        <v>39</v>
      </c>
      <c r="E905">
        <v>7</v>
      </c>
      <c r="F905">
        <v>156.4</v>
      </c>
      <c r="G905">
        <v>88.5</v>
      </c>
      <c r="H905">
        <v>7.9</v>
      </c>
      <c r="I905">
        <v>5</v>
      </c>
      <c r="J905">
        <v>6.46</v>
      </c>
      <c r="K905">
        <v>6</v>
      </c>
      <c r="L905">
        <v>0</v>
      </c>
      <c r="M905" t="s">
        <v>20</v>
      </c>
      <c r="N905" t="s">
        <v>26</v>
      </c>
      <c r="O905">
        <v>15.52</v>
      </c>
      <c r="P905" t="s">
        <v>28</v>
      </c>
    </row>
    <row r="906" spans="1:16" x14ac:dyDescent="0.3">
      <c r="A906" t="s">
        <v>120</v>
      </c>
      <c r="B906" t="s">
        <v>17</v>
      </c>
      <c r="C906" t="s">
        <v>41</v>
      </c>
      <c r="D906" t="s">
        <v>19</v>
      </c>
      <c r="E906">
        <v>9</v>
      </c>
      <c r="F906">
        <v>159.9</v>
      </c>
      <c r="G906">
        <v>98.5</v>
      </c>
      <c r="H906">
        <v>3.2</v>
      </c>
      <c r="I906">
        <v>5</v>
      </c>
      <c r="J906">
        <v>6.51</v>
      </c>
      <c r="K906">
        <v>4.9800000000000004</v>
      </c>
      <c r="L906">
        <v>0</v>
      </c>
      <c r="M906" t="s">
        <v>34</v>
      </c>
      <c r="N906" t="s">
        <v>21</v>
      </c>
      <c r="O906">
        <v>5.16</v>
      </c>
      <c r="P906" t="s">
        <v>30</v>
      </c>
    </row>
    <row r="907" spans="1:16" x14ac:dyDescent="0.3">
      <c r="A907" t="s">
        <v>120</v>
      </c>
      <c r="B907" t="s">
        <v>33</v>
      </c>
      <c r="C907" t="s">
        <v>24</v>
      </c>
      <c r="D907" t="s">
        <v>19</v>
      </c>
      <c r="E907">
        <v>8</v>
      </c>
      <c r="F907">
        <v>149.30000000000001</v>
      </c>
      <c r="G907">
        <v>93.9</v>
      </c>
      <c r="H907">
        <v>6.3</v>
      </c>
      <c r="I907">
        <v>4</v>
      </c>
      <c r="J907">
        <v>6.14</v>
      </c>
      <c r="K907">
        <v>7.6</v>
      </c>
      <c r="L907">
        <v>1</v>
      </c>
      <c r="M907" t="s">
        <v>34</v>
      </c>
      <c r="N907" t="s">
        <v>26</v>
      </c>
      <c r="O907">
        <v>5</v>
      </c>
      <c r="P907" t="s">
        <v>32</v>
      </c>
    </row>
    <row r="908" spans="1:16" x14ac:dyDescent="0.3">
      <c r="A908" t="s">
        <v>120</v>
      </c>
      <c r="B908" t="s">
        <v>43</v>
      </c>
      <c r="C908" t="s">
        <v>37</v>
      </c>
      <c r="D908" t="s">
        <v>19</v>
      </c>
      <c r="E908">
        <v>7</v>
      </c>
      <c r="F908">
        <v>150.69999999999999</v>
      </c>
      <c r="G908">
        <v>93.7</v>
      </c>
      <c r="H908">
        <v>3.8</v>
      </c>
      <c r="I908">
        <v>10</v>
      </c>
      <c r="J908">
        <v>9.35</v>
      </c>
      <c r="K908">
        <v>4.93</v>
      </c>
      <c r="L908">
        <v>0</v>
      </c>
      <c r="M908" t="s">
        <v>20</v>
      </c>
      <c r="N908" t="s">
        <v>21</v>
      </c>
      <c r="O908">
        <v>13.31</v>
      </c>
      <c r="P908" t="s">
        <v>36</v>
      </c>
    </row>
    <row r="909" spans="1:16" x14ac:dyDescent="0.3">
      <c r="A909" t="s">
        <v>120</v>
      </c>
      <c r="B909" t="s">
        <v>27</v>
      </c>
      <c r="C909" t="s">
        <v>24</v>
      </c>
      <c r="D909" t="s">
        <v>39</v>
      </c>
      <c r="E909">
        <v>2</v>
      </c>
      <c r="F909">
        <v>162.1</v>
      </c>
      <c r="G909">
        <v>98</v>
      </c>
      <c r="H909">
        <v>2.9</v>
      </c>
      <c r="I909">
        <v>10</v>
      </c>
      <c r="J909">
        <v>9.56</v>
      </c>
      <c r="K909">
        <v>6.85</v>
      </c>
      <c r="L909">
        <v>1</v>
      </c>
      <c r="M909" t="s">
        <v>25</v>
      </c>
      <c r="N909" t="s">
        <v>35</v>
      </c>
      <c r="O909">
        <v>12.03</v>
      </c>
      <c r="P909" t="s">
        <v>38</v>
      </c>
    </row>
    <row r="910" spans="1:16" x14ac:dyDescent="0.3">
      <c r="A910" t="s">
        <v>120</v>
      </c>
      <c r="B910" t="s">
        <v>23</v>
      </c>
      <c r="C910" t="s">
        <v>37</v>
      </c>
      <c r="D910" t="s">
        <v>19</v>
      </c>
      <c r="E910">
        <v>5</v>
      </c>
      <c r="F910">
        <v>156.30000000000001</v>
      </c>
      <c r="G910">
        <v>99.1</v>
      </c>
      <c r="H910">
        <v>5.5</v>
      </c>
      <c r="I910">
        <v>7</v>
      </c>
      <c r="J910">
        <v>7.06</v>
      </c>
      <c r="K910">
        <v>7.8</v>
      </c>
      <c r="L910">
        <v>1</v>
      </c>
      <c r="M910" t="s">
        <v>34</v>
      </c>
      <c r="N910" t="s">
        <v>21</v>
      </c>
      <c r="O910">
        <v>18.579999999999998</v>
      </c>
      <c r="P910" t="s">
        <v>40</v>
      </c>
    </row>
    <row r="911" spans="1:16" x14ac:dyDescent="0.3">
      <c r="A911" t="s">
        <v>120</v>
      </c>
      <c r="B911" t="s">
        <v>33</v>
      </c>
      <c r="C911" t="s">
        <v>18</v>
      </c>
      <c r="D911" t="s">
        <v>29</v>
      </c>
      <c r="E911">
        <v>4</v>
      </c>
      <c r="F911">
        <v>160</v>
      </c>
      <c r="G911">
        <v>95.2</v>
      </c>
      <c r="H911">
        <v>4</v>
      </c>
      <c r="I911">
        <v>4</v>
      </c>
      <c r="J911">
        <v>6.83</v>
      </c>
      <c r="K911">
        <v>5.25</v>
      </c>
      <c r="L911">
        <v>0</v>
      </c>
      <c r="M911" t="s">
        <v>20</v>
      </c>
      <c r="N911" t="s">
        <v>21</v>
      </c>
      <c r="O911">
        <v>17.11</v>
      </c>
      <c r="P911" t="s">
        <v>42</v>
      </c>
    </row>
    <row r="912" spans="1:16" x14ac:dyDescent="0.3">
      <c r="A912" t="s">
        <v>120</v>
      </c>
      <c r="B912" t="s">
        <v>33</v>
      </c>
      <c r="C912" t="s">
        <v>31</v>
      </c>
      <c r="D912" t="s">
        <v>39</v>
      </c>
      <c r="E912">
        <v>4</v>
      </c>
      <c r="F912">
        <v>157.19999999999999</v>
      </c>
      <c r="G912">
        <v>100</v>
      </c>
      <c r="H912">
        <v>6.3</v>
      </c>
      <c r="I912">
        <v>9</v>
      </c>
      <c r="J912">
        <v>8.56</v>
      </c>
      <c r="K912">
        <v>4.76</v>
      </c>
      <c r="L912">
        <v>0</v>
      </c>
      <c r="M912" t="s">
        <v>20</v>
      </c>
      <c r="N912" t="s">
        <v>35</v>
      </c>
      <c r="O912">
        <v>18.739999999999998</v>
      </c>
      <c r="P912" t="s">
        <v>44</v>
      </c>
    </row>
    <row r="913" spans="1:16" x14ac:dyDescent="0.3">
      <c r="A913" t="s">
        <v>120</v>
      </c>
      <c r="B913" t="s">
        <v>27</v>
      </c>
      <c r="C913" t="s">
        <v>37</v>
      </c>
      <c r="D913" t="s">
        <v>39</v>
      </c>
      <c r="E913">
        <v>4</v>
      </c>
      <c r="F913">
        <v>152.9</v>
      </c>
      <c r="G913">
        <v>90.9</v>
      </c>
      <c r="H913">
        <v>5.3</v>
      </c>
      <c r="I913">
        <v>2</v>
      </c>
      <c r="J913">
        <v>10</v>
      </c>
      <c r="K913">
        <v>6.96</v>
      </c>
      <c r="L913">
        <v>1</v>
      </c>
      <c r="M913" t="s">
        <v>25</v>
      </c>
      <c r="N913" t="s">
        <v>35</v>
      </c>
      <c r="O913">
        <v>14.48</v>
      </c>
      <c r="P913" t="s">
        <v>45</v>
      </c>
    </row>
    <row r="914" spans="1:16" x14ac:dyDescent="0.3">
      <c r="A914" t="s">
        <v>121</v>
      </c>
      <c r="B914" t="s">
        <v>17</v>
      </c>
      <c r="C914" t="s">
        <v>41</v>
      </c>
      <c r="D914" t="s">
        <v>19</v>
      </c>
      <c r="E914">
        <v>1</v>
      </c>
      <c r="F914">
        <v>168.3</v>
      </c>
      <c r="G914">
        <v>97.7</v>
      </c>
      <c r="H914">
        <v>6.5</v>
      </c>
      <c r="I914">
        <v>5</v>
      </c>
      <c r="J914">
        <v>7.88</v>
      </c>
      <c r="K914">
        <v>4.74</v>
      </c>
      <c r="L914">
        <v>1</v>
      </c>
      <c r="M914" t="s">
        <v>34</v>
      </c>
      <c r="N914" t="s">
        <v>21</v>
      </c>
      <c r="O914">
        <v>8.77</v>
      </c>
      <c r="P914" t="s">
        <v>22</v>
      </c>
    </row>
    <row r="915" spans="1:16" x14ac:dyDescent="0.3">
      <c r="A915" t="s">
        <v>121</v>
      </c>
      <c r="B915" t="s">
        <v>43</v>
      </c>
      <c r="C915" t="s">
        <v>24</v>
      </c>
      <c r="D915" t="s">
        <v>19</v>
      </c>
      <c r="E915">
        <v>10</v>
      </c>
      <c r="F915">
        <v>174.2</v>
      </c>
      <c r="G915">
        <v>88.5</v>
      </c>
      <c r="H915">
        <v>5.4</v>
      </c>
      <c r="I915">
        <v>6</v>
      </c>
      <c r="J915">
        <v>8.6</v>
      </c>
      <c r="K915">
        <v>7.84</v>
      </c>
      <c r="L915">
        <v>1</v>
      </c>
      <c r="M915" t="s">
        <v>25</v>
      </c>
      <c r="N915" t="s">
        <v>26</v>
      </c>
      <c r="O915">
        <v>8.48</v>
      </c>
      <c r="P915" t="s">
        <v>22</v>
      </c>
    </row>
    <row r="916" spans="1:16" x14ac:dyDescent="0.3">
      <c r="A916" t="s">
        <v>121</v>
      </c>
      <c r="B916" t="s">
        <v>43</v>
      </c>
      <c r="C916" t="s">
        <v>41</v>
      </c>
      <c r="D916" t="s">
        <v>39</v>
      </c>
      <c r="E916">
        <v>5</v>
      </c>
      <c r="F916">
        <v>159.5</v>
      </c>
      <c r="G916">
        <v>91.3</v>
      </c>
      <c r="H916">
        <v>7.3</v>
      </c>
      <c r="I916">
        <v>5</v>
      </c>
      <c r="J916">
        <v>8.58</v>
      </c>
      <c r="K916">
        <v>6.9</v>
      </c>
      <c r="L916">
        <v>1</v>
      </c>
      <c r="M916" t="s">
        <v>20</v>
      </c>
      <c r="N916" t="s">
        <v>21</v>
      </c>
      <c r="O916">
        <v>10.99</v>
      </c>
      <c r="P916" t="s">
        <v>28</v>
      </c>
    </row>
    <row r="917" spans="1:16" x14ac:dyDescent="0.3">
      <c r="A917" t="s">
        <v>121</v>
      </c>
      <c r="B917" t="s">
        <v>23</v>
      </c>
      <c r="C917" t="s">
        <v>24</v>
      </c>
      <c r="D917" t="s">
        <v>29</v>
      </c>
      <c r="E917">
        <v>2</v>
      </c>
      <c r="F917">
        <v>156.80000000000001</v>
      </c>
      <c r="G917">
        <v>94.8</v>
      </c>
      <c r="H917">
        <v>4.3</v>
      </c>
      <c r="I917">
        <v>3</v>
      </c>
      <c r="J917">
        <v>7.15</v>
      </c>
      <c r="K917">
        <v>8.11</v>
      </c>
      <c r="L917">
        <v>0</v>
      </c>
      <c r="M917" t="s">
        <v>20</v>
      </c>
      <c r="N917" t="s">
        <v>35</v>
      </c>
      <c r="O917">
        <v>6.24</v>
      </c>
      <c r="P917" t="s">
        <v>28</v>
      </c>
    </row>
    <row r="918" spans="1:16" x14ac:dyDescent="0.3">
      <c r="A918" t="s">
        <v>121</v>
      </c>
      <c r="B918" t="s">
        <v>27</v>
      </c>
      <c r="C918" t="s">
        <v>31</v>
      </c>
      <c r="D918" t="s">
        <v>29</v>
      </c>
      <c r="E918">
        <v>7</v>
      </c>
      <c r="F918">
        <v>152.6</v>
      </c>
      <c r="G918">
        <v>90.4</v>
      </c>
      <c r="H918">
        <v>7.1</v>
      </c>
      <c r="I918">
        <v>6</v>
      </c>
      <c r="K918">
        <v>3.74</v>
      </c>
      <c r="L918">
        <v>0</v>
      </c>
      <c r="M918" t="s">
        <v>20</v>
      </c>
      <c r="N918" t="s">
        <v>26</v>
      </c>
      <c r="O918">
        <v>19.440000000000001</v>
      </c>
      <c r="P918" t="s">
        <v>30</v>
      </c>
    </row>
    <row r="919" spans="1:16" x14ac:dyDescent="0.3">
      <c r="A919" t="s">
        <v>121</v>
      </c>
      <c r="B919" t="s">
        <v>23</v>
      </c>
      <c r="C919" t="s">
        <v>18</v>
      </c>
      <c r="D919" t="s">
        <v>39</v>
      </c>
      <c r="E919">
        <v>10</v>
      </c>
      <c r="F919">
        <v>175.5</v>
      </c>
      <c r="G919">
        <v>86.7</v>
      </c>
      <c r="H919">
        <v>1.1000000000000001</v>
      </c>
      <c r="I919">
        <v>4</v>
      </c>
      <c r="J919">
        <v>7.37</v>
      </c>
      <c r="K919">
        <v>7.51</v>
      </c>
      <c r="L919">
        <v>1</v>
      </c>
      <c r="M919" t="s">
        <v>20</v>
      </c>
      <c r="N919" t="s">
        <v>26</v>
      </c>
      <c r="O919">
        <v>5.74</v>
      </c>
      <c r="P919" t="s">
        <v>32</v>
      </c>
    </row>
    <row r="920" spans="1:16" x14ac:dyDescent="0.3">
      <c r="A920" t="s">
        <v>121</v>
      </c>
      <c r="B920" t="s">
        <v>23</v>
      </c>
      <c r="C920" t="s">
        <v>37</v>
      </c>
      <c r="D920" t="s">
        <v>19</v>
      </c>
      <c r="E920">
        <v>3</v>
      </c>
      <c r="F920">
        <v>149.19999999999999</v>
      </c>
      <c r="G920">
        <v>95.4</v>
      </c>
      <c r="H920">
        <v>10.3</v>
      </c>
      <c r="I920">
        <v>4</v>
      </c>
      <c r="J920">
        <v>5.78</v>
      </c>
      <c r="K920">
        <v>6.7</v>
      </c>
      <c r="L920">
        <v>1</v>
      </c>
      <c r="M920" t="s">
        <v>25</v>
      </c>
      <c r="N920" t="s">
        <v>21</v>
      </c>
      <c r="O920">
        <v>17.21</v>
      </c>
      <c r="P920" t="s">
        <v>36</v>
      </c>
    </row>
    <row r="921" spans="1:16" x14ac:dyDescent="0.3">
      <c r="A921" t="s">
        <v>121</v>
      </c>
      <c r="B921" t="s">
        <v>43</v>
      </c>
      <c r="C921" t="s">
        <v>37</v>
      </c>
      <c r="D921" t="s">
        <v>29</v>
      </c>
      <c r="E921">
        <v>10</v>
      </c>
      <c r="F921">
        <v>161.30000000000001</v>
      </c>
      <c r="G921">
        <v>91.9</v>
      </c>
      <c r="H921">
        <v>4</v>
      </c>
      <c r="I921">
        <v>7</v>
      </c>
      <c r="J921">
        <v>7.61</v>
      </c>
      <c r="K921">
        <v>6.25</v>
      </c>
      <c r="L921">
        <v>0</v>
      </c>
      <c r="M921" t="s">
        <v>25</v>
      </c>
      <c r="N921" t="s">
        <v>26</v>
      </c>
      <c r="O921">
        <v>14.88</v>
      </c>
      <c r="P921" t="s">
        <v>38</v>
      </c>
    </row>
    <row r="922" spans="1:16" x14ac:dyDescent="0.3">
      <c r="A922" t="s">
        <v>121</v>
      </c>
      <c r="B922" t="s">
        <v>23</v>
      </c>
      <c r="C922" t="s">
        <v>31</v>
      </c>
      <c r="D922" t="s">
        <v>29</v>
      </c>
      <c r="E922">
        <v>10</v>
      </c>
      <c r="F922">
        <v>149.5</v>
      </c>
      <c r="G922">
        <v>98.6</v>
      </c>
      <c r="H922">
        <v>3.6</v>
      </c>
      <c r="I922">
        <v>10</v>
      </c>
      <c r="J922">
        <v>7.19</v>
      </c>
      <c r="K922">
        <v>5.26</v>
      </c>
      <c r="L922">
        <v>0</v>
      </c>
      <c r="M922" t="s">
        <v>25</v>
      </c>
      <c r="N922" t="s">
        <v>26</v>
      </c>
      <c r="O922">
        <v>20.59</v>
      </c>
      <c r="P922" t="s">
        <v>40</v>
      </c>
    </row>
    <row r="923" spans="1:16" x14ac:dyDescent="0.3">
      <c r="A923" t="s">
        <v>121</v>
      </c>
      <c r="B923" t="s">
        <v>43</v>
      </c>
      <c r="C923" t="s">
        <v>31</v>
      </c>
      <c r="D923" t="s">
        <v>39</v>
      </c>
      <c r="E923">
        <v>3</v>
      </c>
      <c r="F923">
        <v>163.5</v>
      </c>
      <c r="G923">
        <v>88.4</v>
      </c>
      <c r="I923">
        <v>6</v>
      </c>
      <c r="J923">
        <v>8.2200000000000006</v>
      </c>
      <c r="K923">
        <v>5.35</v>
      </c>
      <c r="L923">
        <v>0</v>
      </c>
      <c r="M923" t="s">
        <v>20</v>
      </c>
      <c r="N923" t="s">
        <v>35</v>
      </c>
      <c r="O923">
        <v>12.85</v>
      </c>
      <c r="P923" t="s">
        <v>42</v>
      </c>
    </row>
    <row r="924" spans="1:16" x14ac:dyDescent="0.3">
      <c r="A924" t="s">
        <v>121</v>
      </c>
      <c r="B924" t="s">
        <v>43</v>
      </c>
      <c r="C924" t="s">
        <v>18</v>
      </c>
      <c r="D924" t="s">
        <v>29</v>
      </c>
      <c r="E924">
        <v>3</v>
      </c>
      <c r="F924">
        <v>142.19999999999999</v>
      </c>
      <c r="G924">
        <v>95.9</v>
      </c>
      <c r="H924">
        <v>5.9</v>
      </c>
      <c r="I924">
        <v>4</v>
      </c>
      <c r="J924">
        <v>6.63</v>
      </c>
      <c r="K924">
        <v>8.02</v>
      </c>
      <c r="L924">
        <v>1</v>
      </c>
      <c r="M924" t="s">
        <v>34</v>
      </c>
      <c r="N924" t="s">
        <v>21</v>
      </c>
      <c r="O924">
        <v>16.22</v>
      </c>
      <c r="P924" t="s">
        <v>44</v>
      </c>
    </row>
    <row r="925" spans="1:16" x14ac:dyDescent="0.3">
      <c r="A925" t="s">
        <v>121</v>
      </c>
      <c r="B925" t="s">
        <v>33</v>
      </c>
      <c r="C925" t="s">
        <v>18</v>
      </c>
      <c r="D925" t="s">
        <v>39</v>
      </c>
      <c r="E925">
        <v>8</v>
      </c>
      <c r="F925">
        <v>181.3</v>
      </c>
      <c r="G925">
        <v>98.3</v>
      </c>
      <c r="H925">
        <v>0</v>
      </c>
      <c r="I925">
        <v>6</v>
      </c>
      <c r="J925">
        <v>8.82</v>
      </c>
      <c r="K925">
        <v>7.15</v>
      </c>
      <c r="L925">
        <v>1</v>
      </c>
      <c r="M925" t="s">
        <v>34</v>
      </c>
      <c r="N925" t="s">
        <v>21</v>
      </c>
      <c r="O925">
        <v>18.28</v>
      </c>
      <c r="P925" t="s">
        <v>45</v>
      </c>
    </row>
    <row r="926" spans="1:16" x14ac:dyDescent="0.3">
      <c r="A926" t="s">
        <v>122</v>
      </c>
      <c r="B926" t="s">
        <v>17</v>
      </c>
      <c r="C926" t="s">
        <v>18</v>
      </c>
      <c r="D926" t="s">
        <v>19</v>
      </c>
      <c r="E926">
        <v>10</v>
      </c>
      <c r="F926">
        <v>185.5</v>
      </c>
      <c r="G926">
        <v>100</v>
      </c>
      <c r="H926">
        <v>4</v>
      </c>
      <c r="I926">
        <v>5</v>
      </c>
      <c r="J926">
        <v>5.32</v>
      </c>
      <c r="K926">
        <v>6.19</v>
      </c>
      <c r="L926">
        <v>1</v>
      </c>
      <c r="M926" t="s">
        <v>34</v>
      </c>
      <c r="N926" t="s">
        <v>21</v>
      </c>
      <c r="O926">
        <v>8.89</v>
      </c>
      <c r="P926" t="s">
        <v>22</v>
      </c>
    </row>
    <row r="927" spans="1:16" x14ac:dyDescent="0.3">
      <c r="A927" t="s">
        <v>122</v>
      </c>
      <c r="B927" t="s">
        <v>23</v>
      </c>
      <c r="C927" t="s">
        <v>37</v>
      </c>
      <c r="D927" t="s">
        <v>39</v>
      </c>
      <c r="E927">
        <v>3</v>
      </c>
      <c r="F927">
        <v>168.4</v>
      </c>
      <c r="G927">
        <v>82.2</v>
      </c>
      <c r="H927">
        <v>0.7</v>
      </c>
      <c r="I927">
        <v>15</v>
      </c>
      <c r="J927">
        <v>9.0399999999999991</v>
      </c>
      <c r="K927">
        <v>6.11</v>
      </c>
      <c r="L927">
        <v>0</v>
      </c>
      <c r="M927" t="s">
        <v>25</v>
      </c>
      <c r="N927" t="s">
        <v>21</v>
      </c>
      <c r="O927">
        <v>9.23</v>
      </c>
      <c r="P927" t="s">
        <v>22</v>
      </c>
    </row>
    <row r="928" spans="1:16" x14ac:dyDescent="0.3">
      <c r="A928" t="s">
        <v>122</v>
      </c>
      <c r="B928" t="s">
        <v>43</v>
      </c>
      <c r="C928" t="s">
        <v>41</v>
      </c>
      <c r="D928" t="s">
        <v>19</v>
      </c>
      <c r="E928">
        <v>1</v>
      </c>
      <c r="F928">
        <v>164</v>
      </c>
      <c r="G928">
        <v>95.5</v>
      </c>
      <c r="H928">
        <v>2.7</v>
      </c>
      <c r="I928">
        <v>8</v>
      </c>
      <c r="J928">
        <v>9.6199999999999992</v>
      </c>
      <c r="K928">
        <v>7.3</v>
      </c>
      <c r="L928">
        <v>1</v>
      </c>
      <c r="M928" t="s">
        <v>20</v>
      </c>
      <c r="N928" t="s">
        <v>21</v>
      </c>
      <c r="O928">
        <v>12.66</v>
      </c>
      <c r="P928" t="s">
        <v>28</v>
      </c>
    </row>
    <row r="929" spans="1:16" x14ac:dyDescent="0.3">
      <c r="A929" t="s">
        <v>122</v>
      </c>
      <c r="B929" t="s">
        <v>17</v>
      </c>
      <c r="C929" t="s">
        <v>18</v>
      </c>
      <c r="D929" t="s">
        <v>39</v>
      </c>
      <c r="E929">
        <v>6</v>
      </c>
      <c r="F929">
        <v>173.1</v>
      </c>
      <c r="G929">
        <v>91.4</v>
      </c>
      <c r="H929">
        <v>4.5</v>
      </c>
      <c r="I929">
        <v>14</v>
      </c>
      <c r="J929">
        <v>4</v>
      </c>
      <c r="K929">
        <v>8.0299999999999994</v>
      </c>
      <c r="L929">
        <v>1</v>
      </c>
      <c r="M929" t="s">
        <v>20</v>
      </c>
      <c r="N929" t="s">
        <v>35</v>
      </c>
      <c r="O929">
        <v>18.84</v>
      </c>
      <c r="P929" t="s">
        <v>28</v>
      </c>
    </row>
    <row r="930" spans="1:16" x14ac:dyDescent="0.3">
      <c r="A930" t="s">
        <v>122</v>
      </c>
      <c r="B930" t="s">
        <v>27</v>
      </c>
      <c r="C930" t="s">
        <v>41</v>
      </c>
      <c r="D930" t="s">
        <v>19</v>
      </c>
      <c r="E930">
        <v>4</v>
      </c>
      <c r="F930">
        <v>155.9</v>
      </c>
      <c r="G930">
        <v>95.9</v>
      </c>
      <c r="I930">
        <v>8</v>
      </c>
      <c r="J930">
        <v>7.96</v>
      </c>
      <c r="K930">
        <v>4.53</v>
      </c>
      <c r="L930">
        <v>0</v>
      </c>
      <c r="M930" t="s">
        <v>20</v>
      </c>
      <c r="N930" t="s">
        <v>35</v>
      </c>
      <c r="O930">
        <v>7.54</v>
      </c>
      <c r="P930" t="s">
        <v>30</v>
      </c>
    </row>
    <row r="931" spans="1:16" x14ac:dyDescent="0.3">
      <c r="A931" t="s">
        <v>122</v>
      </c>
      <c r="B931" t="s">
        <v>23</v>
      </c>
      <c r="C931" t="s">
        <v>37</v>
      </c>
      <c r="D931" t="s">
        <v>39</v>
      </c>
      <c r="E931">
        <v>3</v>
      </c>
      <c r="F931">
        <v>163.5</v>
      </c>
      <c r="G931">
        <v>93.3</v>
      </c>
      <c r="H931">
        <v>6</v>
      </c>
      <c r="I931">
        <v>6</v>
      </c>
      <c r="J931">
        <v>9.7200000000000006</v>
      </c>
      <c r="K931">
        <v>5.6</v>
      </c>
      <c r="L931">
        <v>1</v>
      </c>
      <c r="M931" t="s">
        <v>20</v>
      </c>
      <c r="N931" t="s">
        <v>21</v>
      </c>
      <c r="O931">
        <v>13.49</v>
      </c>
      <c r="P931" t="s">
        <v>32</v>
      </c>
    </row>
    <row r="932" spans="1:16" x14ac:dyDescent="0.3">
      <c r="A932" t="s">
        <v>122</v>
      </c>
      <c r="B932" t="s">
        <v>23</v>
      </c>
      <c r="C932" t="s">
        <v>31</v>
      </c>
      <c r="D932" t="s">
        <v>29</v>
      </c>
      <c r="E932">
        <v>1</v>
      </c>
      <c r="F932">
        <v>159.30000000000001</v>
      </c>
      <c r="G932">
        <v>99.3</v>
      </c>
      <c r="H932">
        <v>7.3</v>
      </c>
      <c r="I932">
        <v>3</v>
      </c>
      <c r="J932">
        <v>6.39</v>
      </c>
      <c r="K932">
        <v>6.67</v>
      </c>
      <c r="L932">
        <v>0</v>
      </c>
      <c r="M932" t="s">
        <v>25</v>
      </c>
      <c r="N932" t="s">
        <v>21</v>
      </c>
      <c r="O932">
        <v>12.98</v>
      </c>
      <c r="P932" t="s">
        <v>36</v>
      </c>
    </row>
    <row r="933" spans="1:16" x14ac:dyDescent="0.3">
      <c r="A933" t="s">
        <v>122</v>
      </c>
      <c r="B933" t="s">
        <v>23</v>
      </c>
      <c r="C933" t="s">
        <v>24</v>
      </c>
      <c r="D933" t="s">
        <v>19</v>
      </c>
      <c r="E933">
        <v>10</v>
      </c>
      <c r="F933">
        <v>167.9</v>
      </c>
      <c r="G933">
        <v>97.6</v>
      </c>
      <c r="H933">
        <v>7.5</v>
      </c>
      <c r="I933">
        <v>2</v>
      </c>
      <c r="J933">
        <v>4.47</v>
      </c>
      <c r="K933">
        <v>10</v>
      </c>
      <c r="L933">
        <v>1</v>
      </c>
      <c r="M933" t="s">
        <v>25</v>
      </c>
      <c r="N933" t="s">
        <v>26</v>
      </c>
      <c r="O933">
        <v>12.7</v>
      </c>
      <c r="P933" t="s">
        <v>38</v>
      </c>
    </row>
    <row r="934" spans="1:16" x14ac:dyDescent="0.3">
      <c r="A934" t="s">
        <v>122</v>
      </c>
      <c r="B934" t="s">
        <v>27</v>
      </c>
      <c r="C934" t="s">
        <v>24</v>
      </c>
      <c r="D934" t="s">
        <v>29</v>
      </c>
      <c r="E934">
        <v>6</v>
      </c>
      <c r="F934">
        <v>145.19999999999999</v>
      </c>
      <c r="G934">
        <v>95.8</v>
      </c>
      <c r="H934">
        <v>5.5</v>
      </c>
      <c r="I934">
        <v>10</v>
      </c>
      <c r="J934">
        <v>10</v>
      </c>
      <c r="K934">
        <v>9.92</v>
      </c>
      <c r="L934">
        <v>0</v>
      </c>
      <c r="M934" t="s">
        <v>20</v>
      </c>
      <c r="N934" t="s">
        <v>26</v>
      </c>
      <c r="O934">
        <v>14.75</v>
      </c>
      <c r="P934" t="s">
        <v>40</v>
      </c>
    </row>
    <row r="935" spans="1:16" x14ac:dyDescent="0.3">
      <c r="A935" t="s">
        <v>122</v>
      </c>
      <c r="B935" t="s">
        <v>17</v>
      </c>
      <c r="C935" t="s">
        <v>31</v>
      </c>
      <c r="D935" t="s">
        <v>19</v>
      </c>
      <c r="E935">
        <v>5</v>
      </c>
      <c r="F935">
        <v>161.1</v>
      </c>
      <c r="G935">
        <v>93.4</v>
      </c>
      <c r="H935">
        <v>6</v>
      </c>
      <c r="I935">
        <v>4</v>
      </c>
      <c r="J935">
        <v>8.65</v>
      </c>
      <c r="K935">
        <v>4.6100000000000003</v>
      </c>
      <c r="L935">
        <v>0</v>
      </c>
      <c r="M935" t="s">
        <v>20</v>
      </c>
      <c r="N935" t="s">
        <v>26</v>
      </c>
      <c r="O935">
        <v>16.43</v>
      </c>
      <c r="P935" t="s">
        <v>42</v>
      </c>
    </row>
    <row r="936" spans="1:16" x14ac:dyDescent="0.3">
      <c r="A936" t="s">
        <v>122</v>
      </c>
      <c r="B936" t="s">
        <v>27</v>
      </c>
      <c r="C936" t="s">
        <v>18</v>
      </c>
      <c r="D936" t="s">
        <v>19</v>
      </c>
      <c r="E936">
        <v>8</v>
      </c>
      <c r="F936">
        <v>174.5</v>
      </c>
      <c r="G936">
        <v>88.1</v>
      </c>
      <c r="H936">
        <v>1</v>
      </c>
      <c r="I936">
        <v>4</v>
      </c>
      <c r="J936">
        <v>7.87</v>
      </c>
      <c r="K936">
        <v>6.87</v>
      </c>
      <c r="L936">
        <v>0</v>
      </c>
      <c r="M936" t="s">
        <v>25</v>
      </c>
      <c r="N936" t="s">
        <v>26</v>
      </c>
      <c r="O936">
        <v>19.79</v>
      </c>
      <c r="P936" t="s">
        <v>44</v>
      </c>
    </row>
    <row r="937" spans="1:16" x14ac:dyDescent="0.3">
      <c r="A937" t="s">
        <v>122</v>
      </c>
      <c r="B937" t="s">
        <v>17</v>
      </c>
      <c r="C937" t="s">
        <v>18</v>
      </c>
      <c r="D937" t="s">
        <v>29</v>
      </c>
      <c r="E937">
        <v>3</v>
      </c>
      <c r="F937">
        <v>162.1</v>
      </c>
      <c r="G937">
        <v>94</v>
      </c>
      <c r="H937">
        <v>6.7</v>
      </c>
      <c r="I937">
        <v>7</v>
      </c>
      <c r="J937">
        <v>6.15</v>
      </c>
      <c r="K937">
        <v>5.75</v>
      </c>
      <c r="L937">
        <v>0</v>
      </c>
      <c r="M937" t="s">
        <v>34</v>
      </c>
      <c r="N937" t="s">
        <v>21</v>
      </c>
      <c r="O937">
        <v>15.67</v>
      </c>
      <c r="P937" t="s">
        <v>45</v>
      </c>
    </row>
    <row r="938" spans="1:16" x14ac:dyDescent="0.3">
      <c r="A938" t="s">
        <v>123</v>
      </c>
      <c r="B938" t="s">
        <v>43</v>
      </c>
      <c r="C938" t="s">
        <v>31</v>
      </c>
      <c r="D938" t="s">
        <v>39</v>
      </c>
      <c r="E938">
        <v>9</v>
      </c>
      <c r="F938">
        <v>156.4</v>
      </c>
      <c r="G938">
        <v>90.6</v>
      </c>
      <c r="H938">
        <v>6.1</v>
      </c>
      <c r="I938">
        <v>4</v>
      </c>
      <c r="J938">
        <v>9.36</v>
      </c>
      <c r="K938">
        <v>8.2899999999999991</v>
      </c>
      <c r="L938">
        <v>0</v>
      </c>
      <c r="M938" t="s">
        <v>25</v>
      </c>
      <c r="N938" t="s">
        <v>26</v>
      </c>
      <c r="O938">
        <v>14.84</v>
      </c>
      <c r="P938" t="s">
        <v>22</v>
      </c>
    </row>
    <row r="939" spans="1:16" x14ac:dyDescent="0.3">
      <c r="A939" t="s">
        <v>123</v>
      </c>
      <c r="B939" t="s">
        <v>33</v>
      </c>
      <c r="C939" t="s">
        <v>31</v>
      </c>
      <c r="D939" t="s">
        <v>19</v>
      </c>
      <c r="E939">
        <v>1</v>
      </c>
      <c r="F939">
        <v>160.6</v>
      </c>
      <c r="G939">
        <v>96.5</v>
      </c>
      <c r="H939">
        <v>4.2</v>
      </c>
      <c r="I939">
        <v>2</v>
      </c>
      <c r="J939">
        <v>10</v>
      </c>
      <c r="K939">
        <v>6.85</v>
      </c>
      <c r="L939">
        <v>0</v>
      </c>
      <c r="M939" t="s">
        <v>25</v>
      </c>
      <c r="N939" t="s">
        <v>21</v>
      </c>
      <c r="O939">
        <v>13.45</v>
      </c>
      <c r="P939" t="s">
        <v>22</v>
      </c>
    </row>
    <row r="940" spans="1:16" x14ac:dyDescent="0.3">
      <c r="A940" t="s">
        <v>123</v>
      </c>
      <c r="B940" t="s">
        <v>17</v>
      </c>
      <c r="C940" t="s">
        <v>37</v>
      </c>
      <c r="D940" t="s">
        <v>39</v>
      </c>
      <c r="E940">
        <v>4</v>
      </c>
      <c r="F940">
        <v>162.5</v>
      </c>
      <c r="G940">
        <v>94.5</v>
      </c>
      <c r="H940">
        <v>10.5</v>
      </c>
      <c r="I940">
        <v>4</v>
      </c>
      <c r="J940">
        <v>7.09</v>
      </c>
      <c r="K940">
        <v>7.46</v>
      </c>
      <c r="L940">
        <v>1</v>
      </c>
      <c r="M940" t="s">
        <v>34</v>
      </c>
      <c r="N940" t="s">
        <v>21</v>
      </c>
      <c r="O940">
        <v>16.07</v>
      </c>
      <c r="P940" t="s">
        <v>28</v>
      </c>
    </row>
    <row r="941" spans="1:16" x14ac:dyDescent="0.3">
      <c r="A941" t="s">
        <v>123</v>
      </c>
      <c r="B941" t="s">
        <v>27</v>
      </c>
      <c r="C941" t="s">
        <v>37</v>
      </c>
      <c r="D941" t="s">
        <v>19</v>
      </c>
      <c r="E941">
        <v>8</v>
      </c>
      <c r="F941">
        <v>145.69999999999999</v>
      </c>
      <c r="G941">
        <v>90.5</v>
      </c>
      <c r="H941">
        <v>5.9</v>
      </c>
      <c r="I941">
        <v>7</v>
      </c>
      <c r="J941">
        <v>9.11</v>
      </c>
      <c r="K941">
        <v>5.3</v>
      </c>
      <c r="L941">
        <v>1</v>
      </c>
      <c r="M941" t="s">
        <v>34</v>
      </c>
      <c r="N941" t="s">
        <v>26</v>
      </c>
      <c r="O941">
        <v>13.69</v>
      </c>
      <c r="P941" t="s">
        <v>28</v>
      </c>
    </row>
    <row r="942" spans="1:16" x14ac:dyDescent="0.3">
      <c r="A942" t="s">
        <v>123</v>
      </c>
      <c r="B942" t="s">
        <v>23</v>
      </c>
      <c r="C942" t="s">
        <v>31</v>
      </c>
      <c r="D942" t="s">
        <v>29</v>
      </c>
      <c r="E942">
        <v>9</v>
      </c>
      <c r="F942">
        <v>151.1</v>
      </c>
      <c r="G942">
        <v>94.9</v>
      </c>
      <c r="H942">
        <v>3.4</v>
      </c>
      <c r="I942">
        <v>1</v>
      </c>
      <c r="J942">
        <v>7.17</v>
      </c>
      <c r="K942">
        <v>5.93</v>
      </c>
      <c r="L942">
        <v>0</v>
      </c>
      <c r="M942" t="s">
        <v>34</v>
      </c>
      <c r="N942" t="s">
        <v>26</v>
      </c>
      <c r="O942">
        <v>7.4</v>
      </c>
      <c r="P942" t="s">
        <v>30</v>
      </c>
    </row>
    <row r="943" spans="1:16" x14ac:dyDescent="0.3">
      <c r="A943" t="s">
        <v>123</v>
      </c>
      <c r="B943" t="s">
        <v>27</v>
      </c>
      <c r="C943" t="s">
        <v>18</v>
      </c>
      <c r="D943" t="s">
        <v>39</v>
      </c>
      <c r="E943">
        <v>8</v>
      </c>
      <c r="F943">
        <v>159.9</v>
      </c>
      <c r="G943">
        <v>100</v>
      </c>
      <c r="H943">
        <v>5.5</v>
      </c>
      <c r="I943">
        <v>4</v>
      </c>
      <c r="J943">
        <v>5.48</v>
      </c>
      <c r="K943">
        <v>7.1</v>
      </c>
      <c r="L943">
        <v>0</v>
      </c>
      <c r="M943" t="s">
        <v>25</v>
      </c>
      <c r="N943" t="s">
        <v>21</v>
      </c>
      <c r="O943">
        <v>14.27</v>
      </c>
      <c r="P943" t="s">
        <v>32</v>
      </c>
    </row>
    <row r="944" spans="1:16" x14ac:dyDescent="0.3">
      <c r="A944" t="s">
        <v>123</v>
      </c>
      <c r="B944" t="s">
        <v>43</v>
      </c>
      <c r="C944" t="s">
        <v>24</v>
      </c>
      <c r="D944" t="s">
        <v>19</v>
      </c>
      <c r="E944">
        <v>10</v>
      </c>
      <c r="F944">
        <v>174.1</v>
      </c>
      <c r="G944">
        <v>88.5</v>
      </c>
      <c r="H944">
        <v>5.7</v>
      </c>
      <c r="I944">
        <v>5</v>
      </c>
      <c r="J944">
        <v>5.23</v>
      </c>
      <c r="K944">
        <v>7.57</v>
      </c>
      <c r="L944">
        <v>0</v>
      </c>
      <c r="M944" t="s">
        <v>25</v>
      </c>
      <c r="N944" t="s">
        <v>35</v>
      </c>
      <c r="O944">
        <v>22.5</v>
      </c>
      <c r="P944" t="s">
        <v>36</v>
      </c>
    </row>
    <row r="945" spans="1:16" x14ac:dyDescent="0.3">
      <c r="A945" t="s">
        <v>123</v>
      </c>
      <c r="B945" t="s">
        <v>27</v>
      </c>
      <c r="C945" t="s">
        <v>24</v>
      </c>
      <c r="D945" t="s">
        <v>39</v>
      </c>
      <c r="E945">
        <v>4</v>
      </c>
      <c r="F945">
        <v>165.8</v>
      </c>
      <c r="G945">
        <v>99.4</v>
      </c>
      <c r="H945">
        <v>3.7</v>
      </c>
      <c r="I945">
        <v>8</v>
      </c>
      <c r="J945">
        <v>8.5500000000000007</v>
      </c>
      <c r="K945">
        <v>7.32</v>
      </c>
      <c r="L945">
        <v>1</v>
      </c>
      <c r="M945" t="s">
        <v>34</v>
      </c>
      <c r="N945" t="s">
        <v>35</v>
      </c>
      <c r="O945">
        <v>8.6</v>
      </c>
      <c r="P945" t="s">
        <v>38</v>
      </c>
    </row>
    <row r="946" spans="1:16" x14ac:dyDescent="0.3">
      <c r="A946" t="s">
        <v>123</v>
      </c>
      <c r="B946" t="s">
        <v>33</v>
      </c>
      <c r="C946" t="s">
        <v>24</v>
      </c>
      <c r="D946" t="s">
        <v>29</v>
      </c>
      <c r="E946">
        <v>8</v>
      </c>
      <c r="F946">
        <v>144.6</v>
      </c>
      <c r="G946">
        <v>100</v>
      </c>
      <c r="H946">
        <v>4.5999999999999996</v>
      </c>
      <c r="I946">
        <v>5</v>
      </c>
      <c r="J946">
        <v>7.36</v>
      </c>
      <c r="K946">
        <v>6.92</v>
      </c>
      <c r="L946">
        <v>0</v>
      </c>
      <c r="M946" t="s">
        <v>34</v>
      </c>
      <c r="N946" t="s">
        <v>35</v>
      </c>
      <c r="O946">
        <v>20.94</v>
      </c>
      <c r="P946" t="s">
        <v>40</v>
      </c>
    </row>
    <row r="947" spans="1:16" x14ac:dyDescent="0.3">
      <c r="A947" t="s">
        <v>123</v>
      </c>
      <c r="B947" t="s">
        <v>23</v>
      </c>
      <c r="C947" t="s">
        <v>31</v>
      </c>
      <c r="D947" t="s">
        <v>39</v>
      </c>
      <c r="E947">
        <v>3</v>
      </c>
      <c r="F947">
        <v>158.9</v>
      </c>
      <c r="G947">
        <v>98.4</v>
      </c>
      <c r="H947">
        <v>4.7</v>
      </c>
      <c r="I947">
        <v>6</v>
      </c>
      <c r="J947">
        <v>9.8000000000000007</v>
      </c>
      <c r="K947">
        <v>7.3</v>
      </c>
      <c r="L947">
        <v>0</v>
      </c>
      <c r="M947" t="s">
        <v>25</v>
      </c>
      <c r="N947" t="s">
        <v>21</v>
      </c>
      <c r="O947">
        <v>17.760000000000002</v>
      </c>
      <c r="P947" t="s">
        <v>42</v>
      </c>
    </row>
    <row r="948" spans="1:16" x14ac:dyDescent="0.3">
      <c r="A948" t="s">
        <v>123</v>
      </c>
      <c r="B948" t="s">
        <v>17</v>
      </c>
      <c r="C948" t="s">
        <v>18</v>
      </c>
      <c r="D948" t="s">
        <v>29</v>
      </c>
      <c r="E948">
        <v>3</v>
      </c>
      <c r="F948">
        <v>151.1</v>
      </c>
      <c r="G948">
        <v>92.7</v>
      </c>
      <c r="H948">
        <v>7.1</v>
      </c>
      <c r="I948">
        <v>7</v>
      </c>
      <c r="J948">
        <v>7.3</v>
      </c>
      <c r="K948">
        <v>4.3899999999999997</v>
      </c>
      <c r="L948">
        <v>0</v>
      </c>
      <c r="M948" t="s">
        <v>34</v>
      </c>
      <c r="N948" t="s">
        <v>26</v>
      </c>
      <c r="O948">
        <v>11.03</v>
      </c>
      <c r="P948" t="s">
        <v>44</v>
      </c>
    </row>
    <row r="949" spans="1:16" x14ac:dyDescent="0.3">
      <c r="A949" t="s">
        <v>123</v>
      </c>
      <c r="B949" t="s">
        <v>43</v>
      </c>
      <c r="C949" t="s">
        <v>24</v>
      </c>
      <c r="D949" t="s">
        <v>29</v>
      </c>
      <c r="E949">
        <v>6</v>
      </c>
      <c r="F949">
        <v>160</v>
      </c>
      <c r="G949">
        <v>96.8</v>
      </c>
      <c r="H949">
        <v>3.4</v>
      </c>
      <c r="I949">
        <v>2</v>
      </c>
      <c r="J949">
        <v>7.38</v>
      </c>
      <c r="K949">
        <v>4.53</v>
      </c>
      <c r="L949">
        <v>0</v>
      </c>
      <c r="M949" t="s">
        <v>34</v>
      </c>
      <c r="N949" t="s">
        <v>21</v>
      </c>
      <c r="O949">
        <v>22.05</v>
      </c>
      <c r="P949" t="s">
        <v>45</v>
      </c>
    </row>
    <row r="950" spans="1:16" x14ac:dyDescent="0.3">
      <c r="A950" t="s">
        <v>124</v>
      </c>
      <c r="B950" t="s">
        <v>17</v>
      </c>
      <c r="C950" t="s">
        <v>37</v>
      </c>
      <c r="D950" t="s">
        <v>19</v>
      </c>
      <c r="E950">
        <v>9</v>
      </c>
      <c r="F950">
        <v>164.8</v>
      </c>
      <c r="G950">
        <v>98.3</v>
      </c>
      <c r="H950">
        <v>3.8</v>
      </c>
      <c r="I950">
        <v>10</v>
      </c>
      <c r="J950">
        <v>5.84</v>
      </c>
      <c r="K950">
        <v>5.32</v>
      </c>
      <c r="L950">
        <v>1</v>
      </c>
      <c r="M950" t="s">
        <v>25</v>
      </c>
      <c r="N950" t="s">
        <v>35</v>
      </c>
      <c r="O950">
        <v>7.79</v>
      </c>
      <c r="P950" t="s">
        <v>22</v>
      </c>
    </row>
    <row r="951" spans="1:16" x14ac:dyDescent="0.3">
      <c r="A951" t="s">
        <v>124</v>
      </c>
      <c r="B951" t="s">
        <v>33</v>
      </c>
      <c r="C951" t="s">
        <v>37</v>
      </c>
      <c r="D951" t="s">
        <v>39</v>
      </c>
      <c r="E951">
        <v>1</v>
      </c>
      <c r="F951">
        <v>137.69999999999999</v>
      </c>
      <c r="G951">
        <v>100</v>
      </c>
      <c r="H951">
        <v>0.2</v>
      </c>
      <c r="I951">
        <v>9</v>
      </c>
      <c r="J951">
        <v>5.61</v>
      </c>
      <c r="K951">
        <v>8.74</v>
      </c>
      <c r="L951">
        <v>0</v>
      </c>
      <c r="M951" t="s">
        <v>25</v>
      </c>
      <c r="N951" t="s">
        <v>21</v>
      </c>
      <c r="O951">
        <v>12.51</v>
      </c>
      <c r="P951" t="s">
        <v>22</v>
      </c>
    </row>
    <row r="952" spans="1:16" x14ac:dyDescent="0.3">
      <c r="A952" t="s">
        <v>124</v>
      </c>
      <c r="B952" t="s">
        <v>23</v>
      </c>
      <c r="C952" t="s">
        <v>18</v>
      </c>
      <c r="D952" t="s">
        <v>39</v>
      </c>
      <c r="E952">
        <v>3</v>
      </c>
      <c r="F952">
        <v>151.19999999999999</v>
      </c>
      <c r="G952">
        <v>100</v>
      </c>
      <c r="H952">
        <v>5.0999999999999996</v>
      </c>
      <c r="I952">
        <v>7</v>
      </c>
      <c r="J952">
        <v>6.88</v>
      </c>
      <c r="K952">
        <v>6.04</v>
      </c>
      <c r="L952">
        <v>0</v>
      </c>
      <c r="M952" t="s">
        <v>20</v>
      </c>
      <c r="N952" t="s">
        <v>26</v>
      </c>
      <c r="O952">
        <v>16.53</v>
      </c>
      <c r="P952" t="s">
        <v>28</v>
      </c>
    </row>
    <row r="953" spans="1:16" x14ac:dyDescent="0.3">
      <c r="A953" t="s">
        <v>124</v>
      </c>
      <c r="B953" t="s">
        <v>33</v>
      </c>
      <c r="C953" t="s">
        <v>31</v>
      </c>
      <c r="D953" t="s">
        <v>19</v>
      </c>
      <c r="E953">
        <v>3</v>
      </c>
      <c r="F953">
        <v>155.80000000000001</v>
      </c>
      <c r="G953">
        <v>97.4</v>
      </c>
      <c r="H953">
        <v>4.4000000000000004</v>
      </c>
      <c r="I953">
        <v>7</v>
      </c>
      <c r="J953">
        <v>4.1500000000000004</v>
      </c>
      <c r="K953">
        <v>8.4600000000000009</v>
      </c>
      <c r="L953">
        <v>0</v>
      </c>
      <c r="M953" t="s">
        <v>25</v>
      </c>
      <c r="N953" t="s">
        <v>21</v>
      </c>
      <c r="O953">
        <v>13.3</v>
      </c>
      <c r="P953" t="s">
        <v>28</v>
      </c>
    </row>
    <row r="954" spans="1:16" x14ac:dyDescent="0.3">
      <c r="A954" t="s">
        <v>124</v>
      </c>
      <c r="B954" t="s">
        <v>17</v>
      </c>
      <c r="C954" t="s">
        <v>18</v>
      </c>
      <c r="D954" t="s">
        <v>29</v>
      </c>
      <c r="E954">
        <v>9</v>
      </c>
      <c r="F954">
        <v>165.2</v>
      </c>
      <c r="G954">
        <v>92.5</v>
      </c>
      <c r="H954">
        <v>6.5</v>
      </c>
      <c r="I954">
        <v>3</v>
      </c>
      <c r="J954">
        <v>4.97</v>
      </c>
      <c r="K954">
        <v>8.48</v>
      </c>
      <c r="L954">
        <v>1</v>
      </c>
      <c r="M954" t="s">
        <v>34</v>
      </c>
      <c r="N954" t="s">
        <v>26</v>
      </c>
      <c r="O954">
        <v>16.32</v>
      </c>
      <c r="P954" t="s">
        <v>30</v>
      </c>
    </row>
    <row r="955" spans="1:16" x14ac:dyDescent="0.3">
      <c r="A955" t="s">
        <v>124</v>
      </c>
      <c r="B955" t="s">
        <v>23</v>
      </c>
      <c r="C955" t="s">
        <v>37</v>
      </c>
      <c r="D955" t="s">
        <v>39</v>
      </c>
      <c r="E955">
        <v>8</v>
      </c>
      <c r="F955">
        <v>168.2</v>
      </c>
      <c r="G955">
        <v>87.5</v>
      </c>
      <c r="H955">
        <v>7.9</v>
      </c>
      <c r="I955">
        <v>5</v>
      </c>
      <c r="J955">
        <v>7.88</v>
      </c>
      <c r="K955">
        <v>6.45</v>
      </c>
      <c r="L955">
        <v>0</v>
      </c>
      <c r="M955" t="s">
        <v>20</v>
      </c>
      <c r="N955" t="s">
        <v>26</v>
      </c>
      <c r="O955">
        <v>13.23</v>
      </c>
      <c r="P955" t="s">
        <v>32</v>
      </c>
    </row>
    <row r="956" spans="1:16" x14ac:dyDescent="0.3">
      <c r="A956" t="s">
        <v>124</v>
      </c>
      <c r="B956" t="s">
        <v>33</v>
      </c>
      <c r="C956" t="s">
        <v>18</v>
      </c>
      <c r="D956" t="s">
        <v>39</v>
      </c>
      <c r="E956">
        <v>3</v>
      </c>
      <c r="F956">
        <v>157.69999999999999</v>
      </c>
      <c r="G956">
        <v>90.2</v>
      </c>
      <c r="H956">
        <v>1.2</v>
      </c>
      <c r="I956">
        <v>3</v>
      </c>
      <c r="J956">
        <v>5.1100000000000003</v>
      </c>
      <c r="K956">
        <v>5.62</v>
      </c>
      <c r="L956">
        <v>1</v>
      </c>
      <c r="M956" t="s">
        <v>20</v>
      </c>
      <c r="N956" t="s">
        <v>21</v>
      </c>
      <c r="O956">
        <v>17.95</v>
      </c>
      <c r="P956" t="s">
        <v>36</v>
      </c>
    </row>
    <row r="957" spans="1:16" x14ac:dyDescent="0.3">
      <c r="A957" t="s">
        <v>124</v>
      </c>
      <c r="B957" t="s">
        <v>17</v>
      </c>
      <c r="C957" t="s">
        <v>31</v>
      </c>
      <c r="D957" t="s">
        <v>39</v>
      </c>
      <c r="E957">
        <v>10</v>
      </c>
      <c r="F957">
        <v>150.1</v>
      </c>
      <c r="G957">
        <v>98.8</v>
      </c>
      <c r="H957">
        <v>5.2</v>
      </c>
      <c r="I957">
        <v>5</v>
      </c>
      <c r="J957">
        <v>9.0399999999999991</v>
      </c>
      <c r="K957">
        <v>6.01</v>
      </c>
      <c r="L957">
        <v>0</v>
      </c>
      <c r="M957" t="s">
        <v>20</v>
      </c>
      <c r="N957" t="s">
        <v>35</v>
      </c>
      <c r="O957">
        <v>8.6199999999999992</v>
      </c>
      <c r="P957" t="s">
        <v>38</v>
      </c>
    </row>
    <row r="958" spans="1:16" x14ac:dyDescent="0.3">
      <c r="A958" t="s">
        <v>124</v>
      </c>
      <c r="B958" t="s">
        <v>43</v>
      </c>
      <c r="C958" t="s">
        <v>31</v>
      </c>
      <c r="D958" t="s">
        <v>39</v>
      </c>
      <c r="E958">
        <v>10</v>
      </c>
      <c r="F958">
        <v>137.30000000000001</v>
      </c>
      <c r="G958">
        <v>95.5</v>
      </c>
      <c r="H958">
        <v>6.7</v>
      </c>
      <c r="I958">
        <v>9</v>
      </c>
      <c r="J958">
        <v>6.25</v>
      </c>
      <c r="K958">
        <v>9.57</v>
      </c>
      <c r="L958">
        <v>0</v>
      </c>
      <c r="M958" t="s">
        <v>34</v>
      </c>
      <c r="N958" t="s">
        <v>21</v>
      </c>
      <c r="O958">
        <v>14.05</v>
      </c>
      <c r="P958" t="s">
        <v>40</v>
      </c>
    </row>
    <row r="959" spans="1:16" x14ac:dyDescent="0.3">
      <c r="A959" t="s">
        <v>124</v>
      </c>
      <c r="B959" t="s">
        <v>17</v>
      </c>
      <c r="C959" t="s">
        <v>24</v>
      </c>
      <c r="D959" t="s">
        <v>19</v>
      </c>
      <c r="E959">
        <v>3</v>
      </c>
      <c r="F959">
        <v>169.9</v>
      </c>
      <c r="G959">
        <v>94.4</v>
      </c>
      <c r="H959">
        <v>2.9</v>
      </c>
      <c r="I959">
        <v>9</v>
      </c>
      <c r="J959">
        <v>9.49</v>
      </c>
      <c r="K959">
        <v>6.49</v>
      </c>
      <c r="L959">
        <v>0</v>
      </c>
      <c r="M959" t="s">
        <v>34</v>
      </c>
      <c r="N959" t="s">
        <v>21</v>
      </c>
      <c r="O959">
        <v>17.48</v>
      </c>
      <c r="P959" t="s">
        <v>42</v>
      </c>
    </row>
    <row r="960" spans="1:16" x14ac:dyDescent="0.3">
      <c r="A960" t="s">
        <v>124</v>
      </c>
      <c r="B960" t="s">
        <v>23</v>
      </c>
      <c r="C960" t="s">
        <v>18</v>
      </c>
      <c r="D960" t="s">
        <v>39</v>
      </c>
      <c r="E960">
        <v>4</v>
      </c>
      <c r="F960">
        <v>157</v>
      </c>
      <c r="G960">
        <v>95.5</v>
      </c>
      <c r="H960">
        <v>2.8</v>
      </c>
      <c r="I960">
        <v>7</v>
      </c>
      <c r="J960">
        <v>8.74</v>
      </c>
      <c r="K960">
        <v>4.2</v>
      </c>
      <c r="L960">
        <v>1</v>
      </c>
      <c r="M960" t="s">
        <v>34</v>
      </c>
      <c r="N960" t="s">
        <v>35</v>
      </c>
      <c r="O960">
        <v>12.39</v>
      </c>
      <c r="P960" t="s">
        <v>44</v>
      </c>
    </row>
    <row r="961" spans="1:16" x14ac:dyDescent="0.3">
      <c r="A961" t="s">
        <v>124</v>
      </c>
      <c r="B961" t="s">
        <v>27</v>
      </c>
      <c r="C961" t="s">
        <v>31</v>
      </c>
      <c r="D961" t="s">
        <v>29</v>
      </c>
      <c r="E961">
        <v>3</v>
      </c>
      <c r="F961">
        <v>169.6</v>
      </c>
      <c r="G961">
        <v>96.5</v>
      </c>
      <c r="H961">
        <v>2.9</v>
      </c>
      <c r="I961">
        <v>5</v>
      </c>
      <c r="J961">
        <v>8.7100000000000009</v>
      </c>
      <c r="K961">
        <v>5.93</v>
      </c>
      <c r="L961">
        <v>0</v>
      </c>
      <c r="M961" t="s">
        <v>34</v>
      </c>
      <c r="N961" t="s">
        <v>35</v>
      </c>
      <c r="O961">
        <v>8.67</v>
      </c>
      <c r="P961" t="s">
        <v>45</v>
      </c>
    </row>
    <row r="962" spans="1:16" x14ac:dyDescent="0.3">
      <c r="A962" t="s">
        <v>125</v>
      </c>
      <c r="B962" t="s">
        <v>33</v>
      </c>
      <c r="C962" t="s">
        <v>41</v>
      </c>
      <c r="D962" t="s">
        <v>29</v>
      </c>
      <c r="E962">
        <v>5</v>
      </c>
      <c r="F962">
        <v>161.4</v>
      </c>
      <c r="G962">
        <v>92.2</v>
      </c>
      <c r="H962">
        <v>3.3</v>
      </c>
      <c r="I962">
        <v>5</v>
      </c>
      <c r="J962">
        <v>9.65</v>
      </c>
      <c r="K962">
        <v>7.62</v>
      </c>
      <c r="L962">
        <v>0</v>
      </c>
      <c r="M962" t="s">
        <v>34</v>
      </c>
      <c r="N962" t="s">
        <v>26</v>
      </c>
      <c r="O962">
        <v>15.33</v>
      </c>
      <c r="P962" t="s">
        <v>22</v>
      </c>
    </row>
    <row r="963" spans="1:16" x14ac:dyDescent="0.3">
      <c r="A963" t="s">
        <v>125</v>
      </c>
      <c r="B963" t="s">
        <v>23</v>
      </c>
      <c r="C963" t="s">
        <v>31</v>
      </c>
      <c r="D963" t="s">
        <v>39</v>
      </c>
      <c r="E963">
        <v>5</v>
      </c>
      <c r="F963">
        <v>164.9</v>
      </c>
      <c r="G963">
        <v>97.5</v>
      </c>
      <c r="H963">
        <v>7.9</v>
      </c>
      <c r="I963">
        <v>5</v>
      </c>
      <c r="J963">
        <v>8.23</v>
      </c>
      <c r="K963">
        <v>7.56</v>
      </c>
      <c r="L963">
        <v>0</v>
      </c>
      <c r="M963" t="s">
        <v>25</v>
      </c>
      <c r="N963" t="s">
        <v>35</v>
      </c>
      <c r="O963">
        <v>18.28</v>
      </c>
      <c r="P963" t="s">
        <v>22</v>
      </c>
    </row>
    <row r="964" spans="1:16" x14ac:dyDescent="0.3">
      <c r="A964" t="s">
        <v>125</v>
      </c>
      <c r="B964" t="s">
        <v>43</v>
      </c>
      <c r="C964" t="s">
        <v>18</v>
      </c>
      <c r="D964" t="s">
        <v>29</v>
      </c>
      <c r="E964">
        <v>7</v>
      </c>
      <c r="F964">
        <v>167</v>
      </c>
      <c r="G964">
        <v>95.6</v>
      </c>
      <c r="H964">
        <v>2.8</v>
      </c>
      <c r="I964">
        <v>4</v>
      </c>
      <c r="J964">
        <v>5.35</v>
      </c>
      <c r="K964">
        <v>4.4400000000000004</v>
      </c>
      <c r="L964">
        <v>1</v>
      </c>
      <c r="M964" t="s">
        <v>20</v>
      </c>
      <c r="N964" t="s">
        <v>26</v>
      </c>
      <c r="O964">
        <v>11.36</v>
      </c>
      <c r="P964" t="s">
        <v>28</v>
      </c>
    </row>
    <row r="965" spans="1:16" x14ac:dyDescent="0.3">
      <c r="A965" t="s">
        <v>125</v>
      </c>
      <c r="B965" t="s">
        <v>33</v>
      </c>
      <c r="C965" t="s">
        <v>18</v>
      </c>
      <c r="D965" t="s">
        <v>19</v>
      </c>
      <c r="E965">
        <v>7</v>
      </c>
      <c r="F965">
        <v>154.1</v>
      </c>
      <c r="G965">
        <v>87.6</v>
      </c>
      <c r="H965">
        <v>5.9</v>
      </c>
      <c r="I965">
        <v>4</v>
      </c>
      <c r="J965">
        <v>7.22</v>
      </c>
      <c r="K965">
        <v>7.01</v>
      </c>
      <c r="L965">
        <v>0</v>
      </c>
      <c r="M965" t="s">
        <v>34</v>
      </c>
      <c r="N965" t="s">
        <v>26</v>
      </c>
      <c r="O965">
        <v>14.96</v>
      </c>
      <c r="P965" t="s">
        <v>28</v>
      </c>
    </row>
    <row r="966" spans="1:16" x14ac:dyDescent="0.3">
      <c r="A966" t="s">
        <v>125</v>
      </c>
      <c r="B966" t="s">
        <v>27</v>
      </c>
      <c r="C966" t="s">
        <v>41</v>
      </c>
      <c r="D966" t="s">
        <v>29</v>
      </c>
      <c r="E966">
        <v>6</v>
      </c>
      <c r="F966">
        <v>147.6</v>
      </c>
      <c r="G966">
        <v>94.2</v>
      </c>
      <c r="H966">
        <v>4</v>
      </c>
      <c r="I966">
        <v>8</v>
      </c>
      <c r="J966">
        <v>8.93</v>
      </c>
      <c r="K966">
        <v>6.81</v>
      </c>
      <c r="L966">
        <v>0</v>
      </c>
      <c r="M966" t="s">
        <v>34</v>
      </c>
      <c r="N966" t="s">
        <v>35</v>
      </c>
      <c r="O966">
        <v>3.17</v>
      </c>
      <c r="P966" t="s">
        <v>30</v>
      </c>
    </row>
    <row r="967" spans="1:16" x14ac:dyDescent="0.3">
      <c r="A967" t="s">
        <v>125</v>
      </c>
      <c r="B967" t="s">
        <v>27</v>
      </c>
      <c r="C967" t="s">
        <v>41</v>
      </c>
      <c r="D967" t="s">
        <v>19</v>
      </c>
      <c r="E967">
        <v>1</v>
      </c>
      <c r="F967">
        <v>171.7</v>
      </c>
      <c r="G967">
        <v>95</v>
      </c>
      <c r="H967">
        <v>1.8</v>
      </c>
      <c r="I967">
        <v>4</v>
      </c>
      <c r="J967">
        <v>8.44</v>
      </c>
      <c r="K967">
        <v>4.76</v>
      </c>
      <c r="L967">
        <v>0</v>
      </c>
      <c r="M967" t="s">
        <v>34</v>
      </c>
      <c r="N967" t="s">
        <v>26</v>
      </c>
      <c r="O967">
        <v>8.84</v>
      </c>
      <c r="P967" t="s">
        <v>32</v>
      </c>
    </row>
    <row r="968" spans="1:16" x14ac:dyDescent="0.3">
      <c r="A968" t="s">
        <v>125</v>
      </c>
      <c r="B968" t="s">
        <v>17</v>
      </c>
      <c r="C968" t="s">
        <v>31</v>
      </c>
      <c r="D968" t="s">
        <v>19</v>
      </c>
      <c r="E968">
        <v>2</v>
      </c>
      <c r="F968">
        <v>148.4</v>
      </c>
      <c r="G968">
        <v>94.8</v>
      </c>
      <c r="H968">
        <v>5.3</v>
      </c>
      <c r="I968">
        <v>4</v>
      </c>
      <c r="J968">
        <v>6.69</v>
      </c>
      <c r="K968">
        <v>8.8800000000000008</v>
      </c>
      <c r="L968">
        <v>0</v>
      </c>
      <c r="M968" t="s">
        <v>34</v>
      </c>
      <c r="N968" t="s">
        <v>21</v>
      </c>
      <c r="O968">
        <v>4.34</v>
      </c>
      <c r="P968" t="s">
        <v>36</v>
      </c>
    </row>
    <row r="969" spans="1:16" x14ac:dyDescent="0.3">
      <c r="A969" t="s">
        <v>125</v>
      </c>
      <c r="B969" t="s">
        <v>43</v>
      </c>
      <c r="C969" t="s">
        <v>37</v>
      </c>
      <c r="D969" t="s">
        <v>19</v>
      </c>
      <c r="E969">
        <v>6</v>
      </c>
      <c r="F969">
        <v>165.1</v>
      </c>
      <c r="G969">
        <v>87</v>
      </c>
      <c r="H969">
        <v>6</v>
      </c>
      <c r="I969">
        <v>4</v>
      </c>
      <c r="J969">
        <v>8.41</v>
      </c>
      <c r="K969">
        <v>6.19</v>
      </c>
      <c r="L969">
        <v>0</v>
      </c>
      <c r="M969" t="s">
        <v>34</v>
      </c>
      <c r="N969" t="s">
        <v>26</v>
      </c>
      <c r="O969">
        <v>16.88</v>
      </c>
      <c r="P969" t="s">
        <v>38</v>
      </c>
    </row>
    <row r="970" spans="1:16" x14ac:dyDescent="0.3">
      <c r="A970" t="s">
        <v>125</v>
      </c>
      <c r="B970" t="s">
        <v>43</v>
      </c>
      <c r="C970" t="s">
        <v>24</v>
      </c>
      <c r="D970" t="s">
        <v>19</v>
      </c>
      <c r="E970">
        <v>4</v>
      </c>
      <c r="F970">
        <v>155.80000000000001</v>
      </c>
      <c r="G970">
        <v>94.6</v>
      </c>
      <c r="H970">
        <v>2.8</v>
      </c>
      <c r="I970">
        <v>5</v>
      </c>
      <c r="J970">
        <v>6.85</v>
      </c>
      <c r="K970">
        <v>7.64</v>
      </c>
      <c r="L970">
        <v>0</v>
      </c>
      <c r="M970" t="s">
        <v>34</v>
      </c>
      <c r="N970" t="s">
        <v>21</v>
      </c>
      <c r="O970">
        <v>4.82</v>
      </c>
      <c r="P970" t="s">
        <v>40</v>
      </c>
    </row>
    <row r="971" spans="1:16" x14ac:dyDescent="0.3">
      <c r="A971" t="s">
        <v>125</v>
      </c>
      <c r="B971" t="s">
        <v>17</v>
      </c>
      <c r="C971" t="s">
        <v>24</v>
      </c>
      <c r="D971" t="s">
        <v>19</v>
      </c>
      <c r="E971">
        <v>6</v>
      </c>
      <c r="F971">
        <v>155.69999999999999</v>
      </c>
      <c r="G971">
        <v>91.5</v>
      </c>
      <c r="H971">
        <v>5.4</v>
      </c>
      <c r="I971">
        <v>5</v>
      </c>
      <c r="J971">
        <v>8.15</v>
      </c>
      <c r="K971">
        <v>8.7200000000000006</v>
      </c>
      <c r="L971">
        <v>0</v>
      </c>
      <c r="M971" t="s">
        <v>20</v>
      </c>
      <c r="N971" t="s">
        <v>35</v>
      </c>
      <c r="O971">
        <v>5.38</v>
      </c>
      <c r="P971" t="s">
        <v>42</v>
      </c>
    </row>
    <row r="972" spans="1:16" x14ac:dyDescent="0.3">
      <c r="A972" t="s">
        <v>125</v>
      </c>
      <c r="B972" t="s">
        <v>23</v>
      </c>
      <c r="C972" t="s">
        <v>18</v>
      </c>
      <c r="D972" t="s">
        <v>39</v>
      </c>
      <c r="E972">
        <v>4</v>
      </c>
      <c r="F972">
        <v>156</v>
      </c>
      <c r="G972">
        <v>94.5</v>
      </c>
      <c r="H972">
        <v>6.5</v>
      </c>
      <c r="I972">
        <v>5</v>
      </c>
      <c r="J972">
        <v>7.24</v>
      </c>
      <c r="K972">
        <v>7.87</v>
      </c>
      <c r="L972">
        <v>0</v>
      </c>
      <c r="M972" t="s">
        <v>20</v>
      </c>
      <c r="N972" t="s">
        <v>21</v>
      </c>
      <c r="O972">
        <v>21.5</v>
      </c>
      <c r="P972" t="s">
        <v>44</v>
      </c>
    </row>
    <row r="973" spans="1:16" x14ac:dyDescent="0.3">
      <c r="A973" t="s">
        <v>125</v>
      </c>
      <c r="B973" t="s">
        <v>33</v>
      </c>
      <c r="C973" t="s">
        <v>37</v>
      </c>
      <c r="D973" t="s">
        <v>29</v>
      </c>
      <c r="E973">
        <v>7</v>
      </c>
      <c r="F973">
        <v>171.4</v>
      </c>
      <c r="G973">
        <v>90.8</v>
      </c>
      <c r="H973">
        <v>9.6999999999999993</v>
      </c>
      <c r="I973">
        <v>4</v>
      </c>
      <c r="J973">
        <v>8.5299999999999994</v>
      </c>
      <c r="K973">
        <v>10</v>
      </c>
      <c r="L973">
        <v>1</v>
      </c>
      <c r="M973" t="s">
        <v>34</v>
      </c>
      <c r="N973" t="s">
        <v>21</v>
      </c>
      <c r="O973">
        <v>16.78</v>
      </c>
      <c r="P973" t="s">
        <v>45</v>
      </c>
    </row>
    <row r="974" spans="1:16" x14ac:dyDescent="0.3">
      <c r="A974" t="s">
        <v>126</v>
      </c>
      <c r="B974" t="s">
        <v>27</v>
      </c>
      <c r="C974" t="s">
        <v>31</v>
      </c>
      <c r="D974" t="s">
        <v>39</v>
      </c>
      <c r="E974">
        <v>3</v>
      </c>
      <c r="F974">
        <v>167.4</v>
      </c>
      <c r="G974">
        <v>90.5</v>
      </c>
      <c r="H974">
        <v>2</v>
      </c>
      <c r="I974">
        <v>5</v>
      </c>
      <c r="J974">
        <v>7.74</v>
      </c>
      <c r="K974">
        <v>4.5999999999999996</v>
      </c>
      <c r="L974">
        <v>0</v>
      </c>
      <c r="M974" t="s">
        <v>25</v>
      </c>
      <c r="N974" t="s">
        <v>21</v>
      </c>
      <c r="O974">
        <v>17.260000000000002</v>
      </c>
      <c r="P974" t="s">
        <v>22</v>
      </c>
    </row>
    <row r="975" spans="1:16" x14ac:dyDescent="0.3">
      <c r="A975" t="s">
        <v>126</v>
      </c>
      <c r="B975" t="s">
        <v>43</v>
      </c>
      <c r="C975" t="s">
        <v>31</v>
      </c>
      <c r="D975" t="s">
        <v>19</v>
      </c>
      <c r="E975">
        <v>1</v>
      </c>
      <c r="F975">
        <v>162.9</v>
      </c>
      <c r="G975">
        <v>95.1</v>
      </c>
      <c r="H975">
        <v>5</v>
      </c>
      <c r="I975">
        <v>7</v>
      </c>
      <c r="J975">
        <v>8.27</v>
      </c>
      <c r="K975">
        <v>6.77</v>
      </c>
      <c r="L975">
        <v>0</v>
      </c>
      <c r="M975" t="s">
        <v>20</v>
      </c>
      <c r="N975" t="s">
        <v>21</v>
      </c>
      <c r="O975">
        <v>18.98</v>
      </c>
      <c r="P975" t="s">
        <v>22</v>
      </c>
    </row>
    <row r="976" spans="1:16" x14ac:dyDescent="0.3">
      <c r="A976" t="s">
        <v>126</v>
      </c>
      <c r="B976" t="s">
        <v>43</v>
      </c>
      <c r="C976" t="s">
        <v>31</v>
      </c>
      <c r="D976" t="s">
        <v>39</v>
      </c>
      <c r="E976">
        <v>7</v>
      </c>
      <c r="F976">
        <v>170.4</v>
      </c>
      <c r="G976">
        <v>94</v>
      </c>
      <c r="H976">
        <v>6.3</v>
      </c>
      <c r="I976">
        <v>4</v>
      </c>
      <c r="J976">
        <v>8.3000000000000007</v>
      </c>
      <c r="K976">
        <v>4.63</v>
      </c>
      <c r="L976">
        <v>1</v>
      </c>
      <c r="M976" t="s">
        <v>25</v>
      </c>
      <c r="N976" t="s">
        <v>35</v>
      </c>
      <c r="O976">
        <v>14.19</v>
      </c>
      <c r="P976" t="s">
        <v>28</v>
      </c>
    </row>
    <row r="977" spans="1:16" x14ac:dyDescent="0.3">
      <c r="A977" t="s">
        <v>126</v>
      </c>
      <c r="B977" t="s">
        <v>17</v>
      </c>
      <c r="C977" t="s">
        <v>18</v>
      </c>
      <c r="D977" t="s">
        <v>39</v>
      </c>
      <c r="E977">
        <v>7</v>
      </c>
      <c r="F977">
        <v>166.5</v>
      </c>
      <c r="G977">
        <v>96.1</v>
      </c>
      <c r="H977">
        <v>5.4</v>
      </c>
      <c r="I977">
        <v>10</v>
      </c>
      <c r="K977">
        <v>5.2</v>
      </c>
      <c r="L977">
        <v>0</v>
      </c>
      <c r="M977" t="s">
        <v>20</v>
      </c>
      <c r="N977" t="s">
        <v>21</v>
      </c>
      <c r="O977">
        <v>12.48</v>
      </c>
      <c r="P977" t="s">
        <v>28</v>
      </c>
    </row>
    <row r="978" spans="1:16" x14ac:dyDescent="0.3">
      <c r="A978" t="s">
        <v>126</v>
      </c>
      <c r="B978" t="s">
        <v>27</v>
      </c>
      <c r="C978" t="s">
        <v>41</v>
      </c>
      <c r="D978" t="s">
        <v>29</v>
      </c>
      <c r="E978">
        <v>10</v>
      </c>
      <c r="F978">
        <v>177.9</v>
      </c>
      <c r="G978">
        <v>85.3</v>
      </c>
      <c r="H978">
        <v>6.2</v>
      </c>
      <c r="I978">
        <v>4</v>
      </c>
      <c r="J978">
        <v>7.77</v>
      </c>
      <c r="K978">
        <v>8.7899999999999991</v>
      </c>
      <c r="L978">
        <v>0</v>
      </c>
      <c r="M978" t="s">
        <v>25</v>
      </c>
      <c r="N978" t="s">
        <v>26</v>
      </c>
      <c r="O978">
        <v>14.35</v>
      </c>
      <c r="P978" t="s">
        <v>30</v>
      </c>
    </row>
    <row r="979" spans="1:16" x14ac:dyDescent="0.3">
      <c r="A979" t="s">
        <v>126</v>
      </c>
      <c r="B979" t="s">
        <v>27</v>
      </c>
      <c r="C979" t="s">
        <v>37</v>
      </c>
      <c r="D979" t="s">
        <v>19</v>
      </c>
      <c r="E979">
        <v>8</v>
      </c>
      <c r="F979">
        <v>161</v>
      </c>
      <c r="G979">
        <v>91.3</v>
      </c>
      <c r="H979">
        <v>3.4</v>
      </c>
      <c r="I979">
        <v>14</v>
      </c>
      <c r="J979">
        <v>6.29</v>
      </c>
      <c r="K979">
        <v>9.34</v>
      </c>
      <c r="L979">
        <v>1</v>
      </c>
      <c r="M979" t="s">
        <v>34</v>
      </c>
      <c r="N979" t="s">
        <v>21</v>
      </c>
      <c r="O979">
        <v>14.54</v>
      </c>
      <c r="P979" t="s">
        <v>32</v>
      </c>
    </row>
    <row r="980" spans="1:16" x14ac:dyDescent="0.3">
      <c r="A980" t="s">
        <v>126</v>
      </c>
      <c r="B980" t="s">
        <v>43</v>
      </c>
      <c r="C980" t="s">
        <v>37</v>
      </c>
      <c r="D980" t="s">
        <v>39</v>
      </c>
      <c r="E980">
        <v>8</v>
      </c>
      <c r="F980">
        <v>147.80000000000001</v>
      </c>
      <c r="G980">
        <v>96.3</v>
      </c>
      <c r="H980">
        <v>3.4</v>
      </c>
      <c r="I980">
        <v>8</v>
      </c>
      <c r="K980">
        <v>8.3000000000000007</v>
      </c>
      <c r="L980">
        <v>0</v>
      </c>
      <c r="M980" t="s">
        <v>25</v>
      </c>
      <c r="N980" t="s">
        <v>21</v>
      </c>
      <c r="O980">
        <v>13.79</v>
      </c>
      <c r="P980" t="s">
        <v>36</v>
      </c>
    </row>
    <row r="981" spans="1:16" x14ac:dyDescent="0.3">
      <c r="A981" t="s">
        <v>126</v>
      </c>
      <c r="B981" t="s">
        <v>43</v>
      </c>
      <c r="C981" t="s">
        <v>37</v>
      </c>
      <c r="D981" t="s">
        <v>19</v>
      </c>
      <c r="E981">
        <v>9</v>
      </c>
      <c r="F981">
        <v>166.3</v>
      </c>
      <c r="G981">
        <v>92.5</v>
      </c>
      <c r="H981">
        <v>2.8</v>
      </c>
      <c r="I981">
        <v>10</v>
      </c>
      <c r="K981">
        <v>6.77</v>
      </c>
      <c r="L981">
        <v>0</v>
      </c>
      <c r="M981" t="s">
        <v>34</v>
      </c>
      <c r="N981" t="s">
        <v>26</v>
      </c>
      <c r="O981">
        <v>7.05</v>
      </c>
      <c r="P981" t="s">
        <v>38</v>
      </c>
    </row>
    <row r="982" spans="1:16" x14ac:dyDescent="0.3">
      <c r="A982" t="s">
        <v>126</v>
      </c>
      <c r="B982" t="s">
        <v>43</v>
      </c>
      <c r="C982" t="s">
        <v>37</v>
      </c>
      <c r="D982" t="s">
        <v>19</v>
      </c>
      <c r="E982">
        <v>7</v>
      </c>
      <c r="F982">
        <v>157.5</v>
      </c>
      <c r="G982">
        <v>89.4</v>
      </c>
      <c r="H982">
        <v>4.8</v>
      </c>
      <c r="I982">
        <v>2</v>
      </c>
      <c r="J982">
        <v>8.1999999999999993</v>
      </c>
      <c r="K982">
        <v>8.0299999999999994</v>
      </c>
      <c r="L982">
        <v>0</v>
      </c>
      <c r="M982" t="s">
        <v>20</v>
      </c>
      <c r="N982" t="s">
        <v>21</v>
      </c>
      <c r="O982">
        <v>12.8</v>
      </c>
      <c r="P982" t="s">
        <v>40</v>
      </c>
    </row>
    <row r="983" spans="1:16" x14ac:dyDescent="0.3">
      <c r="A983" t="s">
        <v>126</v>
      </c>
      <c r="B983" t="s">
        <v>17</v>
      </c>
      <c r="C983" t="s">
        <v>24</v>
      </c>
      <c r="D983" t="s">
        <v>29</v>
      </c>
      <c r="E983">
        <v>6</v>
      </c>
      <c r="F983">
        <v>142.4</v>
      </c>
      <c r="G983">
        <v>97.9</v>
      </c>
      <c r="H983">
        <v>2.1</v>
      </c>
      <c r="I983">
        <v>3</v>
      </c>
      <c r="J983">
        <v>10</v>
      </c>
      <c r="K983">
        <v>10</v>
      </c>
      <c r="L983">
        <v>0</v>
      </c>
      <c r="M983" t="s">
        <v>20</v>
      </c>
      <c r="N983" t="s">
        <v>35</v>
      </c>
      <c r="O983">
        <v>18.600000000000001</v>
      </c>
      <c r="P983" t="s">
        <v>42</v>
      </c>
    </row>
    <row r="984" spans="1:16" x14ac:dyDescent="0.3">
      <c r="A984" t="s">
        <v>126</v>
      </c>
      <c r="B984" t="s">
        <v>33</v>
      </c>
      <c r="C984" t="s">
        <v>41</v>
      </c>
      <c r="D984" t="s">
        <v>19</v>
      </c>
      <c r="E984">
        <v>10</v>
      </c>
      <c r="F984">
        <v>171.9</v>
      </c>
      <c r="G984">
        <v>93.6</v>
      </c>
      <c r="H984">
        <v>5.6</v>
      </c>
      <c r="I984">
        <v>7</v>
      </c>
      <c r="J984">
        <v>7.48</v>
      </c>
      <c r="K984">
        <v>4.13</v>
      </c>
      <c r="L984">
        <v>0</v>
      </c>
      <c r="M984" t="s">
        <v>20</v>
      </c>
      <c r="N984" t="s">
        <v>26</v>
      </c>
      <c r="O984">
        <v>24.52</v>
      </c>
      <c r="P984" t="s">
        <v>44</v>
      </c>
    </row>
    <row r="985" spans="1:16" x14ac:dyDescent="0.3">
      <c r="A985" t="s">
        <v>126</v>
      </c>
      <c r="B985" t="s">
        <v>17</v>
      </c>
      <c r="C985" t="s">
        <v>18</v>
      </c>
      <c r="D985" t="s">
        <v>29</v>
      </c>
      <c r="E985">
        <v>9</v>
      </c>
      <c r="F985">
        <v>158.4</v>
      </c>
      <c r="G985">
        <v>88.4</v>
      </c>
      <c r="I985">
        <v>5</v>
      </c>
      <c r="J985">
        <v>8.58</v>
      </c>
      <c r="K985">
        <v>8.33</v>
      </c>
      <c r="L985">
        <v>1</v>
      </c>
      <c r="M985" t="s">
        <v>20</v>
      </c>
      <c r="N985" t="s">
        <v>21</v>
      </c>
      <c r="O985">
        <v>14.86</v>
      </c>
      <c r="P985" t="s">
        <v>45</v>
      </c>
    </row>
    <row r="986" spans="1:16" x14ac:dyDescent="0.3">
      <c r="A986" t="s">
        <v>127</v>
      </c>
      <c r="B986" t="s">
        <v>43</v>
      </c>
      <c r="C986" t="s">
        <v>18</v>
      </c>
      <c r="D986" t="s">
        <v>39</v>
      </c>
      <c r="E986">
        <v>1</v>
      </c>
      <c r="F986">
        <v>161.6</v>
      </c>
      <c r="G986">
        <v>92.3</v>
      </c>
      <c r="I986">
        <v>7</v>
      </c>
      <c r="K986">
        <v>7.38</v>
      </c>
      <c r="L986">
        <v>0</v>
      </c>
      <c r="M986" t="s">
        <v>34</v>
      </c>
      <c r="N986" t="s">
        <v>21</v>
      </c>
      <c r="O986">
        <v>13.4</v>
      </c>
      <c r="P986" t="s">
        <v>22</v>
      </c>
    </row>
    <row r="987" spans="1:16" x14ac:dyDescent="0.3">
      <c r="A987" t="s">
        <v>127</v>
      </c>
      <c r="B987" t="s">
        <v>23</v>
      </c>
      <c r="C987" t="s">
        <v>18</v>
      </c>
      <c r="D987" t="s">
        <v>39</v>
      </c>
      <c r="E987">
        <v>8</v>
      </c>
      <c r="F987">
        <v>161</v>
      </c>
      <c r="G987">
        <v>92.7</v>
      </c>
      <c r="H987">
        <v>5</v>
      </c>
      <c r="I987">
        <v>8</v>
      </c>
      <c r="J987">
        <v>5.9</v>
      </c>
      <c r="K987">
        <v>8.44</v>
      </c>
      <c r="L987">
        <v>1</v>
      </c>
      <c r="M987" t="s">
        <v>25</v>
      </c>
      <c r="N987" t="s">
        <v>35</v>
      </c>
      <c r="O987">
        <v>13.69</v>
      </c>
      <c r="P987" t="s">
        <v>22</v>
      </c>
    </row>
    <row r="988" spans="1:16" x14ac:dyDescent="0.3">
      <c r="A988" t="s">
        <v>127</v>
      </c>
      <c r="B988" t="s">
        <v>23</v>
      </c>
      <c r="C988" t="s">
        <v>37</v>
      </c>
      <c r="D988" t="s">
        <v>29</v>
      </c>
      <c r="E988">
        <v>6</v>
      </c>
      <c r="F988">
        <v>169.8</v>
      </c>
      <c r="G988">
        <v>90</v>
      </c>
      <c r="H988">
        <v>3.1</v>
      </c>
      <c r="I988">
        <v>8</v>
      </c>
      <c r="J988">
        <v>7.7</v>
      </c>
      <c r="K988">
        <v>10</v>
      </c>
      <c r="L988">
        <v>1</v>
      </c>
      <c r="M988" t="s">
        <v>20</v>
      </c>
      <c r="N988" t="s">
        <v>21</v>
      </c>
      <c r="O988">
        <v>8.7899999999999991</v>
      </c>
      <c r="P988" t="s">
        <v>28</v>
      </c>
    </row>
    <row r="989" spans="1:16" x14ac:dyDescent="0.3">
      <c r="A989" t="s">
        <v>127</v>
      </c>
      <c r="B989" t="s">
        <v>27</v>
      </c>
      <c r="C989" t="s">
        <v>18</v>
      </c>
      <c r="D989" t="s">
        <v>39</v>
      </c>
      <c r="E989">
        <v>10</v>
      </c>
      <c r="F989">
        <v>150.4</v>
      </c>
      <c r="G989">
        <v>86.2</v>
      </c>
      <c r="H989">
        <v>4.5999999999999996</v>
      </c>
      <c r="I989">
        <v>4</v>
      </c>
      <c r="J989">
        <v>7.02</v>
      </c>
      <c r="K989">
        <v>6.05</v>
      </c>
      <c r="L989">
        <v>1</v>
      </c>
      <c r="M989" t="s">
        <v>20</v>
      </c>
      <c r="N989" t="s">
        <v>26</v>
      </c>
      <c r="O989">
        <v>20.89</v>
      </c>
      <c r="P989" t="s">
        <v>28</v>
      </c>
    </row>
    <row r="990" spans="1:16" x14ac:dyDescent="0.3">
      <c r="A990" t="s">
        <v>127</v>
      </c>
      <c r="B990" t="s">
        <v>27</v>
      </c>
      <c r="C990" t="s">
        <v>41</v>
      </c>
      <c r="D990" t="s">
        <v>29</v>
      </c>
      <c r="E990">
        <v>4</v>
      </c>
      <c r="F990">
        <v>170.8</v>
      </c>
      <c r="G990">
        <v>100</v>
      </c>
      <c r="H990">
        <v>1.4</v>
      </c>
      <c r="I990">
        <v>7</v>
      </c>
      <c r="J990">
        <v>5.66</v>
      </c>
      <c r="K990">
        <v>6.35</v>
      </c>
      <c r="L990">
        <v>0</v>
      </c>
      <c r="M990" t="s">
        <v>20</v>
      </c>
      <c r="N990" t="s">
        <v>21</v>
      </c>
      <c r="O990">
        <v>14.49</v>
      </c>
      <c r="P990" t="s">
        <v>30</v>
      </c>
    </row>
    <row r="991" spans="1:16" x14ac:dyDescent="0.3">
      <c r="A991" t="s">
        <v>127</v>
      </c>
      <c r="B991" t="s">
        <v>27</v>
      </c>
      <c r="C991" t="s">
        <v>18</v>
      </c>
      <c r="D991" t="s">
        <v>19</v>
      </c>
      <c r="E991">
        <v>8</v>
      </c>
      <c r="F991">
        <v>181.4</v>
      </c>
      <c r="G991">
        <v>99.8</v>
      </c>
      <c r="H991">
        <v>5.5</v>
      </c>
      <c r="I991">
        <v>11</v>
      </c>
      <c r="J991">
        <v>8.26</v>
      </c>
      <c r="K991">
        <v>8.6</v>
      </c>
      <c r="L991">
        <v>1</v>
      </c>
      <c r="M991" t="s">
        <v>20</v>
      </c>
      <c r="N991" t="s">
        <v>26</v>
      </c>
      <c r="O991">
        <v>9.61</v>
      </c>
      <c r="P991" t="s">
        <v>32</v>
      </c>
    </row>
    <row r="992" spans="1:16" x14ac:dyDescent="0.3">
      <c r="A992" t="s">
        <v>127</v>
      </c>
      <c r="B992" t="s">
        <v>43</v>
      </c>
      <c r="C992" t="s">
        <v>41</v>
      </c>
      <c r="D992" t="s">
        <v>29</v>
      </c>
      <c r="E992">
        <v>7</v>
      </c>
      <c r="F992">
        <v>178.1</v>
      </c>
      <c r="G992">
        <v>89.1</v>
      </c>
      <c r="H992">
        <v>1.9</v>
      </c>
      <c r="I992">
        <v>6</v>
      </c>
      <c r="J992">
        <v>5.82</v>
      </c>
      <c r="K992">
        <v>5.55</v>
      </c>
      <c r="L992">
        <v>0</v>
      </c>
      <c r="M992" t="s">
        <v>34</v>
      </c>
      <c r="N992" t="s">
        <v>26</v>
      </c>
      <c r="O992">
        <v>9.31</v>
      </c>
      <c r="P992" t="s">
        <v>36</v>
      </c>
    </row>
    <row r="993" spans="1:16" x14ac:dyDescent="0.3">
      <c r="A993" t="s">
        <v>127</v>
      </c>
      <c r="B993" t="s">
        <v>23</v>
      </c>
      <c r="C993" t="s">
        <v>24</v>
      </c>
      <c r="D993" t="s">
        <v>29</v>
      </c>
      <c r="E993">
        <v>5</v>
      </c>
      <c r="F993">
        <v>159.9</v>
      </c>
      <c r="G993">
        <v>92.1</v>
      </c>
      <c r="H993">
        <v>3.9</v>
      </c>
      <c r="I993">
        <v>7</v>
      </c>
      <c r="J993">
        <v>8.32</v>
      </c>
      <c r="K993">
        <v>8</v>
      </c>
      <c r="L993">
        <v>1</v>
      </c>
      <c r="M993" t="s">
        <v>20</v>
      </c>
      <c r="N993" t="s">
        <v>26</v>
      </c>
      <c r="O993">
        <v>4.82</v>
      </c>
      <c r="P993" t="s">
        <v>38</v>
      </c>
    </row>
    <row r="994" spans="1:16" x14ac:dyDescent="0.3">
      <c r="A994" t="s">
        <v>127</v>
      </c>
      <c r="B994" t="s">
        <v>27</v>
      </c>
      <c r="C994" t="s">
        <v>41</v>
      </c>
      <c r="D994" t="s">
        <v>39</v>
      </c>
      <c r="E994">
        <v>5</v>
      </c>
      <c r="F994">
        <v>162.30000000000001</v>
      </c>
      <c r="G994">
        <v>95.4</v>
      </c>
      <c r="H994">
        <v>2.5</v>
      </c>
      <c r="I994">
        <v>2</v>
      </c>
      <c r="J994">
        <v>5.52</v>
      </c>
      <c r="K994">
        <v>8.81</v>
      </c>
      <c r="L994">
        <v>1</v>
      </c>
      <c r="M994" t="s">
        <v>34</v>
      </c>
      <c r="N994" t="s">
        <v>35</v>
      </c>
      <c r="O994">
        <v>16.75</v>
      </c>
      <c r="P994" t="s">
        <v>40</v>
      </c>
    </row>
    <row r="995" spans="1:16" x14ac:dyDescent="0.3">
      <c r="A995" t="s">
        <v>127</v>
      </c>
      <c r="B995" t="s">
        <v>43</v>
      </c>
      <c r="C995" t="s">
        <v>41</v>
      </c>
      <c r="D995" t="s">
        <v>19</v>
      </c>
      <c r="E995">
        <v>2</v>
      </c>
      <c r="F995">
        <v>137.80000000000001</v>
      </c>
      <c r="G995">
        <v>96.8</v>
      </c>
      <c r="H995">
        <v>5.0999999999999996</v>
      </c>
      <c r="I995">
        <v>3</v>
      </c>
      <c r="J995">
        <v>7.04</v>
      </c>
      <c r="K995">
        <v>7.04</v>
      </c>
      <c r="L995">
        <v>2</v>
      </c>
      <c r="M995" t="s">
        <v>25</v>
      </c>
      <c r="N995" t="s">
        <v>35</v>
      </c>
      <c r="O995">
        <v>15.91</v>
      </c>
      <c r="P995" t="s">
        <v>42</v>
      </c>
    </row>
    <row r="996" spans="1:16" x14ac:dyDescent="0.3">
      <c r="A996" t="s">
        <v>127</v>
      </c>
      <c r="B996" t="s">
        <v>43</v>
      </c>
      <c r="C996" t="s">
        <v>37</v>
      </c>
      <c r="D996" t="s">
        <v>39</v>
      </c>
      <c r="E996">
        <v>4</v>
      </c>
      <c r="F996">
        <v>144.5</v>
      </c>
      <c r="G996">
        <v>91.9</v>
      </c>
      <c r="H996">
        <v>5.2</v>
      </c>
      <c r="I996">
        <v>6</v>
      </c>
      <c r="J996">
        <v>7.34</v>
      </c>
      <c r="K996">
        <v>4.62</v>
      </c>
      <c r="L996">
        <v>0</v>
      </c>
      <c r="M996" t="s">
        <v>20</v>
      </c>
      <c r="N996" t="s">
        <v>21</v>
      </c>
      <c r="O996">
        <v>10.92</v>
      </c>
      <c r="P996" t="s">
        <v>44</v>
      </c>
    </row>
    <row r="997" spans="1:16" x14ac:dyDescent="0.3">
      <c r="A997" t="s">
        <v>127</v>
      </c>
      <c r="B997" t="s">
        <v>23</v>
      </c>
      <c r="C997" t="s">
        <v>31</v>
      </c>
      <c r="D997" t="s">
        <v>19</v>
      </c>
      <c r="E997">
        <v>4</v>
      </c>
      <c r="F997">
        <v>155</v>
      </c>
      <c r="G997">
        <v>100</v>
      </c>
      <c r="H997">
        <v>3.4</v>
      </c>
      <c r="I997">
        <v>5</v>
      </c>
      <c r="J997">
        <v>7.26</v>
      </c>
      <c r="K997">
        <v>8.2899999999999991</v>
      </c>
      <c r="L997">
        <v>0</v>
      </c>
      <c r="M997" t="s">
        <v>34</v>
      </c>
      <c r="N997" t="s">
        <v>26</v>
      </c>
      <c r="O997">
        <v>26</v>
      </c>
      <c r="P997" t="s">
        <v>45</v>
      </c>
    </row>
    <row r="998" spans="1:16" x14ac:dyDescent="0.3">
      <c r="A998" t="s">
        <v>128</v>
      </c>
      <c r="B998" t="s">
        <v>27</v>
      </c>
      <c r="C998" t="s">
        <v>37</v>
      </c>
      <c r="D998" t="s">
        <v>19</v>
      </c>
      <c r="E998">
        <v>10</v>
      </c>
      <c r="F998">
        <v>163.80000000000001</v>
      </c>
      <c r="G998">
        <v>100</v>
      </c>
      <c r="H998">
        <v>3.5</v>
      </c>
      <c r="I998">
        <v>6</v>
      </c>
      <c r="K998">
        <v>6.64</v>
      </c>
      <c r="L998">
        <v>0</v>
      </c>
      <c r="M998" t="s">
        <v>34</v>
      </c>
      <c r="N998" t="s">
        <v>35</v>
      </c>
      <c r="O998">
        <v>18.02</v>
      </c>
      <c r="P998" t="s">
        <v>22</v>
      </c>
    </row>
    <row r="999" spans="1:16" x14ac:dyDescent="0.3">
      <c r="A999" t="s">
        <v>128</v>
      </c>
      <c r="B999" t="s">
        <v>27</v>
      </c>
      <c r="C999" t="s">
        <v>24</v>
      </c>
      <c r="D999" t="s">
        <v>29</v>
      </c>
      <c r="E999">
        <v>4</v>
      </c>
      <c r="F999">
        <v>167.5</v>
      </c>
      <c r="G999">
        <v>93</v>
      </c>
      <c r="H999">
        <v>0.6</v>
      </c>
      <c r="I999">
        <v>4</v>
      </c>
      <c r="J999">
        <v>8.2100000000000009</v>
      </c>
      <c r="K999">
        <v>3.81</v>
      </c>
      <c r="L999">
        <v>0</v>
      </c>
      <c r="M999" t="s">
        <v>25</v>
      </c>
      <c r="N999" t="s">
        <v>26</v>
      </c>
      <c r="O999">
        <v>18.96</v>
      </c>
      <c r="P999" t="s">
        <v>22</v>
      </c>
    </row>
    <row r="1000" spans="1:16" x14ac:dyDescent="0.3">
      <c r="A1000" t="s">
        <v>128</v>
      </c>
      <c r="B1000" t="s">
        <v>33</v>
      </c>
      <c r="C1000" t="s">
        <v>37</v>
      </c>
      <c r="D1000" t="s">
        <v>19</v>
      </c>
      <c r="E1000">
        <v>6</v>
      </c>
      <c r="F1000">
        <v>160.9</v>
      </c>
      <c r="G1000">
        <v>97</v>
      </c>
      <c r="H1000">
        <v>3.3</v>
      </c>
      <c r="I1000">
        <v>7</v>
      </c>
      <c r="J1000">
        <v>9.41</v>
      </c>
      <c r="K1000">
        <v>10</v>
      </c>
      <c r="L1000">
        <v>0</v>
      </c>
      <c r="M1000" t="s">
        <v>25</v>
      </c>
      <c r="N1000" t="s">
        <v>26</v>
      </c>
      <c r="O1000">
        <v>8.51</v>
      </c>
      <c r="P1000" t="s">
        <v>28</v>
      </c>
    </row>
    <row r="1001" spans="1:16" x14ac:dyDescent="0.3">
      <c r="A1001" t="s">
        <v>128</v>
      </c>
      <c r="B1001" t="s">
        <v>23</v>
      </c>
      <c r="C1001" t="s">
        <v>41</v>
      </c>
      <c r="D1001" t="s">
        <v>19</v>
      </c>
      <c r="E1001">
        <v>2</v>
      </c>
      <c r="F1001">
        <v>153.80000000000001</v>
      </c>
      <c r="G1001">
        <v>98.9</v>
      </c>
      <c r="H1001">
        <v>7.1</v>
      </c>
      <c r="I1001">
        <v>6</v>
      </c>
      <c r="J1001">
        <v>5.59</v>
      </c>
      <c r="K1001">
        <v>5.83</v>
      </c>
      <c r="L1001">
        <v>1</v>
      </c>
      <c r="M1001" t="s">
        <v>34</v>
      </c>
      <c r="N1001" t="s">
        <v>26</v>
      </c>
      <c r="O1001">
        <v>15</v>
      </c>
      <c r="P1001" t="s">
        <v>28</v>
      </c>
    </row>
    <row r="1002" spans="1:16" x14ac:dyDescent="0.3">
      <c r="A1002" t="s">
        <v>128</v>
      </c>
      <c r="B1002" t="s">
        <v>33</v>
      </c>
      <c r="C1002" t="s">
        <v>18</v>
      </c>
      <c r="D1002" t="s">
        <v>39</v>
      </c>
      <c r="E1002">
        <v>6</v>
      </c>
      <c r="F1002">
        <v>155.4</v>
      </c>
      <c r="G1002">
        <v>90</v>
      </c>
      <c r="H1002">
        <v>4.2</v>
      </c>
      <c r="I1002">
        <v>7</v>
      </c>
      <c r="J1002">
        <v>9.25</v>
      </c>
      <c r="K1002">
        <v>7.81</v>
      </c>
      <c r="L1002">
        <v>0</v>
      </c>
      <c r="M1002" t="s">
        <v>34</v>
      </c>
      <c r="N1002" t="s">
        <v>35</v>
      </c>
      <c r="O1002">
        <v>11.15</v>
      </c>
      <c r="P1002" t="s">
        <v>30</v>
      </c>
    </row>
    <row r="1003" spans="1:16" x14ac:dyDescent="0.3">
      <c r="A1003" t="s">
        <v>128</v>
      </c>
      <c r="B1003" t="s">
        <v>27</v>
      </c>
      <c r="C1003" t="s">
        <v>41</v>
      </c>
      <c r="D1003" t="s">
        <v>19</v>
      </c>
      <c r="E1003">
        <v>7</v>
      </c>
      <c r="F1003">
        <v>159.69999999999999</v>
      </c>
      <c r="G1003">
        <v>91.2</v>
      </c>
      <c r="H1003">
        <v>6.1</v>
      </c>
      <c r="I1003">
        <v>6</v>
      </c>
      <c r="J1003">
        <v>6.35</v>
      </c>
      <c r="K1003">
        <v>6.52</v>
      </c>
      <c r="L1003">
        <v>0</v>
      </c>
      <c r="M1003" t="s">
        <v>34</v>
      </c>
      <c r="N1003" t="s">
        <v>35</v>
      </c>
      <c r="O1003">
        <v>10.26</v>
      </c>
      <c r="P1003" t="s">
        <v>32</v>
      </c>
    </row>
    <row r="1004" spans="1:16" x14ac:dyDescent="0.3">
      <c r="A1004" t="s">
        <v>128</v>
      </c>
      <c r="B1004" t="s">
        <v>27</v>
      </c>
      <c r="C1004" t="s">
        <v>37</v>
      </c>
      <c r="D1004" t="s">
        <v>39</v>
      </c>
      <c r="E1004">
        <v>10</v>
      </c>
      <c r="F1004">
        <v>157.9</v>
      </c>
      <c r="G1004">
        <v>98</v>
      </c>
      <c r="H1004">
        <v>3.1</v>
      </c>
      <c r="I1004">
        <v>0</v>
      </c>
      <c r="J1004">
        <v>9.1</v>
      </c>
      <c r="K1004">
        <v>9.83</v>
      </c>
      <c r="L1004">
        <v>0</v>
      </c>
      <c r="M1004" t="s">
        <v>25</v>
      </c>
      <c r="N1004" t="s">
        <v>26</v>
      </c>
      <c r="O1004">
        <v>9.8699999999999992</v>
      </c>
      <c r="P1004" t="s">
        <v>36</v>
      </c>
    </row>
    <row r="1005" spans="1:16" x14ac:dyDescent="0.3">
      <c r="A1005" t="s">
        <v>128</v>
      </c>
      <c r="B1005" t="s">
        <v>17</v>
      </c>
      <c r="C1005" t="s">
        <v>18</v>
      </c>
      <c r="D1005" t="s">
        <v>39</v>
      </c>
      <c r="E1005">
        <v>4</v>
      </c>
      <c r="F1005">
        <v>156.4</v>
      </c>
      <c r="G1005">
        <v>89.3</v>
      </c>
      <c r="H1005">
        <v>3.7</v>
      </c>
      <c r="I1005">
        <v>5</v>
      </c>
      <c r="K1005">
        <v>8.58</v>
      </c>
      <c r="L1005">
        <v>0</v>
      </c>
      <c r="M1005" t="s">
        <v>25</v>
      </c>
      <c r="N1005" t="s">
        <v>21</v>
      </c>
      <c r="O1005">
        <v>20.41</v>
      </c>
      <c r="P1005" t="s">
        <v>38</v>
      </c>
    </row>
    <row r="1006" spans="1:16" x14ac:dyDescent="0.3">
      <c r="A1006" t="s">
        <v>128</v>
      </c>
      <c r="B1006" t="s">
        <v>17</v>
      </c>
      <c r="C1006" t="s">
        <v>24</v>
      </c>
      <c r="D1006" t="s">
        <v>39</v>
      </c>
      <c r="E1006">
        <v>4</v>
      </c>
      <c r="F1006">
        <v>172.3</v>
      </c>
      <c r="G1006">
        <v>86.3</v>
      </c>
      <c r="H1006">
        <v>2.6</v>
      </c>
      <c r="I1006">
        <v>9</v>
      </c>
      <c r="J1006">
        <v>6.58</v>
      </c>
      <c r="K1006">
        <v>8.07</v>
      </c>
      <c r="L1006">
        <v>0</v>
      </c>
      <c r="M1006" t="s">
        <v>25</v>
      </c>
      <c r="N1006" t="s">
        <v>35</v>
      </c>
      <c r="O1006">
        <v>15.37</v>
      </c>
      <c r="P1006" t="s">
        <v>40</v>
      </c>
    </row>
    <row r="1007" spans="1:16" x14ac:dyDescent="0.3">
      <c r="A1007" t="s">
        <v>128</v>
      </c>
      <c r="B1007" t="s">
        <v>33</v>
      </c>
      <c r="C1007" t="s">
        <v>24</v>
      </c>
      <c r="D1007" t="s">
        <v>29</v>
      </c>
      <c r="E1007">
        <v>6</v>
      </c>
      <c r="F1007">
        <v>178.6</v>
      </c>
      <c r="G1007">
        <v>91.9</v>
      </c>
      <c r="H1007">
        <v>6.4</v>
      </c>
      <c r="I1007">
        <v>6</v>
      </c>
      <c r="J1007">
        <v>9.51</v>
      </c>
      <c r="K1007">
        <v>10</v>
      </c>
      <c r="L1007">
        <v>0</v>
      </c>
      <c r="M1007" t="s">
        <v>34</v>
      </c>
      <c r="N1007" t="s">
        <v>35</v>
      </c>
      <c r="O1007">
        <v>12.75</v>
      </c>
      <c r="P1007" t="s">
        <v>42</v>
      </c>
    </row>
    <row r="1008" spans="1:16" x14ac:dyDescent="0.3">
      <c r="A1008" t="s">
        <v>128</v>
      </c>
      <c r="B1008" t="s">
        <v>23</v>
      </c>
      <c r="C1008" t="s">
        <v>41</v>
      </c>
      <c r="D1008" t="s">
        <v>29</v>
      </c>
      <c r="E1008">
        <v>4</v>
      </c>
      <c r="F1008">
        <v>162.5</v>
      </c>
      <c r="G1008">
        <v>95</v>
      </c>
      <c r="H1008">
        <v>5</v>
      </c>
      <c r="I1008">
        <v>3</v>
      </c>
      <c r="J1008">
        <v>6.48</v>
      </c>
      <c r="K1008">
        <v>9.3800000000000008</v>
      </c>
      <c r="L1008">
        <v>0</v>
      </c>
      <c r="M1008" t="s">
        <v>20</v>
      </c>
      <c r="N1008" t="s">
        <v>35</v>
      </c>
      <c r="O1008">
        <v>6.2</v>
      </c>
      <c r="P1008" t="s">
        <v>44</v>
      </c>
    </row>
    <row r="1009" spans="1:16" x14ac:dyDescent="0.3">
      <c r="A1009" t="s">
        <v>128</v>
      </c>
      <c r="B1009" t="s">
        <v>17</v>
      </c>
      <c r="C1009" t="s">
        <v>41</v>
      </c>
      <c r="D1009" t="s">
        <v>19</v>
      </c>
      <c r="E1009">
        <v>6</v>
      </c>
      <c r="F1009">
        <v>163.19999999999999</v>
      </c>
      <c r="G1009">
        <v>93.7</v>
      </c>
      <c r="H1009">
        <v>2.6</v>
      </c>
      <c r="I1009">
        <v>7</v>
      </c>
      <c r="K1009">
        <v>5.92</v>
      </c>
      <c r="L1009">
        <v>0</v>
      </c>
      <c r="M1009" t="s">
        <v>34</v>
      </c>
      <c r="N1009" t="s">
        <v>26</v>
      </c>
      <c r="O1009">
        <v>11.13</v>
      </c>
      <c r="P1009" t="s">
        <v>45</v>
      </c>
    </row>
    <row r="1010" spans="1:16" x14ac:dyDescent="0.3">
      <c r="A1010" t="s">
        <v>129</v>
      </c>
      <c r="B1010" t="s">
        <v>23</v>
      </c>
      <c r="C1010" t="s">
        <v>41</v>
      </c>
      <c r="D1010" t="s">
        <v>39</v>
      </c>
      <c r="E1010">
        <v>5</v>
      </c>
      <c r="F1010">
        <v>179.2</v>
      </c>
      <c r="G1010">
        <v>95.2</v>
      </c>
      <c r="H1010">
        <v>9</v>
      </c>
      <c r="I1010">
        <v>5</v>
      </c>
      <c r="J1010">
        <v>8.27</v>
      </c>
      <c r="K1010">
        <v>4.33</v>
      </c>
      <c r="L1010">
        <v>1</v>
      </c>
      <c r="M1010" t="s">
        <v>25</v>
      </c>
      <c r="N1010" t="s">
        <v>26</v>
      </c>
      <c r="O1010">
        <v>6.02</v>
      </c>
      <c r="P1010" t="s">
        <v>22</v>
      </c>
    </row>
    <row r="1011" spans="1:16" x14ac:dyDescent="0.3">
      <c r="A1011" t="s">
        <v>129</v>
      </c>
      <c r="B1011" t="s">
        <v>33</v>
      </c>
      <c r="C1011" t="s">
        <v>18</v>
      </c>
      <c r="D1011" t="s">
        <v>39</v>
      </c>
      <c r="E1011">
        <v>5</v>
      </c>
      <c r="F1011">
        <v>163.1</v>
      </c>
      <c r="G1011">
        <v>100</v>
      </c>
      <c r="H1011">
        <v>1.9</v>
      </c>
      <c r="I1011">
        <v>4</v>
      </c>
      <c r="J1011">
        <v>9.67</v>
      </c>
      <c r="K1011">
        <v>5.72</v>
      </c>
      <c r="L1011">
        <v>0</v>
      </c>
      <c r="M1011" t="s">
        <v>20</v>
      </c>
      <c r="N1011" t="s">
        <v>35</v>
      </c>
      <c r="O1011">
        <v>10</v>
      </c>
      <c r="P1011" t="s">
        <v>22</v>
      </c>
    </row>
    <row r="1012" spans="1:16" x14ac:dyDescent="0.3">
      <c r="A1012" t="s">
        <v>129</v>
      </c>
      <c r="B1012" t="s">
        <v>33</v>
      </c>
      <c r="C1012" t="s">
        <v>41</v>
      </c>
      <c r="D1012" t="s">
        <v>29</v>
      </c>
      <c r="E1012">
        <v>10</v>
      </c>
      <c r="F1012">
        <v>181.7</v>
      </c>
      <c r="G1012">
        <v>100</v>
      </c>
      <c r="H1012">
        <v>0.7</v>
      </c>
      <c r="I1012">
        <v>4</v>
      </c>
      <c r="J1012">
        <v>7.98</v>
      </c>
      <c r="K1012">
        <v>5.91</v>
      </c>
      <c r="L1012">
        <v>0</v>
      </c>
      <c r="M1012" t="s">
        <v>25</v>
      </c>
      <c r="N1012" t="s">
        <v>26</v>
      </c>
      <c r="O1012">
        <v>8.52</v>
      </c>
      <c r="P1012" t="s">
        <v>28</v>
      </c>
    </row>
    <row r="1013" spans="1:16" x14ac:dyDescent="0.3">
      <c r="A1013" t="s">
        <v>129</v>
      </c>
      <c r="B1013" t="s">
        <v>33</v>
      </c>
      <c r="C1013" t="s">
        <v>24</v>
      </c>
      <c r="D1013" t="s">
        <v>19</v>
      </c>
      <c r="E1013">
        <v>4</v>
      </c>
      <c r="F1013">
        <v>168.2</v>
      </c>
      <c r="G1013">
        <v>91.4</v>
      </c>
      <c r="H1013">
        <v>3.7</v>
      </c>
      <c r="I1013">
        <v>6</v>
      </c>
      <c r="J1013">
        <v>6.82</v>
      </c>
      <c r="K1013">
        <v>5.72</v>
      </c>
      <c r="L1013">
        <v>0</v>
      </c>
      <c r="M1013" t="s">
        <v>20</v>
      </c>
      <c r="N1013" t="s">
        <v>21</v>
      </c>
      <c r="O1013">
        <v>6.53</v>
      </c>
      <c r="P1013" t="s">
        <v>28</v>
      </c>
    </row>
    <row r="1014" spans="1:16" x14ac:dyDescent="0.3">
      <c r="A1014" t="s">
        <v>129</v>
      </c>
      <c r="B1014" t="s">
        <v>33</v>
      </c>
      <c r="C1014" t="s">
        <v>41</v>
      </c>
      <c r="D1014" t="s">
        <v>19</v>
      </c>
      <c r="E1014">
        <v>4</v>
      </c>
      <c r="F1014">
        <v>173</v>
      </c>
      <c r="G1014">
        <v>95.3</v>
      </c>
      <c r="H1014">
        <v>4.5999999999999996</v>
      </c>
      <c r="I1014">
        <v>9</v>
      </c>
      <c r="J1014">
        <v>6.58</v>
      </c>
      <c r="K1014">
        <v>6.88</v>
      </c>
      <c r="L1014">
        <v>1</v>
      </c>
      <c r="M1014" t="s">
        <v>34</v>
      </c>
      <c r="N1014" t="s">
        <v>26</v>
      </c>
      <c r="O1014">
        <v>12.65</v>
      </c>
      <c r="P1014" t="s">
        <v>30</v>
      </c>
    </row>
    <row r="1015" spans="1:16" x14ac:dyDescent="0.3">
      <c r="A1015" t="s">
        <v>129</v>
      </c>
      <c r="B1015" t="s">
        <v>23</v>
      </c>
      <c r="C1015" t="s">
        <v>24</v>
      </c>
      <c r="D1015" t="s">
        <v>39</v>
      </c>
      <c r="E1015">
        <v>2</v>
      </c>
      <c r="F1015">
        <v>148.69999999999999</v>
      </c>
      <c r="G1015">
        <v>97</v>
      </c>
      <c r="H1015">
        <v>4</v>
      </c>
      <c r="I1015">
        <v>6</v>
      </c>
      <c r="J1015">
        <v>10</v>
      </c>
      <c r="K1015">
        <v>4.1500000000000004</v>
      </c>
      <c r="L1015">
        <v>1</v>
      </c>
      <c r="M1015" t="s">
        <v>20</v>
      </c>
      <c r="N1015" t="s">
        <v>21</v>
      </c>
      <c r="O1015">
        <v>21.53</v>
      </c>
      <c r="P1015" t="s">
        <v>32</v>
      </c>
    </row>
    <row r="1016" spans="1:16" x14ac:dyDescent="0.3">
      <c r="A1016" t="s">
        <v>129</v>
      </c>
      <c r="B1016" t="s">
        <v>17</v>
      </c>
      <c r="C1016" t="s">
        <v>24</v>
      </c>
      <c r="D1016" t="s">
        <v>29</v>
      </c>
      <c r="E1016">
        <v>6</v>
      </c>
      <c r="F1016">
        <v>170.2</v>
      </c>
      <c r="G1016">
        <v>100</v>
      </c>
      <c r="H1016">
        <v>7</v>
      </c>
      <c r="I1016">
        <v>10</v>
      </c>
      <c r="J1016">
        <v>8.5399999999999991</v>
      </c>
      <c r="K1016">
        <v>7.81</v>
      </c>
      <c r="L1016">
        <v>1</v>
      </c>
      <c r="M1016" t="s">
        <v>34</v>
      </c>
      <c r="N1016" t="s">
        <v>26</v>
      </c>
      <c r="O1016">
        <v>3.17</v>
      </c>
      <c r="P1016" t="s">
        <v>36</v>
      </c>
    </row>
    <row r="1017" spans="1:16" x14ac:dyDescent="0.3">
      <c r="A1017" t="s">
        <v>129</v>
      </c>
      <c r="B1017" t="s">
        <v>17</v>
      </c>
      <c r="C1017" t="s">
        <v>31</v>
      </c>
      <c r="D1017" t="s">
        <v>29</v>
      </c>
      <c r="E1017">
        <v>1</v>
      </c>
      <c r="F1017">
        <v>150.30000000000001</v>
      </c>
      <c r="G1017">
        <v>100</v>
      </c>
      <c r="H1017">
        <v>3.8</v>
      </c>
      <c r="I1017">
        <v>7</v>
      </c>
      <c r="J1017">
        <v>8.26</v>
      </c>
      <c r="K1017">
        <v>7.49</v>
      </c>
      <c r="L1017">
        <v>1</v>
      </c>
      <c r="M1017" t="s">
        <v>20</v>
      </c>
      <c r="N1017" t="s">
        <v>35</v>
      </c>
      <c r="O1017">
        <v>8.59</v>
      </c>
      <c r="P1017" t="s">
        <v>38</v>
      </c>
    </row>
    <row r="1018" spans="1:16" x14ac:dyDescent="0.3">
      <c r="A1018" t="s">
        <v>129</v>
      </c>
      <c r="B1018" t="s">
        <v>27</v>
      </c>
      <c r="C1018" t="s">
        <v>37</v>
      </c>
      <c r="D1018" t="s">
        <v>29</v>
      </c>
      <c r="E1018">
        <v>1</v>
      </c>
      <c r="F1018">
        <v>151.9</v>
      </c>
      <c r="G1018">
        <v>100</v>
      </c>
      <c r="H1018">
        <v>5.0999999999999996</v>
      </c>
      <c r="I1018">
        <v>8</v>
      </c>
      <c r="J1018">
        <v>10</v>
      </c>
      <c r="K1018">
        <v>8.69</v>
      </c>
      <c r="L1018">
        <v>0</v>
      </c>
      <c r="M1018" t="s">
        <v>25</v>
      </c>
      <c r="N1018" t="s">
        <v>26</v>
      </c>
      <c r="O1018">
        <v>17.32</v>
      </c>
      <c r="P1018" t="s">
        <v>40</v>
      </c>
    </row>
    <row r="1019" spans="1:16" x14ac:dyDescent="0.3">
      <c r="A1019" t="s">
        <v>129</v>
      </c>
      <c r="B1019" t="s">
        <v>33</v>
      </c>
      <c r="C1019" t="s">
        <v>18</v>
      </c>
      <c r="D1019" t="s">
        <v>39</v>
      </c>
      <c r="E1019">
        <v>7</v>
      </c>
      <c r="F1019">
        <v>173.5</v>
      </c>
      <c r="G1019">
        <v>98.1</v>
      </c>
      <c r="H1019">
        <v>6.6</v>
      </c>
      <c r="I1019">
        <v>1</v>
      </c>
      <c r="J1019">
        <v>8.3800000000000008</v>
      </c>
      <c r="K1019">
        <v>7.33</v>
      </c>
      <c r="L1019">
        <v>0</v>
      </c>
      <c r="M1019" t="s">
        <v>20</v>
      </c>
      <c r="N1019" t="s">
        <v>26</v>
      </c>
      <c r="O1019">
        <v>20.68</v>
      </c>
      <c r="P1019" t="s">
        <v>42</v>
      </c>
    </row>
    <row r="1020" spans="1:16" x14ac:dyDescent="0.3">
      <c r="A1020" t="s">
        <v>129</v>
      </c>
      <c r="B1020" t="s">
        <v>23</v>
      </c>
      <c r="C1020" t="s">
        <v>18</v>
      </c>
      <c r="D1020" t="s">
        <v>29</v>
      </c>
      <c r="E1020">
        <v>6</v>
      </c>
      <c r="F1020">
        <v>191</v>
      </c>
      <c r="G1020">
        <v>95.1</v>
      </c>
      <c r="H1020">
        <v>5.3</v>
      </c>
      <c r="I1020">
        <v>9</v>
      </c>
      <c r="J1020">
        <v>9.39</v>
      </c>
      <c r="K1020">
        <v>7.89</v>
      </c>
      <c r="L1020">
        <v>0</v>
      </c>
      <c r="M1020" t="s">
        <v>20</v>
      </c>
      <c r="N1020" t="s">
        <v>26</v>
      </c>
      <c r="O1020">
        <v>20.84</v>
      </c>
      <c r="P1020" t="s">
        <v>44</v>
      </c>
    </row>
    <row r="1021" spans="1:16" x14ac:dyDescent="0.3">
      <c r="A1021" t="s">
        <v>129</v>
      </c>
      <c r="B1021" t="s">
        <v>17</v>
      </c>
      <c r="C1021" t="s">
        <v>41</v>
      </c>
      <c r="D1021" t="s">
        <v>19</v>
      </c>
      <c r="E1021">
        <v>10</v>
      </c>
      <c r="F1021">
        <v>147.9</v>
      </c>
      <c r="G1021">
        <v>94.8</v>
      </c>
      <c r="H1021">
        <v>5.9</v>
      </c>
      <c r="I1021">
        <v>10</v>
      </c>
      <c r="K1021">
        <v>8.32</v>
      </c>
      <c r="L1021">
        <v>0</v>
      </c>
      <c r="M1021" t="s">
        <v>20</v>
      </c>
      <c r="N1021" t="s">
        <v>35</v>
      </c>
      <c r="O1021">
        <v>10.16</v>
      </c>
      <c r="P1021" t="s">
        <v>45</v>
      </c>
    </row>
    <row r="1022" spans="1:16" x14ac:dyDescent="0.3">
      <c r="A1022" t="s">
        <v>130</v>
      </c>
      <c r="B1022" t="s">
        <v>27</v>
      </c>
      <c r="C1022" t="s">
        <v>41</v>
      </c>
      <c r="D1022" t="s">
        <v>39</v>
      </c>
      <c r="E1022">
        <v>2</v>
      </c>
      <c r="F1022">
        <v>158</v>
      </c>
      <c r="G1022">
        <v>90.5</v>
      </c>
      <c r="H1022">
        <v>4.8</v>
      </c>
      <c r="I1022">
        <v>6</v>
      </c>
      <c r="J1022">
        <v>8.17</v>
      </c>
      <c r="K1022">
        <v>9.26</v>
      </c>
      <c r="L1022">
        <v>0</v>
      </c>
      <c r="M1022" t="s">
        <v>25</v>
      </c>
      <c r="N1022" t="s">
        <v>26</v>
      </c>
      <c r="O1022">
        <v>14.22</v>
      </c>
      <c r="P1022" t="s">
        <v>22</v>
      </c>
    </row>
    <row r="1023" spans="1:16" x14ac:dyDescent="0.3">
      <c r="A1023" t="s">
        <v>130</v>
      </c>
      <c r="B1023" t="s">
        <v>33</v>
      </c>
      <c r="C1023" t="s">
        <v>41</v>
      </c>
      <c r="D1023" t="s">
        <v>29</v>
      </c>
      <c r="E1023">
        <v>4</v>
      </c>
      <c r="F1023">
        <v>150</v>
      </c>
      <c r="G1023">
        <v>100</v>
      </c>
      <c r="H1023">
        <v>5.2</v>
      </c>
      <c r="I1023">
        <v>12</v>
      </c>
      <c r="K1023">
        <v>6.61</v>
      </c>
      <c r="L1023">
        <v>0</v>
      </c>
      <c r="M1023" t="s">
        <v>25</v>
      </c>
      <c r="N1023" t="s">
        <v>26</v>
      </c>
      <c r="O1023">
        <v>15.61</v>
      </c>
      <c r="P1023" t="s">
        <v>22</v>
      </c>
    </row>
    <row r="1024" spans="1:16" x14ac:dyDescent="0.3">
      <c r="A1024" t="s">
        <v>130</v>
      </c>
      <c r="B1024" t="s">
        <v>17</v>
      </c>
      <c r="C1024" t="s">
        <v>41</v>
      </c>
      <c r="D1024" t="s">
        <v>29</v>
      </c>
      <c r="E1024">
        <v>3</v>
      </c>
      <c r="F1024">
        <v>154.80000000000001</v>
      </c>
      <c r="G1024">
        <v>97.8</v>
      </c>
      <c r="H1024">
        <v>2.1</v>
      </c>
      <c r="I1024">
        <v>4</v>
      </c>
      <c r="J1024">
        <v>7.7</v>
      </c>
      <c r="K1024">
        <v>7.24</v>
      </c>
      <c r="L1024">
        <v>0</v>
      </c>
      <c r="M1024" t="s">
        <v>20</v>
      </c>
      <c r="N1024" t="s">
        <v>26</v>
      </c>
      <c r="O1024">
        <v>8.41</v>
      </c>
      <c r="P1024" t="s">
        <v>28</v>
      </c>
    </row>
    <row r="1025" spans="1:16" x14ac:dyDescent="0.3">
      <c r="A1025" t="s">
        <v>130</v>
      </c>
      <c r="B1025" t="s">
        <v>27</v>
      </c>
      <c r="C1025" t="s">
        <v>31</v>
      </c>
      <c r="D1025" t="s">
        <v>29</v>
      </c>
      <c r="E1025">
        <v>4</v>
      </c>
      <c r="F1025">
        <v>162.1</v>
      </c>
      <c r="G1025">
        <v>96.5</v>
      </c>
      <c r="H1025">
        <v>4.4000000000000004</v>
      </c>
      <c r="I1025">
        <v>5</v>
      </c>
      <c r="J1025">
        <v>8.11</v>
      </c>
      <c r="K1025">
        <v>5.59</v>
      </c>
      <c r="L1025">
        <v>1</v>
      </c>
      <c r="M1025" t="s">
        <v>20</v>
      </c>
      <c r="N1025" t="s">
        <v>21</v>
      </c>
      <c r="O1025">
        <v>12.3</v>
      </c>
      <c r="P1025" t="s">
        <v>28</v>
      </c>
    </row>
    <row r="1026" spans="1:16" x14ac:dyDescent="0.3">
      <c r="A1026" t="s">
        <v>130</v>
      </c>
      <c r="B1026" t="s">
        <v>23</v>
      </c>
      <c r="C1026" t="s">
        <v>37</v>
      </c>
      <c r="D1026" t="s">
        <v>39</v>
      </c>
      <c r="E1026">
        <v>8</v>
      </c>
      <c r="F1026">
        <v>160.80000000000001</v>
      </c>
      <c r="G1026">
        <v>100</v>
      </c>
      <c r="H1026">
        <v>4.8</v>
      </c>
      <c r="I1026">
        <v>8</v>
      </c>
      <c r="J1026">
        <v>7.77</v>
      </c>
      <c r="K1026">
        <v>8.84</v>
      </c>
      <c r="L1026">
        <v>2</v>
      </c>
      <c r="M1026" t="s">
        <v>20</v>
      </c>
      <c r="N1026" t="s">
        <v>35</v>
      </c>
      <c r="O1026">
        <v>13.6</v>
      </c>
      <c r="P1026" t="s">
        <v>30</v>
      </c>
    </row>
    <row r="1027" spans="1:16" x14ac:dyDescent="0.3">
      <c r="A1027" t="s">
        <v>130</v>
      </c>
      <c r="B1027" t="s">
        <v>23</v>
      </c>
      <c r="C1027" t="s">
        <v>41</v>
      </c>
      <c r="D1027" t="s">
        <v>19</v>
      </c>
      <c r="E1027">
        <v>2</v>
      </c>
      <c r="F1027">
        <v>174.9</v>
      </c>
      <c r="G1027">
        <v>88.2</v>
      </c>
      <c r="H1027">
        <v>3.8</v>
      </c>
      <c r="I1027">
        <v>4</v>
      </c>
      <c r="J1027">
        <v>8.86</v>
      </c>
      <c r="K1027">
        <v>7.14</v>
      </c>
      <c r="L1027">
        <v>0</v>
      </c>
      <c r="M1027" t="s">
        <v>20</v>
      </c>
      <c r="N1027" t="s">
        <v>26</v>
      </c>
      <c r="O1027">
        <v>18.38</v>
      </c>
      <c r="P1027" t="s">
        <v>32</v>
      </c>
    </row>
    <row r="1028" spans="1:16" x14ac:dyDescent="0.3">
      <c r="A1028" t="s">
        <v>130</v>
      </c>
      <c r="B1028" t="s">
        <v>17</v>
      </c>
      <c r="C1028" t="s">
        <v>18</v>
      </c>
      <c r="D1028" t="s">
        <v>19</v>
      </c>
      <c r="E1028">
        <v>9</v>
      </c>
      <c r="F1028">
        <v>145.30000000000001</v>
      </c>
      <c r="G1028">
        <v>93.2</v>
      </c>
      <c r="H1028">
        <v>5.0999999999999996</v>
      </c>
      <c r="I1028">
        <v>9</v>
      </c>
      <c r="J1028">
        <v>4.97</v>
      </c>
      <c r="K1028">
        <v>6.52</v>
      </c>
      <c r="L1028">
        <v>1</v>
      </c>
      <c r="M1028" t="s">
        <v>20</v>
      </c>
      <c r="N1028" t="s">
        <v>35</v>
      </c>
      <c r="O1028">
        <v>13.85</v>
      </c>
      <c r="P1028" t="s">
        <v>36</v>
      </c>
    </row>
    <row r="1029" spans="1:16" x14ac:dyDescent="0.3">
      <c r="A1029" t="s">
        <v>130</v>
      </c>
      <c r="B1029" t="s">
        <v>23</v>
      </c>
      <c r="C1029" t="s">
        <v>41</v>
      </c>
      <c r="D1029" t="s">
        <v>19</v>
      </c>
      <c r="E1029">
        <v>4</v>
      </c>
      <c r="F1029">
        <v>172.8</v>
      </c>
      <c r="G1029">
        <v>100</v>
      </c>
      <c r="H1029">
        <v>8.1999999999999993</v>
      </c>
      <c r="I1029">
        <v>6</v>
      </c>
      <c r="J1029">
        <v>9.6300000000000008</v>
      </c>
      <c r="K1029">
        <v>9.1</v>
      </c>
      <c r="L1029">
        <v>0</v>
      </c>
      <c r="M1029" t="s">
        <v>25</v>
      </c>
      <c r="N1029" t="s">
        <v>21</v>
      </c>
      <c r="O1029">
        <v>14.61</v>
      </c>
      <c r="P1029" t="s">
        <v>38</v>
      </c>
    </row>
    <row r="1030" spans="1:16" x14ac:dyDescent="0.3">
      <c r="A1030" t="s">
        <v>130</v>
      </c>
      <c r="B1030" t="s">
        <v>33</v>
      </c>
      <c r="C1030" t="s">
        <v>31</v>
      </c>
      <c r="D1030" t="s">
        <v>29</v>
      </c>
      <c r="E1030">
        <v>8</v>
      </c>
      <c r="F1030">
        <v>164.6</v>
      </c>
      <c r="G1030">
        <v>95.8</v>
      </c>
      <c r="H1030">
        <v>0</v>
      </c>
      <c r="I1030">
        <v>9</v>
      </c>
      <c r="J1030">
        <v>6.45</v>
      </c>
      <c r="K1030">
        <v>6.64</v>
      </c>
      <c r="L1030">
        <v>1</v>
      </c>
      <c r="M1030" t="s">
        <v>20</v>
      </c>
      <c r="N1030" t="s">
        <v>35</v>
      </c>
      <c r="O1030">
        <v>13.27</v>
      </c>
      <c r="P1030" t="s">
        <v>40</v>
      </c>
    </row>
    <row r="1031" spans="1:16" x14ac:dyDescent="0.3">
      <c r="A1031" t="s">
        <v>130</v>
      </c>
      <c r="B1031" t="s">
        <v>27</v>
      </c>
      <c r="C1031" t="s">
        <v>37</v>
      </c>
      <c r="D1031" t="s">
        <v>29</v>
      </c>
      <c r="E1031">
        <v>2</v>
      </c>
      <c r="F1031">
        <v>154.9</v>
      </c>
      <c r="G1031">
        <v>91</v>
      </c>
      <c r="H1031">
        <v>4.7</v>
      </c>
      <c r="I1031">
        <v>5</v>
      </c>
      <c r="J1031">
        <v>10</v>
      </c>
      <c r="K1031">
        <v>6.89</v>
      </c>
      <c r="L1031">
        <v>1</v>
      </c>
      <c r="M1031" t="s">
        <v>34</v>
      </c>
      <c r="N1031" t="s">
        <v>35</v>
      </c>
      <c r="O1031">
        <v>15.4</v>
      </c>
      <c r="P1031" t="s">
        <v>42</v>
      </c>
    </row>
    <row r="1032" spans="1:16" x14ac:dyDescent="0.3">
      <c r="A1032" t="s">
        <v>130</v>
      </c>
      <c r="B1032" t="s">
        <v>27</v>
      </c>
      <c r="C1032" t="s">
        <v>41</v>
      </c>
      <c r="D1032" t="s">
        <v>39</v>
      </c>
      <c r="E1032">
        <v>10</v>
      </c>
      <c r="F1032">
        <v>158.1</v>
      </c>
      <c r="G1032">
        <v>94.2</v>
      </c>
      <c r="H1032">
        <v>4.5999999999999996</v>
      </c>
      <c r="I1032">
        <v>7</v>
      </c>
      <c r="J1032">
        <v>6.56</v>
      </c>
      <c r="K1032">
        <v>9.76</v>
      </c>
      <c r="L1032">
        <v>1</v>
      </c>
      <c r="M1032" t="s">
        <v>20</v>
      </c>
      <c r="N1032" t="s">
        <v>21</v>
      </c>
      <c r="O1032">
        <v>17.02</v>
      </c>
      <c r="P1032" t="s">
        <v>44</v>
      </c>
    </row>
    <row r="1033" spans="1:16" x14ac:dyDescent="0.3">
      <c r="A1033" t="s">
        <v>130</v>
      </c>
      <c r="B1033" t="s">
        <v>33</v>
      </c>
      <c r="C1033" t="s">
        <v>24</v>
      </c>
      <c r="D1033" t="s">
        <v>39</v>
      </c>
      <c r="E1033">
        <v>10</v>
      </c>
      <c r="F1033">
        <v>165.3</v>
      </c>
      <c r="G1033">
        <v>99.6</v>
      </c>
      <c r="H1033">
        <v>1.8</v>
      </c>
      <c r="I1033">
        <v>8</v>
      </c>
      <c r="J1033">
        <v>7.81</v>
      </c>
      <c r="K1033">
        <v>9.27</v>
      </c>
      <c r="L1033">
        <v>0</v>
      </c>
      <c r="M1033" t="s">
        <v>34</v>
      </c>
      <c r="N1033" t="s">
        <v>21</v>
      </c>
      <c r="O1033">
        <v>17.850000000000001</v>
      </c>
      <c r="P1033" t="s">
        <v>45</v>
      </c>
    </row>
    <row r="1034" spans="1:16" x14ac:dyDescent="0.3">
      <c r="A1034" t="s">
        <v>131</v>
      </c>
      <c r="B1034" t="s">
        <v>17</v>
      </c>
      <c r="C1034" t="s">
        <v>24</v>
      </c>
      <c r="D1034" t="s">
        <v>19</v>
      </c>
      <c r="E1034">
        <v>10</v>
      </c>
      <c r="F1034">
        <v>165.5</v>
      </c>
      <c r="G1034">
        <v>88.7</v>
      </c>
      <c r="H1034">
        <v>3.9</v>
      </c>
      <c r="I1034">
        <v>5</v>
      </c>
      <c r="J1034">
        <v>9.0500000000000007</v>
      </c>
      <c r="K1034">
        <v>7.85</v>
      </c>
      <c r="L1034">
        <v>1</v>
      </c>
      <c r="M1034" t="s">
        <v>34</v>
      </c>
      <c r="N1034" t="s">
        <v>21</v>
      </c>
      <c r="O1034">
        <v>18.16</v>
      </c>
      <c r="P1034" t="s">
        <v>22</v>
      </c>
    </row>
    <row r="1035" spans="1:16" x14ac:dyDescent="0.3">
      <c r="A1035" t="s">
        <v>131</v>
      </c>
      <c r="B1035" t="s">
        <v>17</v>
      </c>
      <c r="C1035" t="s">
        <v>24</v>
      </c>
      <c r="D1035" t="s">
        <v>19</v>
      </c>
      <c r="E1035">
        <v>4</v>
      </c>
      <c r="F1035">
        <v>163.1</v>
      </c>
      <c r="G1035">
        <v>87.9</v>
      </c>
      <c r="H1035">
        <v>9.6999999999999993</v>
      </c>
      <c r="I1035">
        <v>1</v>
      </c>
      <c r="J1035">
        <v>8.9700000000000006</v>
      </c>
      <c r="K1035">
        <v>7.16</v>
      </c>
      <c r="L1035">
        <v>0</v>
      </c>
      <c r="M1035" t="s">
        <v>34</v>
      </c>
      <c r="N1035" t="s">
        <v>21</v>
      </c>
      <c r="O1035">
        <v>11.46</v>
      </c>
      <c r="P1035" t="s">
        <v>22</v>
      </c>
    </row>
    <row r="1036" spans="1:16" x14ac:dyDescent="0.3">
      <c r="A1036" t="s">
        <v>131</v>
      </c>
      <c r="B1036" t="s">
        <v>43</v>
      </c>
      <c r="C1036" t="s">
        <v>18</v>
      </c>
      <c r="D1036" t="s">
        <v>29</v>
      </c>
      <c r="E1036">
        <v>2</v>
      </c>
      <c r="F1036">
        <v>161.6</v>
      </c>
      <c r="G1036">
        <v>96.6</v>
      </c>
      <c r="H1036">
        <v>3.2</v>
      </c>
      <c r="I1036">
        <v>6</v>
      </c>
      <c r="J1036">
        <v>7.89</v>
      </c>
      <c r="K1036">
        <v>6.43</v>
      </c>
      <c r="L1036">
        <v>0</v>
      </c>
      <c r="M1036" t="s">
        <v>34</v>
      </c>
      <c r="N1036" t="s">
        <v>26</v>
      </c>
      <c r="O1036">
        <v>4.09</v>
      </c>
      <c r="P1036" t="s">
        <v>28</v>
      </c>
    </row>
    <row r="1037" spans="1:16" x14ac:dyDescent="0.3">
      <c r="A1037" t="s">
        <v>131</v>
      </c>
      <c r="B1037" t="s">
        <v>43</v>
      </c>
      <c r="C1037" t="s">
        <v>18</v>
      </c>
      <c r="D1037" t="s">
        <v>19</v>
      </c>
      <c r="E1037">
        <v>6</v>
      </c>
      <c r="F1037">
        <v>162.30000000000001</v>
      </c>
      <c r="G1037">
        <v>90.5</v>
      </c>
      <c r="H1037">
        <v>5.9</v>
      </c>
      <c r="I1037">
        <v>6</v>
      </c>
      <c r="J1037">
        <v>9.3800000000000008</v>
      </c>
      <c r="K1037">
        <v>7.52</v>
      </c>
      <c r="L1037">
        <v>1</v>
      </c>
      <c r="M1037" t="s">
        <v>34</v>
      </c>
      <c r="N1037" t="s">
        <v>21</v>
      </c>
      <c r="O1037">
        <v>5.8</v>
      </c>
      <c r="P1037" t="s">
        <v>28</v>
      </c>
    </row>
    <row r="1038" spans="1:16" x14ac:dyDescent="0.3">
      <c r="A1038" t="s">
        <v>131</v>
      </c>
      <c r="B1038" t="s">
        <v>17</v>
      </c>
      <c r="C1038" t="s">
        <v>31</v>
      </c>
      <c r="D1038" t="s">
        <v>19</v>
      </c>
      <c r="E1038">
        <v>10</v>
      </c>
      <c r="F1038">
        <v>147.1</v>
      </c>
      <c r="G1038">
        <v>100</v>
      </c>
      <c r="H1038">
        <v>6.1</v>
      </c>
      <c r="I1038">
        <v>3</v>
      </c>
      <c r="J1038">
        <v>6.46</v>
      </c>
      <c r="K1038">
        <v>5.31</v>
      </c>
      <c r="L1038">
        <v>1</v>
      </c>
      <c r="M1038" t="s">
        <v>20</v>
      </c>
      <c r="N1038" t="s">
        <v>21</v>
      </c>
      <c r="O1038">
        <v>8.58</v>
      </c>
      <c r="P1038" t="s">
        <v>30</v>
      </c>
    </row>
    <row r="1039" spans="1:16" x14ac:dyDescent="0.3">
      <c r="A1039" t="s">
        <v>131</v>
      </c>
      <c r="B1039" t="s">
        <v>17</v>
      </c>
      <c r="C1039" t="s">
        <v>18</v>
      </c>
      <c r="D1039" t="s">
        <v>29</v>
      </c>
      <c r="E1039">
        <v>8</v>
      </c>
      <c r="F1039">
        <v>160.1</v>
      </c>
      <c r="G1039">
        <v>92.5</v>
      </c>
      <c r="H1039">
        <v>4.9000000000000004</v>
      </c>
      <c r="I1039">
        <v>6</v>
      </c>
      <c r="J1039">
        <v>6.22</v>
      </c>
      <c r="K1039">
        <v>7.52</v>
      </c>
      <c r="L1039">
        <v>0</v>
      </c>
      <c r="M1039" t="s">
        <v>25</v>
      </c>
      <c r="N1039" t="s">
        <v>35</v>
      </c>
      <c r="O1039">
        <v>19.98</v>
      </c>
      <c r="P1039" t="s">
        <v>32</v>
      </c>
    </row>
    <row r="1040" spans="1:16" x14ac:dyDescent="0.3">
      <c r="A1040" t="s">
        <v>131</v>
      </c>
      <c r="B1040" t="s">
        <v>27</v>
      </c>
      <c r="C1040" t="s">
        <v>18</v>
      </c>
      <c r="D1040" t="s">
        <v>19</v>
      </c>
      <c r="E1040">
        <v>6</v>
      </c>
      <c r="F1040">
        <v>156</v>
      </c>
      <c r="G1040">
        <v>99.9</v>
      </c>
      <c r="H1040">
        <v>9.1999999999999993</v>
      </c>
      <c r="I1040">
        <v>4</v>
      </c>
      <c r="J1040">
        <v>8.99</v>
      </c>
      <c r="K1040">
        <v>7.7</v>
      </c>
      <c r="L1040">
        <v>0</v>
      </c>
      <c r="M1040" t="s">
        <v>25</v>
      </c>
      <c r="N1040" t="s">
        <v>35</v>
      </c>
      <c r="O1040">
        <v>15.52</v>
      </c>
      <c r="P1040" t="s">
        <v>36</v>
      </c>
    </row>
    <row r="1041" spans="1:16" x14ac:dyDescent="0.3">
      <c r="A1041" t="s">
        <v>131</v>
      </c>
      <c r="B1041" t="s">
        <v>43</v>
      </c>
      <c r="C1041" t="s">
        <v>31</v>
      </c>
      <c r="D1041" t="s">
        <v>39</v>
      </c>
      <c r="E1041">
        <v>9</v>
      </c>
      <c r="F1041">
        <v>161.5</v>
      </c>
      <c r="G1041">
        <v>97.8</v>
      </c>
      <c r="H1041">
        <v>6.8</v>
      </c>
      <c r="I1041">
        <v>4</v>
      </c>
      <c r="J1041">
        <v>9.25</v>
      </c>
      <c r="K1041">
        <v>6.82</v>
      </c>
      <c r="L1041">
        <v>0</v>
      </c>
      <c r="M1041" t="s">
        <v>34</v>
      </c>
      <c r="N1041" t="s">
        <v>35</v>
      </c>
      <c r="O1041">
        <v>16.87</v>
      </c>
      <c r="P1041" t="s">
        <v>38</v>
      </c>
    </row>
    <row r="1042" spans="1:16" x14ac:dyDescent="0.3">
      <c r="A1042" t="s">
        <v>131</v>
      </c>
      <c r="B1042" t="s">
        <v>43</v>
      </c>
      <c r="C1042" t="s">
        <v>37</v>
      </c>
      <c r="D1042" t="s">
        <v>29</v>
      </c>
      <c r="E1042">
        <v>2</v>
      </c>
      <c r="F1042">
        <v>151.69999999999999</v>
      </c>
      <c r="G1042">
        <v>98.8</v>
      </c>
      <c r="H1042">
        <v>4.5999999999999996</v>
      </c>
      <c r="I1042">
        <v>11</v>
      </c>
      <c r="J1042">
        <v>7.38</v>
      </c>
      <c r="K1042">
        <v>8.77</v>
      </c>
      <c r="L1042">
        <v>1</v>
      </c>
      <c r="M1042" t="s">
        <v>20</v>
      </c>
      <c r="N1042" t="s">
        <v>26</v>
      </c>
      <c r="O1042">
        <v>14.25</v>
      </c>
      <c r="P1042" t="s">
        <v>40</v>
      </c>
    </row>
    <row r="1043" spans="1:16" x14ac:dyDescent="0.3">
      <c r="A1043" t="s">
        <v>131</v>
      </c>
      <c r="B1043" t="s">
        <v>17</v>
      </c>
      <c r="C1043" t="s">
        <v>41</v>
      </c>
      <c r="D1043" t="s">
        <v>29</v>
      </c>
      <c r="E1043">
        <v>4</v>
      </c>
      <c r="F1043">
        <v>153.4</v>
      </c>
      <c r="G1043">
        <v>92.6</v>
      </c>
      <c r="H1043">
        <v>5.7</v>
      </c>
      <c r="I1043">
        <v>6</v>
      </c>
      <c r="J1043">
        <v>6.73</v>
      </c>
      <c r="K1043">
        <v>9.27</v>
      </c>
      <c r="L1043">
        <v>0</v>
      </c>
      <c r="M1043" t="s">
        <v>34</v>
      </c>
      <c r="N1043" t="s">
        <v>26</v>
      </c>
      <c r="O1043">
        <v>14.66</v>
      </c>
      <c r="P1043" t="s">
        <v>42</v>
      </c>
    </row>
    <row r="1044" spans="1:16" x14ac:dyDescent="0.3">
      <c r="A1044" t="s">
        <v>131</v>
      </c>
      <c r="B1044" t="s">
        <v>27</v>
      </c>
      <c r="C1044" t="s">
        <v>18</v>
      </c>
      <c r="D1044" t="s">
        <v>19</v>
      </c>
      <c r="E1044">
        <v>7</v>
      </c>
      <c r="F1044">
        <v>160.80000000000001</v>
      </c>
      <c r="G1044">
        <v>98</v>
      </c>
      <c r="H1044">
        <v>6.9</v>
      </c>
      <c r="I1044">
        <v>10</v>
      </c>
      <c r="J1044">
        <v>8.44</v>
      </c>
      <c r="K1044">
        <v>1</v>
      </c>
      <c r="L1044">
        <v>2</v>
      </c>
      <c r="M1044" t="s">
        <v>34</v>
      </c>
      <c r="N1044" t="s">
        <v>21</v>
      </c>
      <c r="O1044">
        <v>16.260000000000002</v>
      </c>
      <c r="P1044" t="s">
        <v>44</v>
      </c>
    </row>
    <row r="1045" spans="1:16" x14ac:dyDescent="0.3">
      <c r="A1045" t="s">
        <v>131</v>
      </c>
      <c r="B1045" t="s">
        <v>17</v>
      </c>
      <c r="C1045" t="s">
        <v>37</v>
      </c>
      <c r="D1045" t="s">
        <v>19</v>
      </c>
      <c r="E1045">
        <v>2</v>
      </c>
      <c r="F1045">
        <v>151.30000000000001</v>
      </c>
      <c r="G1045">
        <v>100</v>
      </c>
      <c r="H1045">
        <v>4.4000000000000004</v>
      </c>
      <c r="I1045">
        <v>4</v>
      </c>
      <c r="J1045">
        <v>7.18</v>
      </c>
      <c r="K1045">
        <v>7.2</v>
      </c>
      <c r="L1045">
        <v>0</v>
      </c>
      <c r="M1045" t="s">
        <v>25</v>
      </c>
      <c r="N1045" t="s">
        <v>35</v>
      </c>
      <c r="O1045">
        <v>15.34</v>
      </c>
      <c r="P1045" t="s">
        <v>45</v>
      </c>
    </row>
    <row r="1046" spans="1:16" x14ac:dyDescent="0.3">
      <c r="A1046" t="s">
        <v>132</v>
      </c>
      <c r="B1046" t="s">
        <v>33</v>
      </c>
      <c r="C1046" t="s">
        <v>41</v>
      </c>
      <c r="D1046" t="s">
        <v>29</v>
      </c>
      <c r="E1046">
        <v>2</v>
      </c>
      <c r="F1046">
        <v>140.80000000000001</v>
      </c>
      <c r="G1046">
        <v>99.7</v>
      </c>
      <c r="H1046">
        <v>5.5</v>
      </c>
      <c r="I1046">
        <v>10</v>
      </c>
      <c r="J1046">
        <v>9.77</v>
      </c>
      <c r="K1046">
        <v>4.8499999999999996</v>
      </c>
      <c r="L1046">
        <v>0</v>
      </c>
      <c r="M1046" t="s">
        <v>20</v>
      </c>
      <c r="N1046" t="s">
        <v>35</v>
      </c>
      <c r="O1046">
        <v>18.29</v>
      </c>
      <c r="P1046" t="s">
        <v>22</v>
      </c>
    </row>
    <row r="1047" spans="1:16" x14ac:dyDescent="0.3">
      <c r="A1047" t="s">
        <v>132</v>
      </c>
      <c r="B1047" t="s">
        <v>43</v>
      </c>
      <c r="C1047" t="s">
        <v>31</v>
      </c>
      <c r="D1047" t="s">
        <v>19</v>
      </c>
      <c r="E1047">
        <v>3</v>
      </c>
      <c r="F1047">
        <v>150.30000000000001</v>
      </c>
      <c r="G1047">
        <v>91.9</v>
      </c>
      <c r="H1047">
        <v>3.2</v>
      </c>
      <c r="I1047">
        <v>2</v>
      </c>
      <c r="J1047">
        <v>5.7</v>
      </c>
      <c r="K1047">
        <v>4.93</v>
      </c>
      <c r="L1047">
        <v>0</v>
      </c>
      <c r="M1047" t="s">
        <v>25</v>
      </c>
      <c r="N1047" t="s">
        <v>35</v>
      </c>
      <c r="O1047">
        <v>6.42</v>
      </c>
      <c r="P1047" t="s">
        <v>22</v>
      </c>
    </row>
    <row r="1048" spans="1:16" x14ac:dyDescent="0.3">
      <c r="A1048" t="s">
        <v>132</v>
      </c>
      <c r="B1048" t="s">
        <v>23</v>
      </c>
      <c r="C1048" t="s">
        <v>41</v>
      </c>
      <c r="D1048" t="s">
        <v>29</v>
      </c>
      <c r="E1048">
        <v>6</v>
      </c>
      <c r="F1048">
        <v>154.80000000000001</v>
      </c>
      <c r="G1048">
        <v>92.8</v>
      </c>
      <c r="H1048">
        <v>9.3000000000000007</v>
      </c>
      <c r="I1048">
        <v>7</v>
      </c>
      <c r="J1048">
        <v>8.65</v>
      </c>
      <c r="K1048">
        <v>6.68</v>
      </c>
      <c r="L1048">
        <v>0</v>
      </c>
      <c r="M1048" t="s">
        <v>25</v>
      </c>
      <c r="N1048" t="s">
        <v>26</v>
      </c>
      <c r="O1048">
        <v>19.47</v>
      </c>
      <c r="P1048" t="s">
        <v>28</v>
      </c>
    </row>
    <row r="1049" spans="1:16" x14ac:dyDescent="0.3">
      <c r="A1049" t="s">
        <v>132</v>
      </c>
      <c r="B1049" t="s">
        <v>43</v>
      </c>
      <c r="C1049" t="s">
        <v>41</v>
      </c>
      <c r="D1049" t="s">
        <v>39</v>
      </c>
      <c r="E1049">
        <v>7</v>
      </c>
      <c r="F1049">
        <v>160.4</v>
      </c>
      <c r="G1049">
        <v>92.6</v>
      </c>
      <c r="H1049">
        <v>5.3</v>
      </c>
      <c r="I1049">
        <v>6</v>
      </c>
      <c r="J1049">
        <v>8.6</v>
      </c>
      <c r="K1049">
        <v>9.9499999999999993</v>
      </c>
      <c r="L1049">
        <v>1</v>
      </c>
      <c r="M1049" t="s">
        <v>34</v>
      </c>
      <c r="N1049" t="s">
        <v>21</v>
      </c>
      <c r="O1049">
        <v>17.73</v>
      </c>
      <c r="P1049" t="s">
        <v>28</v>
      </c>
    </row>
    <row r="1050" spans="1:16" x14ac:dyDescent="0.3">
      <c r="A1050" t="s">
        <v>132</v>
      </c>
      <c r="B1050" t="s">
        <v>33</v>
      </c>
      <c r="C1050" t="s">
        <v>37</v>
      </c>
      <c r="D1050" t="s">
        <v>29</v>
      </c>
      <c r="E1050">
        <v>3</v>
      </c>
      <c r="F1050">
        <v>163.5</v>
      </c>
      <c r="G1050">
        <v>92</v>
      </c>
      <c r="H1050">
        <v>7.4</v>
      </c>
      <c r="I1050">
        <v>4</v>
      </c>
      <c r="J1050">
        <v>10</v>
      </c>
      <c r="K1050">
        <v>8.7100000000000009</v>
      </c>
      <c r="L1050">
        <v>0</v>
      </c>
      <c r="M1050" t="s">
        <v>34</v>
      </c>
      <c r="N1050" t="s">
        <v>26</v>
      </c>
      <c r="O1050">
        <v>8.43</v>
      </c>
      <c r="P1050" t="s">
        <v>30</v>
      </c>
    </row>
    <row r="1051" spans="1:16" x14ac:dyDescent="0.3">
      <c r="A1051" t="s">
        <v>132</v>
      </c>
      <c r="B1051" t="s">
        <v>23</v>
      </c>
      <c r="C1051" t="s">
        <v>18</v>
      </c>
      <c r="D1051" t="s">
        <v>29</v>
      </c>
      <c r="E1051">
        <v>9</v>
      </c>
      <c r="F1051">
        <v>145.30000000000001</v>
      </c>
      <c r="G1051">
        <v>100</v>
      </c>
      <c r="H1051">
        <v>6.5</v>
      </c>
      <c r="I1051">
        <v>7</v>
      </c>
      <c r="J1051">
        <v>4.66</v>
      </c>
      <c r="K1051">
        <v>8.67</v>
      </c>
      <c r="L1051">
        <v>0</v>
      </c>
      <c r="M1051" t="s">
        <v>25</v>
      </c>
      <c r="N1051" t="s">
        <v>26</v>
      </c>
      <c r="O1051">
        <v>13.32</v>
      </c>
      <c r="P1051" t="s">
        <v>32</v>
      </c>
    </row>
    <row r="1052" spans="1:16" x14ac:dyDescent="0.3">
      <c r="A1052" t="s">
        <v>132</v>
      </c>
      <c r="B1052" t="s">
        <v>27</v>
      </c>
      <c r="C1052" t="s">
        <v>31</v>
      </c>
      <c r="D1052" t="s">
        <v>19</v>
      </c>
      <c r="E1052">
        <v>7</v>
      </c>
      <c r="F1052">
        <v>158.1</v>
      </c>
      <c r="G1052">
        <v>92.4</v>
      </c>
      <c r="H1052">
        <v>7.3</v>
      </c>
      <c r="I1052">
        <v>4</v>
      </c>
      <c r="J1052">
        <v>7.93</v>
      </c>
      <c r="K1052">
        <v>6.19</v>
      </c>
      <c r="L1052">
        <v>0</v>
      </c>
      <c r="M1052" t="s">
        <v>34</v>
      </c>
      <c r="N1052" t="s">
        <v>21</v>
      </c>
      <c r="O1052">
        <v>21.13</v>
      </c>
      <c r="P1052" t="s">
        <v>36</v>
      </c>
    </row>
    <row r="1053" spans="1:16" x14ac:dyDescent="0.3">
      <c r="A1053" t="s">
        <v>132</v>
      </c>
      <c r="B1053" t="s">
        <v>33</v>
      </c>
      <c r="C1053" t="s">
        <v>24</v>
      </c>
      <c r="D1053" t="s">
        <v>19</v>
      </c>
      <c r="E1053">
        <v>7</v>
      </c>
      <c r="F1053">
        <v>159.1</v>
      </c>
      <c r="G1053">
        <v>86.5</v>
      </c>
      <c r="H1053">
        <v>0.3</v>
      </c>
      <c r="I1053">
        <v>6</v>
      </c>
      <c r="J1053">
        <v>5.43</v>
      </c>
      <c r="K1053">
        <v>3.69</v>
      </c>
      <c r="L1053">
        <v>0</v>
      </c>
      <c r="M1053" t="s">
        <v>34</v>
      </c>
      <c r="N1053" t="s">
        <v>26</v>
      </c>
      <c r="O1053">
        <v>13.64</v>
      </c>
      <c r="P1053" t="s">
        <v>38</v>
      </c>
    </row>
    <row r="1054" spans="1:16" x14ac:dyDescent="0.3">
      <c r="A1054" t="s">
        <v>132</v>
      </c>
      <c r="B1054" t="s">
        <v>33</v>
      </c>
      <c r="C1054" t="s">
        <v>24</v>
      </c>
      <c r="D1054" t="s">
        <v>39</v>
      </c>
      <c r="E1054">
        <v>10</v>
      </c>
      <c r="F1054">
        <v>174.4</v>
      </c>
      <c r="G1054">
        <v>97.9</v>
      </c>
      <c r="H1054">
        <v>8.1</v>
      </c>
      <c r="I1054">
        <v>3</v>
      </c>
      <c r="J1054">
        <v>4.21</v>
      </c>
      <c r="K1054">
        <v>7.92</v>
      </c>
      <c r="L1054">
        <v>0</v>
      </c>
      <c r="M1054" t="s">
        <v>34</v>
      </c>
      <c r="N1054" t="s">
        <v>26</v>
      </c>
      <c r="O1054">
        <v>10.94</v>
      </c>
      <c r="P1054" t="s">
        <v>40</v>
      </c>
    </row>
    <row r="1055" spans="1:16" x14ac:dyDescent="0.3">
      <c r="A1055" t="s">
        <v>132</v>
      </c>
      <c r="B1055" t="s">
        <v>23</v>
      </c>
      <c r="C1055" t="s">
        <v>24</v>
      </c>
      <c r="D1055" t="s">
        <v>29</v>
      </c>
      <c r="E1055">
        <v>1</v>
      </c>
      <c r="F1055">
        <v>175.4</v>
      </c>
      <c r="G1055">
        <v>91.3</v>
      </c>
      <c r="H1055">
        <v>5.4</v>
      </c>
      <c r="I1055">
        <v>6</v>
      </c>
      <c r="J1055">
        <v>8.27</v>
      </c>
      <c r="K1055">
        <v>7.58</v>
      </c>
      <c r="L1055">
        <v>1</v>
      </c>
      <c r="M1055" t="s">
        <v>25</v>
      </c>
      <c r="N1055" t="s">
        <v>26</v>
      </c>
      <c r="O1055">
        <v>11.22</v>
      </c>
      <c r="P1055" t="s">
        <v>42</v>
      </c>
    </row>
    <row r="1056" spans="1:16" x14ac:dyDescent="0.3">
      <c r="A1056" t="s">
        <v>132</v>
      </c>
      <c r="B1056" t="s">
        <v>33</v>
      </c>
      <c r="C1056" t="s">
        <v>24</v>
      </c>
      <c r="D1056" t="s">
        <v>29</v>
      </c>
      <c r="E1056">
        <v>7</v>
      </c>
      <c r="F1056">
        <v>143</v>
      </c>
      <c r="G1056">
        <v>96.8</v>
      </c>
      <c r="H1056">
        <v>3.6</v>
      </c>
      <c r="I1056">
        <v>6</v>
      </c>
      <c r="J1056">
        <v>8.8000000000000007</v>
      </c>
      <c r="K1056">
        <v>5.37</v>
      </c>
      <c r="L1056">
        <v>0</v>
      </c>
      <c r="M1056" t="s">
        <v>25</v>
      </c>
      <c r="N1056" t="s">
        <v>26</v>
      </c>
      <c r="O1056">
        <v>10.51</v>
      </c>
      <c r="P1056" t="s">
        <v>44</v>
      </c>
    </row>
    <row r="1057" spans="1:16" x14ac:dyDescent="0.3">
      <c r="A1057" t="s">
        <v>132</v>
      </c>
      <c r="B1057" t="s">
        <v>27</v>
      </c>
      <c r="C1057" t="s">
        <v>18</v>
      </c>
      <c r="D1057" t="s">
        <v>19</v>
      </c>
      <c r="E1057">
        <v>9</v>
      </c>
      <c r="F1057">
        <v>175.2</v>
      </c>
      <c r="G1057">
        <v>99.6</v>
      </c>
      <c r="H1057">
        <v>6.4</v>
      </c>
      <c r="I1057">
        <v>7</v>
      </c>
      <c r="J1057">
        <v>5.95</v>
      </c>
      <c r="K1057">
        <v>3.45</v>
      </c>
      <c r="L1057">
        <v>0</v>
      </c>
      <c r="M1057" t="s">
        <v>20</v>
      </c>
      <c r="N1057" t="s">
        <v>26</v>
      </c>
      <c r="O1057">
        <v>2.54</v>
      </c>
      <c r="P1057" t="s">
        <v>45</v>
      </c>
    </row>
    <row r="1058" spans="1:16" x14ac:dyDescent="0.3">
      <c r="A1058" t="s">
        <v>133</v>
      </c>
      <c r="B1058" t="s">
        <v>27</v>
      </c>
      <c r="C1058" t="s">
        <v>18</v>
      </c>
      <c r="D1058" t="s">
        <v>39</v>
      </c>
      <c r="E1058">
        <v>6</v>
      </c>
      <c r="F1058">
        <v>150.69999999999999</v>
      </c>
      <c r="G1058">
        <v>91.2</v>
      </c>
      <c r="H1058">
        <v>6</v>
      </c>
      <c r="I1058">
        <v>9</v>
      </c>
      <c r="J1058">
        <v>9.23</v>
      </c>
      <c r="K1058">
        <v>5.75</v>
      </c>
      <c r="L1058">
        <v>0</v>
      </c>
      <c r="M1058" t="s">
        <v>34</v>
      </c>
      <c r="N1058" t="s">
        <v>21</v>
      </c>
      <c r="O1058">
        <v>8.82</v>
      </c>
      <c r="P1058" t="s">
        <v>22</v>
      </c>
    </row>
    <row r="1059" spans="1:16" x14ac:dyDescent="0.3">
      <c r="A1059" t="s">
        <v>133</v>
      </c>
      <c r="B1059" t="s">
        <v>33</v>
      </c>
      <c r="C1059" t="s">
        <v>18</v>
      </c>
      <c r="D1059" t="s">
        <v>29</v>
      </c>
      <c r="E1059">
        <v>7</v>
      </c>
      <c r="F1059">
        <v>164.3</v>
      </c>
      <c r="G1059">
        <v>100</v>
      </c>
      <c r="H1059">
        <v>3.4</v>
      </c>
      <c r="I1059">
        <v>3</v>
      </c>
      <c r="J1059">
        <v>7</v>
      </c>
      <c r="K1059">
        <v>7.25</v>
      </c>
      <c r="L1059">
        <v>0</v>
      </c>
      <c r="M1059" t="s">
        <v>34</v>
      </c>
      <c r="N1059" t="s">
        <v>26</v>
      </c>
      <c r="O1059">
        <v>10.49</v>
      </c>
      <c r="P1059" t="s">
        <v>22</v>
      </c>
    </row>
    <row r="1060" spans="1:16" x14ac:dyDescent="0.3">
      <c r="A1060" t="s">
        <v>133</v>
      </c>
      <c r="B1060" t="s">
        <v>43</v>
      </c>
      <c r="C1060" t="s">
        <v>37</v>
      </c>
      <c r="D1060" t="s">
        <v>39</v>
      </c>
      <c r="E1060">
        <v>5</v>
      </c>
      <c r="F1060">
        <v>165.9</v>
      </c>
      <c r="G1060">
        <v>100</v>
      </c>
      <c r="H1060">
        <v>8</v>
      </c>
      <c r="I1060">
        <v>9</v>
      </c>
      <c r="K1060">
        <v>8.51</v>
      </c>
      <c r="L1060">
        <v>1</v>
      </c>
      <c r="M1060" t="s">
        <v>25</v>
      </c>
      <c r="N1060" t="s">
        <v>26</v>
      </c>
      <c r="O1060">
        <v>18.84</v>
      </c>
      <c r="P1060" t="s">
        <v>28</v>
      </c>
    </row>
    <row r="1061" spans="1:16" x14ac:dyDescent="0.3">
      <c r="A1061" t="s">
        <v>133</v>
      </c>
      <c r="B1061" t="s">
        <v>23</v>
      </c>
      <c r="C1061" t="s">
        <v>18</v>
      </c>
      <c r="D1061" t="s">
        <v>39</v>
      </c>
      <c r="E1061">
        <v>3</v>
      </c>
      <c r="F1061">
        <v>157.80000000000001</v>
      </c>
      <c r="G1061">
        <v>99.8</v>
      </c>
      <c r="H1061">
        <v>6.2</v>
      </c>
      <c r="I1061">
        <v>5</v>
      </c>
      <c r="J1061">
        <v>10</v>
      </c>
      <c r="K1061">
        <v>5.15</v>
      </c>
      <c r="L1061">
        <v>0</v>
      </c>
      <c r="M1061" t="s">
        <v>34</v>
      </c>
      <c r="N1061" t="s">
        <v>21</v>
      </c>
      <c r="O1061">
        <v>15.86</v>
      </c>
      <c r="P1061" t="s">
        <v>28</v>
      </c>
    </row>
    <row r="1062" spans="1:16" x14ac:dyDescent="0.3">
      <c r="A1062" t="s">
        <v>133</v>
      </c>
      <c r="B1062" t="s">
        <v>23</v>
      </c>
      <c r="C1062" t="s">
        <v>37</v>
      </c>
      <c r="D1062" t="s">
        <v>39</v>
      </c>
      <c r="E1062">
        <v>3</v>
      </c>
      <c r="F1062">
        <v>151</v>
      </c>
      <c r="G1062">
        <v>100</v>
      </c>
      <c r="H1062">
        <v>2.7</v>
      </c>
      <c r="I1062">
        <v>7</v>
      </c>
      <c r="J1062">
        <v>7.52</v>
      </c>
      <c r="K1062">
        <v>8.23</v>
      </c>
      <c r="L1062">
        <v>1</v>
      </c>
      <c r="M1062" t="s">
        <v>20</v>
      </c>
      <c r="N1062" t="s">
        <v>35</v>
      </c>
      <c r="O1062">
        <v>17.940000000000001</v>
      </c>
      <c r="P1062" t="s">
        <v>30</v>
      </c>
    </row>
    <row r="1063" spans="1:16" x14ac:dyDescent="0.3">
      <c r="A1063" t="s">
        <v>133</v>
      </c>
      <c r="B1063" t="s">
        <v>27</v>
      </c>
      <c r="C1063" t="s">
        <v>37</v>
      </c>
      <c r="D1063" t="s">
        <v>19</v>
      </c>
      <c r="E1063">
        <v>3</v>
      </c>
      <c r="F1063">
        <v>160.6</v>
      </c>
      <c r="G1063">
        <v>98.7</v>
      </c>
      <c r="H1063">
        <v>6.3</v>
      </c>
      <c r="I1063">
        <v>3</v>
      </c>
      <c r="J1063">
        <v>7.97</v>
      </c>
      <c r="K1063">
        <v>2.96</v>
      </c>
      <c r="L1063">
        <v>0</v>
      </c>
      <c r="M1063" t="s">
        <v>34</v>
      </c>
      <c r="N1063" t="s">
        <v>21</v>
      </c>
      <c r="O1063">
        <v>13.6</v>
      </c>
      <c r="P1063" t="s">
        <v>32</v>
      </c>
    </row>
    <row r="1064" spans="1:16" x14ac:dyDescent="0.3">
      <c r="A1064" t="s">
        <v>133</v>
      </c>
      <c r="B1064" t="s">
        <v>27</v>
      </c>
      <c r="C1064" t="s">
        <v>41</v>
      </c>
      <c r="D1064" t="s">
        <v>39</v>
      </c>
      <c r="E1064">
        <v>7</v>
      </c>
      <c r="F1064">
        <v>161.4</v>
      </c>
      <c r="G1064">
        <v>89</v>
      </c>
      <c r="I1064">
        <v>5</v>
      </c>
      <c r="J1064">
        <v>6.53</v>
      </c>
      <c r="K1064">
        <v>8.17</v>
      </c>
      <c r="L1064">
        <v>0</v>
      </c>
      <c r="M1064" t="s">
        <v>20</v>
      </c>
      <c r="N1064" t="s">
        <v>35</v>
      </c>
      <c r="O1064">
        <v>6.23</v>
      </c>
      <c r="P1064" t="s">
        <v>36</v>
      </c>
    </row>
    <row r="1065" spans="1:16" x14ac:dyDescent="0.3">
      <c r="A1065" t="s">
        <v>133</v>
      </c>
      <c r="B1065" t="s">
        <v>23</v>
      </c>
      <c r="C1065" t="s">
        <v>18</v>
      </c>
      <c r="D1065" t="s">
        <v>39</v>
      </c>
      <c r="E1065">
        <v>4</v>
      </c>
      <c r="F1065">
        <v>151.5</v>
      </c>
      <c r="G1065">
        <v>100</v>
      </c>
      <c r="H1065">
        <v>4.8</v>
      </c>
      <c r="I1065">
        <v>6</v>
      </c>
      <c r="J1065">
        <v>7.83</v>
      </c>
      <c r="K1065">
        <v>5.73</v>
      </c>
      <c r="L1065">
        <v>0</v>
      </c>
      <c r="M1065" t="s">
        <v>25</v>
      </c>
      <c r="N1065" t="s">
        <v>21</v>
      </c>
      <c r="O1065">
        <v>8.92</v>
      </c>
      <c r="P1065" t="s">
        <v>38</v>
      </c>
    </row>
    <row r="1066" spans="1:16" x14ac:dyDescent="0.3">
      <c r="A1066" t="s">
        <v>133</v>
      </c>
      <c r="B1066" t="s">
        <v>43</v>
      </c>
      <c r="C1066" t="s">
        <v>37</v>
      </c>
      <c r="D1066" t="s">
        <v>39</v>
      </c>
      <c r="E1066">
        <v>5</v>
      </c>
      <c r="F1066">
        <v>166.6</v>
      </c>
      <c r="G1066">
        <v>100</v>
      </c>
      <c r="H1066">
        <v>5</v>
      </c>
      <c r="I1066">
        <v>6</v>
      </c>
      <c r="J1066">
        <v>9.1199999999999992</v>
      </c>
      <c r="K1066">
        <v>9.39</v>
      </c>
      <c r="L1066">
        <v>0</v>
      </c>
      <c r="M1066" t="s">
        <v>25</v>
      </c>
      <c r="N1066" t="s">
        <v>26</v>
      </c>
      <c r="O1066">
        <v>12.41</v>
      </c>
      <c r="P1066" t="s">
        <v>40</v>
      </c>
    </row>
    <row r="1067" spans="1:16" x14ac:dyDescent="0.3">
      <c r="A1067" t="s">
        <v>133</v>
      </c>
      <c r="B1067" t="s">
        <v>33</v>
      </c>
      <c r="C1067" t="s">
        <v>31</v>
      </c>
      <c r="D1067" t="s">
        <v>39</v>
      </c>
      <c r="E1067">
        <v>7</v>
      </c>
      <c r="F1067">
        <v>167.5</v>
      </c>
      <c r="G1067">
        <v>94.8</v>
      </c>
      <c r="H1067">
        <v>3.4</v>
      </c>
      <c r="I1067">
        <v>6</v>
      </c>
      <c r="J1067">
        <v>6.12</v>
      </c>
      <c r="K1067">
        <v>5.56</v>
      </c>
      <c r="L1067">
        <v>0</v>
      </c>
      <c r="M1067" t="s">
        <v>20</v>
      </c>
      <c r="N1067" t="s">
        <v>35</v>
      </c>
      <c r="O1067">
        <v>12.28</v>
      </c>
      <c r="P1067" t="s">
        <v>42</v>
      </c>
    </row>
    <row r="1068" spans="1:16" x14ac:dyDescent="0.3">
      <c r="A1068" t="s">
        <v>133</v>
      </c>
      <c r="B1068" t="s">
        <v>33</v>
      </c>
      <c r="C1068" t="s">
        <v>31</v>
      </c>
      <c r="D1068" t="s">
        <v>19</v>
      </c>
      <c r="E1068">
        <v>5</v>
      </c>
      <c r="F1068">
        <v>167.5</v>
      </c>
      <c r="G1068">
        <v>95.4</v>
      </c>
      <c r="H1068">
        <v>10.4</v>
      </c>
      <c r="I1068">
        <v>10</v>
      </c>
      <c r="J1068">
        <v>6.08</v>
      </c>
      <c r="K1068">
        <v>8.8000000000000007</v>
      </c>
      <c r="L1068">
        <v>1</v>
      </c>
      <c r="M1068" t="s">
        <v>25</v>
      </c>
      <c r="N1068" t="s">
        <v>21</v>
      </c>
      <c r="O1068">
        <v>14.7</v>
      </c>
      <c r="P1068" t="s">
        <v>44</v>
      </c>
    </row>
    <row r="1069" spans="1:16" x14ac:dyDescent="0.3">
      <c r="A1069" t="s">
        <v>133</v>
      </c>
      <c r="B1069" t="s">
        <v>27</v>
      </c>
      <c r="C1069" t="s">
        <v>18</v>
      </c>
      <c r="D1069" t="s">
        <v>39</v>
      </c>
      <c r="E1069">
        <v>9</v>
      </c>
      <c r="F1069">
        <v>179.4</v>
      </c>
      <c r="G1069">
        <v>94.7</v>
      </c>
      <c r="H1069">
        <v>4.9000000000000004</v>
      </c>
      <c r="I1069">
        <v>4</v>
      </c>
      <c r="J1069">
        <v>7.74</v>
      </c>
      <c r="K1069">
        <v>10</v>
      </c>
      <c r="L1069">
        <v>0</v>
      </c>
      <c r="M1069" t="s">
        <v>25</v>
      </c>
      <c r="N1069" t="s">
        <v>26</v>
      </c>
      <c r="O1069">
        <v>12.93</v>
      </c>
      <c r="P1069" t="s">
        <v>45</v>
      </c>
    </row>
    <row r="1070" spans="1:16" x14ac:dyDescent="0.3">
      <c r="A1070" t="s">
        <v>134</v>
      </c>
      <c r="B1070" t="s">
        <v>23</v>
      </c>
      <c r="C1070" t="s">
        <v>37</v>
      </c>
      <c r="D1070" t="s">
        <v>19</v>
      </c>
      <c r="E1070">
        <v>1</v>
      </c>
      <c r="F1070">
        <v>161.5</v>
      </c>
      <c r="G1070">
        <v>100</v>
      </c>
      <c r="H1070">
        <v>3.2</v>
      </c>
      <c r="I1070">
        <v>7</v>
      </c>
      <c r="K1070">
        <v>9.56</v>
      </c>
      <c r="L1070">
        <v>0</v>
      </c>
      <c r="M1070" t="s">
        <v>34</v>
      </c>
      <c r="N1070" t="s">
        <v>21</v>
      </c>
      <c r="O1070">
        <v>21.99</v>
      </c>
      <c r="P1070" t="s">
        <v>22</v>
      </c>
    </row>
    <row r="1071" spans="1:16" x14ac:dyDescent="0.3">
      <c r="A1071" t="s">
        <v>134</v>
      </c>
      <c r="B1071" t="s">
        <v>17</v>
      </c>
      <c r="C1071" t="s">
        <v>18</v>
      </c>
      <c r="D1071" t="s">
        <v>19</v>
      </c>
      <c r="E1071">
        <v>8</v>
      </c>
      <c r="F1071">
        <v>148.19999999999999</v>
      </c>
      <c r="G1071">
        <v>95.7</v>
      </c>
      <c r="H1071">
        <v>6.2</v>
      </c>
      <c r="I1071">
        <v>5</v>
      </c>
      <c r="J1071">
        <v>9.01</v>
      </c>
      <c r="K1071">
        <v>5.19</v>
      </c>
      <c r="L1071">
        <v>1</v>
      </c>
      <c r="M1071" t="s">
        <v>34</v>
      </c>
      <c r="N1071" t="s">
        <v>21</v>
      </c>
      <c r="O1071">
        <v>13.14</v>
      </c>
      <c r="P1071" t="s">
        <v>22</v>
      </c>
    </row>
    <row r="1072" spans="1:16" x14ac:dyDescent="0.3">
      <c r="A1072" t="s">
        <v>134</v>
      </c>
      <c r="B1072" t="s">
        <v>27</v>
      </c>
      <c r="C1072" t="s">
        <v>41</v>
      </c>
      <c r="D1072" t="s">
        <v>39</v>
      </c>
      <c r="E1072">
        <v>1</v>
      </c>
      <c r="F1072">
        <v>160.1</v>
      </c>
      <c r="G1072">
        <v>100</v>
      </c>
      <c r="H1072">
        <v>3.4</v>
      </c>
      <c r="I1072">
        <v>7</v>
      </c>
      <c r="J1072">
        <v>7.09</v>
      </c>
      <c r="K1072">
        <v>5.72</v>
      </c>
      <c r="L1072">
        <v>0</v>
      </c>
      <c r="M1072" t="s">
        <v>34</v>
      </c>
      <c r="N1072" t="s">
        <v>21</v>
      </c>
      <c r="O1072">
        <v>17.18</v>
      </c>
      <c r="P1072" t="s">
        <v>28</v>
      </c>
    </row>
    <row r="1073" spans="1:16" x14ac:dyDescent="0.3">
      <c r="A1073" t="s">
        <v>134</v>
      </c>
      <c r="B1073" t="s">
        <v>17</v>
      </c>
      <c r="C1073" t="s">
        <v>41</v>
      </c>
      <c r="D1073" t="s">
        <v>39</v>
      </c>
      <c r="E1073">
        <v>7</v>
      </c>
      <c r="F1073">
        <v>171.2</v>
      </c>
      <c r="G1073">
        <v>92.6</v>
      </c>
      <c r="H1073">
        <v>5.7</v>
      </c>
      <c r="I1073">
        <v>6</v>
      </c>
      <c r="J1073">
        <v>8.01</v>
      </c>
      <c r="K1073">
        <v>7.08</v>
      </c>
      <c r="L1073">
        <v>0</v>
      </c>
      <c r="M1073" t="s">
        <v>34</v>
      </c>
      <c r="N1073" t="s">
        <v>26</v>
      </c>
      <c r="O1073">
        <v>14.83</v>
      </c>
      <c r="P1073" t="s">
        <v>28</v>
      </c>
    </row>
    <row r="1074" spans="1:16" x14ac:dyDescent="0.3">
      <c r="A1074" t="s">
        <v>134</v>
      </c>
      <c r="B1074" t="s">
        <v>43</v>
      </c>
      <c r="C1074" t="s">
        <v>24</v>
      </c>
      <c r="D1074" t="s">
        <v>39</v>
      </c>
      <c r="E1074">
        <v>9</v>
      </c>
      <c r="F1074">
        <v>172.9</v>
      </c>
      <c r="G1074">
        <v>91.5</v>
      </c>
      <c r="H1074">
        <v>7.8</v>
      </c>
      <c r="I1074">
        <v>5</v>
      </c>
      <c r="J1074">
        <v>6.21</v>
      </c>
      <c r="K1074">
        <v>8.1</v>
      </c>
      <c r="L1074">
        <v>2</v>
      </c>
      <c r="M1074" t="s">
        <v>20</v>
      </c>
      <c r="N1074" t="s">
        <v>21</v>
      </c>
      <c r="O1074">
        <v>14.19</v>
      </c>
      <c r="P1074" t="s">
        <v>30</v>
      </c>
    </row>
    <row r="1075" spans="1:16" x14ac:dyDescent="0.3">
      <c r="A1075" t="s">
        <v>134</v>
      </c>
      <c r="B1075" t="s">
        <v>27</v>
      </c>
      <c r="C1075" t="s">
        <v>37</v>
      </c>
      <c r="D1075" t="s">
        <v>29</v>
      </c>
      <c r="E1075">
        <v>7</v>
      </c>
      <c r="F1075">
        <v>169</v>
      </c>
      <c r="G1075">
        <v>89.7</v>
      </c>
      <c r="H1075">
        <v>5.0999999999999996</v>
      </c>
      <c r="I1075">
        <v>6</v>
      </c>
      <c r="J1075">
        <v>7.67</v>
      </c>
      <c r="K1075">
        <v>5.25</v>
      </c>
      <c r="L1075">
        <v>0</v>
      </c>
      <c r="M1075" t="s">
        <v>20</v>
      </c>
      <c r="N1075" t="s">
        <v>26</v>
      </c>
      <c r="O1075">
        <v>12.46</v>
      </c>
      <c r="P1075" t="s">
        <v>32</v>
      </c>
    </row>
    <row r="1076" spans="1:16" x14ac:dyDescent="0.3">
      <c r="A1076" t="s">
        <v>134</v>
      </c>
      <c r="B1076" t="s">
        <v>27</v>
      </c>
      <c r="C1076" t="s">
        <v>18</v>
      </c>
      <c r="D1076" t="s">
        <v>39</v>
      </c>
      <c r="E1076">
        <v>2</v>
      </c>
      <c r="F1076">
        <v>163.5</v>
      </c>
      <c r="G1076">
        <v>88.2</v>
      </c>
      <c r="H1076">
        <v>4.0999999999999996</v>
      </c>
      <c r="I1076">
        <v>2</v>
      </c>
      <c r="J1076">
        <v>6.49</v>
      </c>
      <c r="K1076">
        <v>8.9700000000000006</v>
      </c>
      <c r="L1076">
        <v>0</v>
      </c>
      <c r="M1076" t="s">
        <v>20</v>
      </c>
      <c r="N1076" t="s">
        <v>26</v>
      </c>
      <c r="O1076">
        <v>7.24</v>
      </c>
      <c r="P1076" t="s">
        <v>36</v>
      </c>
    </row>
    <row r="1077" spans="1:16" x14ac:dyDescent="0.3">
      <c r="A1077" t="s">
        <v>134</v>
      </c>
      <c r="B1077" t="s">
        <v>17</v>
      </c>
      <c r="C1077" t="s">
        <v>24</v>
      </c>
      <c r="D1077" t="s">
        <v>19</v>
      </c>
      <c r="E1077">
        <v>1</v>
      </c>
      <c r="F1077">
        <v>166.1</v>
      </c>
      <c r="G1077">
        <v>90.5</v>
      </c>
      <c r="H1077">
        <v>0</v>
      </c>
      <c r="I1077">
        <v>8</v>
      </c>
      <c r="J1077">
        <v>6.72</v>
      </c>
      <c r="K1077">
        <v>9.0299999999999994</v>
      </c>
      <c r="L1077">
        <v>0</v>
      </c>
      <c r="M1077" t="s">
        <v>34</v>
      </c>
      <c r="N1077" t="s">
        <v>21</v>
      </c>
      <c r="O1077">
        <v>18.11</v>
      </c>
      <c r="P1077" t="s">
        <v>38</v>
      </c>
    </row>
    <row r="1078" spans="1:16" x14ac:dyDescent="0.3">
      <c r="A1078" t="s">
        <v>134</v>
      </c>
      <c r="B1078" t="s">
        <v>27</v>
      </c>
      <c r="C1078" t="s">
        <v>24</v>
      </c>
      <c r="D1078" t="s">
        <v>39</v>
      </c>
      <c r="E1078">
        <v>5</v>
      </c>
      <c r="F1078">
        <v>154.19999999999999</v>
      </c>
      <c r="G1078">
        <v>96.3</v>
      </c>
      <c r="H1078">
        <v>2.1</v>
      </c>
      <c r="I1078">
        <v>8</v>
      </c>
      <c r="J1078">
        <v>8.74</v>
      </c>
      <c r="K1078">
        <v>5.51</v>
      </c>
      <c r="L1078">
        <v>0</v>
      </c>
      <c r="M1078" t="s">
        <v>25</v>
      </c>
      <c r="N1078" t="s">
        <v>21</v>
      </c>
      <c r="O1078">
        <v>18.5</v>
      </c>
      <c r="P1078" t="s">
        <v>40</v>
      </c>
    </row>
    <row r="1079" spans="1:16" x14ac:dyDescent="0.3">
      <c r="A1079" t="s">
        <v>134</v>
      </c>
      <c r="B1079" t="s">
        <v>27</v>
      </c>
      <c r="C1079" t="s">
        <v>41</v>
      </c>
      <c r="D1079" t="s">
        <v>19</v>
      </c>
      <c r="E1079">
        <v>6</v>
      </c>
      <c r="F1079">
        <v>161.5</v>
      </c>
      <c r="G1079">
        <v>91.8</v>
      </c>
      <c r="H1079">
        <v>5.5</v>
      </c>
      <c r="I1079">
        <v>9</v>
      </c>
      <c r="J1079">
        <v>7</v>
      </c>
      <c r="K1079">
        <v>7.85</v>
      </c>
      <c r="L1079">
        <v>1</v>
      </c>
      <c r="M1079" t="s">
        <v>25</v>
      </c>
      <c r="N1079" t="s">
        <v>26</v>
      </c>
      <c r="O1079">
        <v>10.79</v>
      </c>
      <c r="P1079" t="s">
        <v>42</v>
      </c>
    </row>
    <row r="1080" spans="1:16" x14ac:dyDescent="0.3">
      <c r="A1080" t="s">
        <v>134</v>
      </c>
      <c r="B1080" t="s">
        <v>43</v>
      </c>
      <c r="C1080" t="s">
        <v>37</v>
      </c>
      <c r="D1080" t="s">
        <v>29</v>
      </c>
      <c r="E1080">
        <v>10</v>
      </c>
      <c r="F1080">
        <v>150.6</v>
      </c>
      <c r="G1080">
        <v>88.4</v>
      </c>
      <c r="H1080">
        <v>2.4</v>
      </c>
      <c r="I1080">
        <v>8</v>
      </c>
      <c r="J1080">
        <v>5.74</v>
      </c>
      <c r="K1080">
        <v>7.27</v>
      </c>
      <c r="L1080">
        <v>0</v>
      </c>
      <c r="M1080" t="s">
        <v>25</v>
      </c>
      <c r="N1080" t="s">
        <v>35</v>
      </c>
      <c r="O1080">
        <v>7.39</v>
      </c>
      <c r="P1080" t="s">
        <v>44</v>
      </c>
    </row>
    <row r="1081" spans="1:16" x14ac:dyDescent="0.3">
      <c r="A1081" t="s">
        <v>134</v>
      </c>
      <c r="B1081" t="s">
        <v>23</v>
      </c>
      <c r="C1081" t="s">
        <v>18</v>
      </c>
      <c r="D1081" t="s">
        <v>39</v>
      </c>
      <c r="E1081">
        <v>1</v>
      </c>
      <c r="F1081">
        <v>152.6</v>
      </c>
      <c r="G1081">
        <v>94.2</v>
      </c>
      <c r="H1081">
        <v>3.9</v>
      </c>
      <c r="I1081">
        <v>9</v>
      </c>
      <c r="J1081">
        <v>9.67</v>
      </c>
      <c r="K1081">
        <v>8.8800000000000008</v>
      </c>
      <c r="L1081">
        <v>0</v>
      </c>
      <c r="M1081" t="s">
        <v>20</v>
      </c>
      <c r="N1081" t="s">
        <v>21</v>
      </c>
      <c r="O1081">
        <v>19.21</v>
      </c>
      <c r="P1081" t="s">
        <v>45</v>
      </c>
    </row>
    <row r="1082" spans="1:16" x14ac:dyDescent="0.3">
      <c r="A1082" t="s">
        <v>135</v>
      </c>
      <c r="B1082" t="s">
        <v>17</v>
      </c>
      <c r="C1082" t="s">
        <v>24</v>
      </c>
      <c r="D1082" t="s">
        <v>19</v>
      </c>
      <c r="E1082">
        <v>5</v>
      </c>
      <c r="F1082">
        <v>141.69999999999999</v>
      </c>
      <c r="G1082">
        <v>100</v>
      </c>
      <c r="H1082">
        <v>4.3</v>
      </c>
      <c r="I1082">
        <v>6</v>
      </c>
      <c r="J1082">
        <v>6.34</v>
      </c>
      <c r="K1082">
        <v>4.6399999999999997</v>
      </c>
      <c r="L1082">
        <v>0</v>
      </c>
      <c r="M1082" t="s">
        <v>20</v>
      </c>
      <c r="N1082" t="s">
        <v>35</v>
      </c>
      <c r="O1082">
        <v>15.24</v>
      </c>
      <c r="P1082" t="s">
        <v>22</v>
      </c>
    </row>
    <row r="1083" spans="1:16" x14ac:dyDescent="0.3">
      <c r="A1083" t="s">
        <v>135</v>
      </c>
      <c r="B1083" t="s">
        <v>43</v>
      </c>
      <c r="C1083" t="s">
        <v>31</v>
      </c>
      <c r="D1083" t="s">
        <v>29</v>
      </c>
      <c r="E1083">
        <v>6</v>
      </c>
      <c r="F1083">
        <v>158</v>
      </c>
      <c r="G1083">
        <v>96.7</v>
      </c>
      <c r="H1083">
        <v>4.7</v>
      </c>
      <c r="I1083">
        <v>7</v>
      </c>
      <c r="J1083">
        <v>6.11</v>
      </c>
      <c r="K1083">
        <v>4.6100000000000003</v>
      </c>
      <c r="L1083">
        <v>2</v>
      </c>
      <c r="M1083" t="s">
        <v>25</v>
      </c>
      <c r="N1083" t="s">
        <v>26</v>
      </c>
      <c r="O1083">
        <v>20.12</v>
      </c>
      <c r="P1083" t="s">
        <v>22</v>
      </c>
    </row>
    <row r="1084" spans="1:16" x14ac:dyDescent="0.3">
      <c r="A1084" t="s">
        <v>135</v>
      </c>
      <c r="B1084" t="s">
        <v>33</v>
      </c>
      <c r="C1084" t="s">
        <v>18</v>
      </c>
      <c r="D1084" t="s">
        <v>19</v>
      </c>
      <c r="E1084">
        <v>3</v>
      </c>
      <c r="F1084">
        <v>152.19999999999999</v>
      </c>
      <c r="G1084">
        <v>90.2</v>
      </c>
      <c r="I1084">
        <v>7</v>
      </c>
      <c r="J1084">
        <v>6.23</v>
      </c>
      <c r="K1084">
        <v>10</v>
      </c>
      <c r="L1084">
        <v>0</v>
      </c>
      <c r="M1084" t="s">
        <v>34</v>
      </c>
      <c r="N1084" t="s">
        <v>26</v>
      </c>
      <c r="O1084">
        <v>8.5399999999999991</v>
      </c>
      <c r="P1084" t="s">
        <v>28</v>
      </c>
    </row>
    <row r="1085" spans="1:16" x14ac:dyDescent="0.3">
      <c r="A1085" t="s">
        <v>135</v>
      </c>
      <c r="B1085" t="s">
        <v>33</v>
      </c>
      <c r="C1085" t="s">
        <v>37</v>
      </c>
      <c r="D1085" t="s">
        <v>19</v>
      </c>
      <c r="E1085">
        <v>10</v>
      </c>
      <c r="F1085">
        <v>151.30000000000001</v>
      </c>
      <c r="G1085">
        <v>91.3</v>
      </c>
      <c r="H1085">
        <v>4.9000000000000004</v>
      </c>
      <c r="I1085">
        <v>5</v>
      </c>
      <c r="J1085">
        <v>8.3699999999999992</v>
      </c>
      <c r="K1085">
        <v>6.78</v>
      </c>
      <c r="L1085">
        <v>0</v>
      </c>
      <c r="M1085" t="s">
        <v>34</v>
      </c>
      <c r="N1085" t="s">
        <v>26</v>
      </c>
      <c r="O1085">
        <v>12.34</v>
      </c>
      <c r="P1085" t="s">
        <v>28</v>
      </c>
    </row>
    <row r="1086" spans="1:16" x14ac:dyDescent="0.3">
      <c r="A1086" t="s">
        <v>135</v>
      </c>
      <c r="B1086" t="s">
        <v>23</v>
      </c>
      <c r="C1086" t="s">
        <v>31</v>
      </c>
      <c r="D1086" t="s">
        <v>19</v>
      </c>
      <c r="E1086">
        <v>1</v>
      </c>
      <c r="F1086">
        <v>180.3</v>
      </c>
      <c r="G1086">
        <v>91.6</v>
      </c>
      <c r="I1086">
        <v>8</v>
      </c>
      <c r="J1086">
        <v>8.69</v>
      </c>
      <c r="K1086">
        <v>9.77</v>
      </c>
      <c r="L1086">
        <v>0</v>
      </c>
      <c r="M1086" t="s">
        <v>20</v>
      </c>
      <c r="N1086" t="s">
        <v>35</v>
      </c>
      <c r="O1086">
        <v>10.44</v>
      </c>
      <c r="P1086" t="s">
        <v>30</v>
      </c>
    </row>
    <row r="1087" spans="1:16" x14ac:dyDescent="0.3">
      <c r="A1087" t="s">
        <v>135</v>
      </c>
      <c r="B1087" t="s">
        <v>27</v>
      </c>
      <c r="C1087" t="s">
        <v>18</v>
      </c>
      <c r="D1087" t="s">
        <v>19</v>
      </c>
      <c r="E1087">
        <v>10</v>
      </c>
      <c r="F1087">
        <v>158.69999999999999</v>
      </c>
      <c r="G1087">
        <v>99</v>
      </c>
      <c r="H1087">
        <v>5.5</v>
      </c>
      <c r="I1087">
        <v>7</v>
      </c>
      <c r="J1087">
        <v>5.4</v>
      </c>
      <c r="K1087">
        <v>7.26</v>
      </c>
      <c r="L1087">
        <v>0</v>
      </c>
      <c r="M1087" t="s">
        <v>20</v>
      </c>
      <c r="N1087" t="s">
        <v>35</v>
      </c>
      <c r="O1087">
        <v>11.55</v>
      </c>
      <c r="P1087" t="s">
        <v>32</v>
      </c>
    </row>
    <row r="1088" spans="1:16" x14ac:dyDescent="0.3">
      <c r="A1088" t="s">
        <v>135</v>
      </c>
      <c r="B1088" t="s">
        <v>23</v>
      </c>
      <c r="C1088" t="s">
        <v>41</v>
      </c>
      <c r="D1088" t="s">
        <v>39</v>
      </c>
      <c r="E1088">
        <v>1</v>
      </c>
      <c r="F1088">
        <v>164.8</v>
      </c>
      <c r="G1088">
        <v>98.3</v>
      </c>
      <c r="H1088">
        <v>3.2</v>
      </c>
      <c r="I1088">
        <v>8</v>
      </c>
      <c r="J1088">
        <v>7.38</v>
      </c>
      <c r="K1088">
        <v>6.53</v>
      </c>
      <c r="L1088">
        <v>0</v>
      </c>
      <c r="M1088" t="s">
        <v>20</v>
      </c>
      <c r="N1088" t="s">
        <v>35</v>
      </c>
      <c r="O1088">
        <v>11.45</v>
      </c>
      <c r="P1088" t="s">
        <v>36</v>
      </c>
    </row>
    <row r="1089" spans="1:16" x14ac:dyDescent="0.3">
      <c r="A1089" t="s">
        <v>135</v>
      </c>
      <c r="B1089" t="s">
        <v>43</v>
      </c>
      <c r="C1089" t="s">
        <v>31</v>
      </c>
      <c r="D1089" t="s">
        <v>19</v>
      </c>
      <c r="E1089">
        <v>5</v>
      </c>
      <c r="F1089">
        <v>150.30000000000001</v>
      </c>
      <c r="G1089">
        <v>100</v>
      </c>
      <c r="H1089">
        <v>3.1</v>
      </c>
      <c r="I1089">
        <v>1</v>
      </c>
      <c r="J1089">
        <v>7.42</v>
      </c>
      <c r="K1089">
        <v>6.61</v>
      </c>
      <c r="L1089">
        <v>0</v>
      </c>
      <c r="M1089" t="s">
        <v>25</v>
      </c>
      <c r="N1089" t="s">
        <v>26</v>
      </c>
      <c r="O1089">
        <v>6.03</v>
      </c>
      <c r="P1089" t="s">
        <v>38</v>
      </c>
    </row>
    <row r="1090" spans="1:16" x14ac:dyDescent="0.3">
      <c r="A1090" t="s">
        <v>135</v>
      </c>
      <c r="B1090" t="s">
        <v>23</v>
      </c>
      <c r="C1090" t="s">
        <v>31</v>
      </c>
      <c r="D1090" t="s">
        <v>29</v>
      </c>
      <c r="E1090">
        <v>3</v>
      </c>
      <c r="F1090">
        <v>143.30000000000001</v>
      </c>
      <c r="G1090">
        <v>91.8</v>
      </c>
      <c r="H1090">
        <v>4.8</v>
      </c>
      <c r="I1090">
        <v>7</v>
      </c>
      <c r="J1090">
        <v>9.58</v>
      </c>
      <c r="K1090">
        <v>7.7</v>
      </c>
      <c r="L1090">
        <v>0</v>
      </c>
      <c r="M1090" t="s">
        <v>25</v>
      </c>
      <c r="N1090" t="s">
        <v>21</v>
      </c>
      <c r="O1090">
        <v>14.57</v>
      </c>
      <c r="P1090" t="s">
        <v>40</v>
      </c>
    </row>
    <row r="1091" spans="1:16" x14ac:dyDescent="0.3">
      <c r="A1091" t="s">
        <v>135</v>
      </c>
      <c r="B1091" t="s">
        <v>27</v>
      </c>
      <c r="C1091" t="s">
        <v>37</v>
      </c>
      <c r="D1091" t="s">
        <v>29</v>
      </c>
      <c r="E1091">
        <v>1</v>
      </c>
      <c r="F1091">
        <v>167.7</v>
      </c>
      <c r="G1091">
        <v>95.7</v>
      </c>
      <c r="H1091">
        <v>8.1999999999999993</v>
      </c>
      <c r="I1091">
        <v>7</v>
      </c>
      <c r="J1091">
        <v>5.56</v>
      </c>
      <c r="K1091">
        <v>6.66</v>
      </c>
      <c r="L1091">
        <v>0</v>
      </c>
      <c r="M1091" t="s">
        <v>25</v>
      </c>
      <c r="N1091" t="s">
        <v>21</v>
      </c>
      <c r="O1091">
        <v>15.48</v>
      </c>
      <c r="P1091" t="s">
        <v>42</v>
      </c>
    </row>
    <row r="1092" spans="1:16" x14ac:dyDescent="0.3">
      <c r="A1092" t="s">
        <v>135</v>
      </c>
      <c r="B1092" t="s">
        <v>23</v>
      </c>
      <c r="C1092" t="s">
        <v>37</v>
      </c>
      <c r="D1092" t="s">
        <v>19</v>
      </c>
      <c r="E1092">
        <v>5</v>
      </c>
      <c r="F1092">
        <v>158.19999999999999</v>
      </c>
      <c r="G1092">
        <v>93.8</v>
      </c>
      <c r="H1092">
        <v>7.3</v>
      </c>
      <c r="I1092">
        <v>6</v>
      </c>
      <c r="J1092">
        <v>6.76</v>
      </c>
      <c r="K1092">
        <v>5.88</v>
      </c>
      <c r="L1092">
        <v>0</v>
      </c>
      <c r="M1092" t="s">
        <v>34</v>
      </c>
      <c r="N1092" t="s">
        <v>21</v>
      </c>
      <c r="O1092">
        <v>15.83</v>
      </c>
      <c r="P1092" t="s">
        <v>44</v>
      </c>
    </row>
    <row r="1093" spans="1:16" x14ac:dyDescent="0.3">
      <c r="A1093" t="s">
        <v>135</v>
      </c>
      <c r="B1093" t="s">
        <v>23</v>
      </c>
      <c r="C1093" t="s">
        <v>31</v>
      </c>
      <c r="D1093" t="s">
        <v>39</v>
      </c>
      <c r="E1093">
        <v>1</v>
      </c>
      <c r="F1093">
        <v>164.3</v>
      </c>
      <c r="G1093">
        <v>98</v>
      </c>
      <c r="H1093">
        <v>10.4</v>
      </c>
      <c r="I1093">
        <v>10</v>
      </c>
      <c r="J1093">
        <v>8.4600000000000009</v>
      </c>
      <c r="K1093">
        <v>3.82</v>
      </c>
      <c r="L1093">
        <v>0</v>
      </c>
      <c r="M1093" t="s">
        <v>34</v>
      </c>
      <c r="N1093" t="s">
        <v>21</v>
      </c>
      <c r="O1093">
        <v>10.39</v>
      </c>
      <c r="P1093" t="s">
        <v>45</v>
      </c>
    </row>
    <row r="1094" spans="1:16" x14ac:dyDescent="0.3">
      <c r="A1094" t="s">
        <v>136</v>
      </c>
      <c r="B1094" t="s">
        <v>43</v>
      </c>
      <c r="C1094" t="s">
        <v>31</v>
      </c>
      <c r="D1094" t="s">
        <v>39</v>
      </c>
      <c r="E1094">
        <v>1</v>
      </c>
      <c r="F1094">
        <v>160.9</v>
      </c>
      <c r="G1094">
        <v>97.2</v>
      </c>
      <c r="H1094">
        <v>6</v>
      </c>
      <c r="I1094">
        <v>6</v>
      </c>
      <c r="J1094">
        <v>9.1300000000000008</v>
      </c>
      <c r="K1094">
        <v>5.24</v>
      </c>
      <c r="L1094">
        <v>0</v>
      </c>
      <c r="M1094" t="s">
        <v>25</v>
      </c>
      <c r="N1094" t="s">
        <v>26</v>
      </c>
      <c r="O1094">
        <v>10.16</v>
      </c>
      <c r="P1094" t="s">
        <v>22</v>
      </c>
    </row>
    <row r="1095" spans="1:16" x14ac:dyDescent="0.3">
      <c r="A1095" t="s">
        <v>136</v>
      </c>
      <c r="B1095" t="s">
        <v>23</v>
      </c>
      <c r="C1095" t="s">
        <v>31</v>
      </c>
      <c r="D1095" t="s">
        <v>29</v>
      </c>
      <c r="E1095">
        <v>4</v>
      </c>
      <c r="F1095">
        <v>151.9</v>
      </c>
      <c r="G1095">
        <v>94.7</v>
      </c>
      <c r="H1095">
        <v>4.3</v>
      </c>
      <c r="I1095">
        <v>3</v>
      </c>
      <c r="J1095">
        <v>6.5</v>
      </c>
      <c r="K1095">
        <v>4.5999999999999996</v>
      </c>
      <c r="L1095">
        <v>1</v>
      </c>
      <c r="M1095" t="s">
        <v>25</v>
      </c>
      <c r="N1095" t="s">
        <v>21</v>
      </c>
      <c r="O1095">
        <v>11.53</v>
      </c>
      <c r="P1095" t="s">
        <v>22</v>
      </c>
    </row>
    <row r="1096" spans="1:16" x14ac:dyDescent="0.3">
      <c r="A1096" t="s">
        <v>136</v>
      </c>
      <c r="B1096" t="s">
        <v>23</v>
      </c>
      <c r="C1096" t="s">
        <v>41</v>
      </c>
      <c r="D1096" t="s">
        <v>19</v>
      </c>
      <c r="E1096">
        <v>3</v>
      </c>
      <c r="F1096">
        <v>173.7</v>
      </c>
      <c r="G1096">
        <v>93.6</v>
      </c>
      <c r="H1096">
        <v>2.7</v>
      </c>
      <c r="I1096">
        <v>7</v>
      </c>
      <c r="K1096">
        <v>8.43</v>
      </c>
      <c r="L1096">
        <v>0</v>
      </c>
      <c r="M1096" t="s">
        <v>25</v>
      </c>
      <c r="N1096" t="s">
        <v>21</v>
      </c>
      <c r="O1096">
        <v>11.57</v>
      </c>
      <c r="P1096" t="s">
        <v>28</v>
      </c>
    </row>
    <row r="1097" spans="1:16" x14ac:dyDescent="0.3">
      <c r="A1097" t="s">
        <v>136</v>
      </c>
      <c r="B1097" t="s">
        <v>27</v>
      </c>
      <c r="C1097" t="s">
        <v>18</v>
      </c>
      <c r="D1097" t="s">
        <v>19</v>
      </c>
      <c r="E1097">
        <v>10</v>
      </c>
      <c r="F1097">
        <v>168.7</v>
      </c>
      <c r="G1097">
        <v>100</v>
      </c>
      <c r="H1097">
        <v>5.9</v>
      </c>
      <c r="I1097">
        <v>2</v>
      </c>
      <c r="J1097">
        <v>5.67</v>
      </c>
      <c r="K1097">
        <v>8.4600000000000009</v>
      </c>
      <c r="L1097">
        <v>0</v>
      </c>
      <c r="M1097" t="s">
        <v>25</v>
      </c>
      <c r="N1097" t="s">
        <v>21</v>
      </c>
      <c r="O1097">
        <v>14.07</v>
      </c>
      <c r="P1097" t="s">
        <v>28</v>
      </c>
    </row>
    <row r="1098" spans="1:16" x14ac:dyDescent="0.3">
      <c r="A1098" t="s">
        <v>136</v>
      </c>
      <c r="B1098" t="s">
        <v>23</v>
      </c>
      <c r="C1098" t="s">
        <v>37</v>
      </c>
      <c r="D1098" t="s">
        <v>29</v>
      </c>
      <c r="E1098">
        <v>10</v>
      </c>
      <c r="F1098">
        <v>165.5</v>
      </c>
      <c r="G1098">
        <v>94</v>
      </c>
      <c r="H1098">
        <v>2.5</v>
      </c>
      <c r="I1098">
        <v>9</v>
      </c>
      <c r="J1098">
        <v>7.96</v>
      </c>
      <c r="K1098">
        <v>3.51</v>
      </c>
      <c r="L1098">
        <v>1</v>
      </c>
      <c r="M1098" t="s">
        <v>34</v>
      </c>
      <c r="N1098" t="s">
        <v>35</v>
      </c>
      <c r="O1098">
        <v>12.76</v>
      </c>
      <c r="P1098" t="s">
        <v>30</v>
      </c>
    </row>
    <row r="1099" spans="1:16" x14ac:dyDescent="0.3">
      <c r="A1099" t="s">
        <v>136</v>
      </c>
      <c r="B1099" t="s">
        <v>27</v>
      </c>
      <c r="C1099" t="s">
        <v>41</v>
      </c>
      <c r="D1099" t="s">
        <v>19</v>
      </c>
      <c r="E1099">
        <v>5</v>
      </c>
      <c r="F1099">
        <v>166.9</v>
      </c>
      <c r="G1099">
        <v>96.7</v>
      </c>
      <c r="H1099">
        <v>8</v>
      </c>
      <c r="I1099">
        <v>12</v>
      </c>
      <c r="J1099">
        <v>7.11</v>
      </c>
      <c r="K1099">
        <v>6.73</v>
      </c>
      <c r="L1099">
        <v>0</v>
      </c>
      <c r="M1099" t="s">
        <v>25</v>
      </c>
      <c r="N1099" t="s">
        <v>26</v>
      </c>
      <c r="O1099">
        <v>20.27</v>
      </c>
      <c r="P1099" t="s">
        <v>32</v>
      </c>
    </row>
    <row r="1100" spans="1:16" x14ac:dyDescent="0.3">
      <c r="A1100" t="s">
        <v>136</v>
      </c>
      <c r="B1100" t="s">
        <v>33</v>
      </c>
      <c r="C1100" t="s">
        <v>18</v>
      </c>
      <c r="D1100" t="s">
        <v>29</v>
      </c>
      <c r="E1100">
        <v>10</v>
      </c>
      <c r="F1100">
        <v>168.9</v>
      </c>
      <c r="G1100">
        <v>97.2</v>
      </c>
      <c r="H1100">
        <v>6</v>
      </c>
      <c r="I1100">
        <v>7</v>
      </c>
      <c r="K1100">
        <v>5.47</v>
      </c>
      <c r="L1100">
        <v>1</v>
      </c>
      <c r="M1100" t="s">
        <v>20</v>
      </c>
      <c r="N1100" t="s">
        <v>26</v>
      </c>
      <c r="O1100">
        <v>17.5</v>
      </c>
      <c r="P1100" t="s">
        <v>36</v>
      </c>
    </row>
    <row r="1101" spans="1:16" x14ac:dyDescent="0.3">
      <c r="A1101" t="s">
        <v>136</v>
      </c>
      <c r="B1101" t="s">
        <v>43</v>
      </c>
      <c r="C1101" t="s">
        <v>31</v>
      </c>
      <c r="D1101" t="s">
        <v>29</v>
      </c>
      <c r="E1101">
        <v>4</v>
      </c>
      <c r="F1101">
        <v>163.4</v>
      </c>
      <c r="G1101">
        <v>100</v>
      </c>
      <c r="H1101">
        <v>3.9</v>
      </c>
      <c r="I1101">
        <v>8</v>
      </c>
      <c r="K1101">
        <v>5.3</v>
      </c>
      <c r="L1101">
        <v>2</v>
      </c>
      <c r="M1101" t="s">
        <v>25</v>
      </c>
      <c r="N1101" t="s">
        <v>35</v>
      </c>
      <c r="O1101">
        <v>12.68</v>
      </c>
      <c r="P1101" t="s">
        <v>38</v>
      </c>
    </row>
    <row r="1102" spans="1:16" x14ac:dyDescent="0.3">
      <c r="A1102" t="s">
        <v>136</v>
      </c>
      <c r="B1102" t="s">
        <v>27</v>
      </c>
      <c r="C1102" t="s">
        <v>24</v>
      </c>
      <c r="D1102" t="s">
        <v>19</v>
      </c>
      <c r="E1102">
        <v>8</v>
      </c>
      <c r="F1102">
        <v>170.8</v>
      </c>
      <c r="G1102">
        <v>93.2</v>
      </c>
      <c r="H1102">
        <v>3.8</v>
      </c>
      <c r="I1102">
        <v>8</v>
      </c>
      <c r="J1102">
        <v>3.35</v>
      </c>
      <c r="K1102">
        <v>10</v>
      </c>
      <c r="L1102">
        <v>0</v>
      </c>
      <c r="M1102" t="s">
        <v>25</v>
      </c>
      <c r="N1102" t="s">
        <v>26</v>
      </c>
      <c r="O1102">
        <v>13.9</v>
      </c>
      <c r="P1102" t="s">
        <v>40</v>
      </c>
    </row>
    <row r="1103" spans="1:16" x14ac:dyDescent="0.3">
      <c r="A1103" t="s">
        <v>136</v>
      </c>
      <c r="B1103" t="s">
        <v>27</v>
      </c>
      <c r="C1103" t="s">
        <v>37</v>
      </c>
      <c r="D1103" t="s">
        <v>29</v>
      </c>
      <c r="E1103">
        <v>1</v>
      </c>
      <c r="F1103">
        <v>151.4</v>
      </c>
      <c r="G1103">
        <v>95.1</v>
      </c>
      <c r="I1103">
        <v>9</v>
      </c>
      <c r="J1103">
        <v>6.57</v>
      </c>
      <c r="K1103">
        <v>4.76</v>
      </c>
      <c r="L1103">
        <v>1</v>
      </c>
      <c r="M1103" t="s">
        <v>34</v>
      </c>
      <c r="N1103" t="s">
        <v>26</v>
      </c>
      <c r="O1103">
        <v>11.2</v>
      </c>
      <c r="P1103" t="s">
        <v>42</v>
      </c>
    </row>
    <row r="1104" spans="1:16" x14ac:dyDescent="0.3">
      <c r="A1104" t="s">
        <v>136</v>
      </c>
      <c r="B1104" t="s">
        <v>33</v>
      </c>
      <c r="C1104" t="s">
        <v>31</v>
      </c>
      <c r="D1104" t="s">
        <v>19</v>
      </c>
      <c r="E1104">
        <v>2</v>
      </c>
      <c r="F1104">
        <v>172.1</v>
      </c>
      <c r="G1104">
        <v>97.2</v>
      </c>
      <c r="H1104">
        <v>7.7</v>
      </c>
      <c r="I1104">
        <v>4</v>
      </c>
      <c r="J1104">
        <v>8.11</v>
      </c>
      <c r="K1104">
        <v>5.46</v>
      </c>
      <c r="L1104">
        <v>1</v>
      </c>
      <c r="M1104" t="s">
        <v>34</v>
      </c>
      <c r="N1104" t="s">
        <v>21</v>
      </c>
      <c r="O1104">
        <v>11.78</v>
      </c>
      <c r="P1104" t="s">
        <v>44</v>
      </c>
    </row>
    <row r="1105" spans="1:16" x14ac:dyDescent="0.3">
      <c r="A1105" t="s">
        <v>136</v>
      </c>
      <c r="B1105" t="s">
        <v>23</v>
      </c>
      <c r="C1105" t="s">
        <v>31</v>
      </c>
      <c r="D1105" t="s">
        <v>39</v>
      </c>
      <c r="E1105">
        <v>9</v>
      </c>
      <c r="F1105">
        <v>167.3</v>
      </c>
      <c r="G1105">
        <v>100</v>
      </c>
      <c r="I1105">
        <v>1</v>
      </c>
      <c r="J1105">
        <v>9.25</v>
      </c>
      <c r="K1105">
        <v>8.75</v>
      </c>
      <c r="L1105">
        <v>0</v>
      </c>
      <c r="M1105" t="s">
        <v>25</v>
      </c>
      <c r="N1105" t="s">
        <v>21</v>
      </c>
      <c r="O1105">
        <v>13.07</v>
      </c>
      <c r="P1105" t="s">
        <v>45</v>
      </c>
    </row>
    <row r="1106" spans="1:16" x14ac:dyDescent="0.3">
      <c r="A1106" t="s">
        <v>137</v>
      </c>
      <c r="B1106" t="s">
        <v>17</v>
      </c>
      <c r="C1106" t="s">
        <v>24</v>
      </c>
      <c r="D1106" t="s">
        <v>19</v>
      </c>
      <c r="E1106">
        <v>6</v>
      </c>
      <c r="F1106">
        <v>153.19999999999999</v>
      </c>
      <c r="G1106">
        <v>85.9</v>
      </c>
      <c r="H1106">
        <v>7.1</v>
      </c>
      <c r="I1106">
        <v>10</v>
      </c>
      <c r="J1106">
        <v>6.46</v>
      </c>
      <c r="K1106">
        <v>6.54</v>
      </c>
      <c r="L1106">
        <v>0</v>
      </c>
      <c r="M1106" t="s">
        <v>34</v>
      </c>
      <c r="N1106" t="s">
        <v>26</v>
      </c>
      <c r="O1106">
        <v>15.68</v>
      </c>
      <c r="P1106" t="s">
        <v>22</v>
      </c>
    </row>
    <row r="1107" spans="1:16" x14ac:dyDescent="0.3">
      <c r="A1107" t="s">
        <v>137</v>
      </c>
      <c r="B1107" t="s">
        <v>43</v>
      </c>
      <c r="C1107" t="s">
        <v>24</v>
      </c>
      <c r="D1107" t="s">
        <v>19</v>
      </c>
      <c r="E1107">
        <v>6</v>
      </c>
      <c r="F1107">
        <v>158.6</v>
      </c>
      <c r="G1107">
        <v>91.9</v>
      </c>
      <c r="I1107">
        <v>5</v>
      </c>
      <c r="J1107">
        <v>7.67</v>
      </c>
      <c r="K1107">
        <v>8.0299999999999994</v>
      </c>
      <c r="L1107">
        <v>2</v>
      </c>
      <c r="M1107" t="s">
        <v>25</v>
      </c>
      <c r="N1107" t="s">
        <v>21</v>
      </c>
      <c r="O1107">
        <v>9.61</v>
      </c>
      <c r="P1107" t="s">
        <v>22</v>
      </c>
    </row>
    <row r="1108" spans="1:16" x14ac:dyDescent="0.3">
      <c r="A1108" t="s">
        <v>137</v>
      </c>
      <c r="B1108" t="s">
        <v>43</v>
      </c>
      <c r="C1108" t="s">
        <v>41</v>
      </c>
      <c r="D1108" t="s">
        <v>19</v>
      </c>
      <c r="E1108">
        <v>9</v>
      </c>
      <c r="F1108">
        <v>149.1</v>
      </c>
      <c r="G1108">
        <v>94</v>
      </c>
      <c r="H1108">
        <v>4.8</v>
      </c>
      <c r="I1108">
        <v>6</v>
      </c>
      <c r="J1108">
        <v>6.02</v>
      </c>
      <c r="K1108">
        <v>7.2</v>
      </c>
      <c r="L1108">
        <v>1</v>
      </c>
      <c r="M1108" t="s">
        <v>25</v>
      </c>
      <c r="N1108" t="s">
        <v>26</v>
      </c>
      <c r="O1108">
        <v>6.05</v>
      </c>
      <c r="P1108" t="s">
        <v>28</v>
      </c>
    </row>
    <row r="1109" spans="1:16" x14ac:dyDescent="0.3">
      <c r="A1109" t="s">
        <v>137</v>
      </c>
      <c r="B1109" t="s">
        <v>27</v>
      </c>
      <c r="C1109" t="s">
        <v>18</v>
      </c>
      <c r="D1109" t="s">
        <v>29</v>
      </c>
      <c r="E1109">
        <v>2</v>
      </c>
      <c r="F1109">
        <v>177.7</v>
      </c>
      <c r="G1109">
        <v>98.4</v>
      </c>
      <c r="H1109">
        <v>7.1</v>
      </c>
      <c r="I1109">
        <v>3</v>
      </c>
      <c r="J1109">
        <v>5.15</v>
      </c>
      <c r="K1109">
        <v>8.92</v>
      </c>
      <c r="L1109">
        <v>1</v>
      </c>
      <c r="M1109" t="s">
        <v>20</v>
      </c>
      <c r="N1109" t="s">
        <v>26</v>
      </c>
      <c r="O1109">
        <v>15.84</v>
      </c>
      <c r="P1109" t="s">
        <v>28</v>
      </c>
    </row>
    <row r="1110" spans="1:16" x14ac:dyDescent="0.3">
      <c r="A1110" t="s">
        <v>137</v>
      </c>
      <c r="B1110" t="s">
        <v>23</v>
      </c>
      <c r="C1110" t="s">
        <v>41</v>
      </c>
      <c r="D1110" t="s">
        <v>19</v>
      </c>
      <c r="E1110">
        <v>8</v>
      </c>
      <c r="F1110">
        <v>166.5</v>
      </c>
      <c r="G1110">
        <v>89.8</v>
      </c>
      <c r="H1110">
        <v>3</v>
      </c>
      <c r="I1110">
        <v>4</v>
      </c>
      <c r="J1110">
        <v>6.93</v>
      </c>
      <c r="K1110">
        <v>4.8</v>
      </c>
      <c r="L1110">
        <v>0</v>
      </c>
      <c r="M1110" t="s">
        <v>25</v>
      </c>
      <c r="N1110" t="s">
        <v>26</v>
      </c>
      <c r="O1110">
        <v>16.68</v>
      </c>
      <c r="P1110" t="s">
        <v>30</v>
      </c>
    </row>
    <row r="1111" spans="1:16" x14ac:dyDescent="0.3">
      <c r="A1111" t="s">
        <v>137</v>
      </c>
      <c r="B1111" t="s">
        <v>43</v>
      </c>
      <c r="C1111" t="s">
        <v>41</v>
      </c>
      <c r="D1111" t="s">
        <v>39</v>
      </c>
      <c r="E1111">
        <v>4</v>
      </c>
      <c r="F1111">
        <v>157.5</v>
      </c>
      <c r="G1111">
        <v>93.8</v>
      </c>
      <c r="H1111">
        <v>6.7</v>
      </c>
      <c r="I1111">
        <v>2</v>
      </c>
      <c r="J1111">
        <v>4.9800000000000004</v>
      </c>
      <c r="K1111">
        <v>8.94</v>
      </c>
      <c r="L1111">
        <v>0</v>
      </c>
      <c r="M1111" t="s">
        <v>20</v>
      </c>
      <c r="N1111" t="s">
        <v>21</v>
      </c>
      <c r="O1111">
        <v>6.37</v>
      </c>
      <c r="P1111" t="s">
        <v>32</v>
      </c>
    </row>
    <row r="1112" spans="1:16" x14ac:dyDescent="0.3">
      <c r="A1112" t="s">
        <v>137</v>
      </c>
      <c r="B1112" t="s">
        <v>27</v>
      </c>
      <c r="C1112" t="s">
        <v>31</v>
      </c>
      <c r="D1112" t="s">
        <v>29</v>
      </c>
      <c r="E1112">
        <v>7</v>
      </c>
      <c r="F1112">
        <v>165.8</v>
      </c>
      <c r="G1112">
        <v>94.7</v>
      </c>
      <c r="H1112">
        <v>6.6</v>
      </c>
      <c r="I1112">
        <v>9</v>
      </c>
      <c r="J1112">
        <v>8.31</v>
      </c>
      <c r="K1112">
        <v>3.84</v>
      </c>
      <c r="L1112">
        <v>0</v>
      </c>
      <c r="M1112" t="s">
        <v>20</v>
      </c>
      <c r="N1112" t="s">
        <v>35</v>
      </c>
      <c r="O1112">
        <v>13.26</v>
      </c>
      <c r="P1112" t="s">
        <v>36</v>
      </c>
    </row>
    <row r="1113" spans="1:16" x14ac:dyDescent="0.3">
      <c r="A1113" t="s">
        <v>137</v>
      </c>
      <c r="B1113" t="s">
        <v>33</v>
      </c>
      <c r="C1113" t="s">
        <v>41</v>
      </c>
      <c r="D1113" t="s">
        <v>19</v>
      </c>
      <c r="E1113">
        <v>8</v>
      </c>
      <c r="F1113">
        <v>151.1</v>
      </c>
      <c r="G1113">
        <v>95.2</v>
      </c>
      <c r="H1113">
        <v>3</v>
      </c>
      <c r="I1113">
        <v>7</v>
      </c>
      <c r="J1113">
        <v>8.1199999999999992</v>
      </c>
      <c r="K1113">
        <v>6.21</v>
      </c>
      <c r="L1113">
        <v>0</v>
      </c>
      <c r="M1113" t="s">
        <v>34</v>
      </c>
      <c r="N1113" t="s">
        <v>26</v>
      </c>
      <c r="O1113">
        <v>12.64</v>
      </c>
      <c r="P1113" t="s">
        <v>38</v>
      </c>
    </row>
    <row r="1114" spans="1:16" x14ac:dyDescent="0.3">
      <c r="A1114" t="s">
        <v>137</v>
      </c>
      <c r="B1114" t="s">
        <v>17</v>
      </c>
      <c r="C1114" t="s">
        <v>31</v>
      </c>
      <c r="D1114" t="s">
        <v>29</v>
      </c>
      <c r="E1114">
        <v>6</v>
      </c>
      <c r="F1114">
        <v>158.1</v>
      </c>
      <c r="G1114">
        <v>91</v>
      </c>
      <c r="H1114">
        <v>5.6</v>
      </c>
      <c r="I1114">
        <v>3</v>
      </c>
      <c r="J1114">
        <v>9.3800000000000008</v>
      </c>
      <c r="K1114">
        <v>7.28</v>
      </c>
      <c r="L1114">
        <v>1</v>
      </c>
      <c r="M1114" t="s">
        <v>20</v>
      </c>
      <c r="N1114" t="s">
        <v>35</v>
      </c>
      <c r="O1114">
        <v>2.33</v>
      </c>
      <c r="P1114" t="s">
        <v>40</v>
      </c>
    </row>
    <row r="1115" spans="1:16" x14ac:dyDescent="0.3">
      <c r="A1115" t="s">
        <v>137</v>
      </c>
      <c r="B1115" t="s">
        <v>23</v>
      </c>
      <c r="C1115" t="s">
        <v>18</v>
      </c>
      <c r="D1115" t="s">
        <v>39</v>
      </c>
      <c r="E1115">
        <v>10</v>
      </c>
      <c r="F1115">
        <v>164.5</v>
      </c>
      <c r="G1115">
        <v>91.8</v>
      </c>
      <c r="H1115">
        <v>2.7</v>
      </c>
      <c r="I1115">
        <v>7</v>
      </c>
      <c r="J1115">
        <v>8.24</v>
      </c>
      <c r="K1115">
        <v>8.92</v>
      </c>
      <c r="L1115">
        <v>0</v>
      </c>
      <c r="M1115" t="s">
        <v>34</v>
      </c>
      <c r="N1115" t="s">
        <v>26</v>
      </c>
      <c r="O1115">
        <v>12.1</v>
      </c>
      <c r="P1115" t="s">
        <v>42</v>
      </c>
    </row>
    <row r="1116" spans="1:16" x14ac:dyDescent="0.3">
      <c r="A1116" t="s">
        <v>137</v>
      </c>
      <c r="B1116" t="s">
        <v>43</v>
      </c>
      <c r="C1116" t="s">
        <v>37</v>
      </c>
      <c r="D1116" t="s">
        <v>29</v>
      </c>
      <c r="E1116">
        <v>8</v>
      </c>
      <c r="F1116">
        <v>174.7</v>
      </c>
      <c r="G1116">
        <v>92.7</v>
      </c>
      <c r="H1116">
        <v>8.3000000000000007</v>
      </c>
      <c r="I1116">
        <v>6</v>
      </c>
      <c r="K1116">
        <v>8.06</v>
      </c>
      <c r="L1116">
        <v>0</v>
      </c>
      <c r="M1116" t="s">
        <v>25</v>
      </c>
      <c r="N1116" t="s">
        <v>26</v>
      </c>
      <c r="O1116">
        <v>15.39</v>
      </c>
      <c r="P1116" t="s">
        <v>44</v>
      </c>
    </row>
    <row r="1117" spans="1:16" x14ac:dyDescent="0.3">
      <c r="A1117" t="s">
        <v>137</v>
      </c>
      <c r="B1117" t="s">
        <v>17</v>
      </c>
      <c r="C1117" t="s">
        <v>41</v>
      </c>
      <c r="D1117" t="s">
        <v>19</v>
      </c>
      <c r="E1117">
        <v>2</v>
      </c>
      <c r="F1117">
        <v>163.1</v>
      </c>
      <c r="G1117">
        <v>91.6</v>
      </c>
      <c r="H1117">
        <v>5</v>
      </c>
      <c r="I1117">
        <v>7</v>
      </c>
      <c r="J1117">
        <v>9.7899999999999991</v>
      </c>
      <c r="K1117">
        <v>5.69</v>
      </c>
      <c r="L1117">
        <v>1</v>
      </c>
      <c r="M1117" t="s">
        <v>25</v>
      </c>
      <c r="N1117" t="s">
        <v>26</v>
      </c>
      <c r="O1117">
        <v>25.07</v>
      </c>
      <c r="P1117" t="s">
        <v>45</v>
      </c>
    </row>
    <row r="1118" spans="1:16" x14ac:dyDescent="0.3">
      <c r="A1118" t="s">
        <v>138</v>
      </c>
      <c r="B1118" t="s">
        <v>17</v>
      </c>
      <c r="C1118" t="s">
        <v>31</v>
      </c>
      <c r="D1118" t="s">
        <v>19</v>
      </c>
      <c r="E1118">
        <v>9</v>
      </c>
      <c r="F1118">
        <v>171.7</v>
      </c>
      <c r="G1118">
        <v>95.1</v>
      </c>
      <c r="H1118">
        <v>6.6</v>
      </c>
      <c r="I1118">
        <v>7</v>
      </c>
      <c r="J1118">
        <v>8.58</v>
      </c>
      <c r="K1118">
        <v>7.03</v>
      </c>
      <c r="L1118">
        <v>0</v>
      </c>
      <c r="M1118" t="s">
        <v>25</v>
      </c>
      <c r="N1118" t="s">
        <v>26</v>
      </c>
      <c r="O1118">
        <v>8.52</v>
      </c>
      <c r="P1118" t="s">
        <v>22</v>
      </c>
    </row>
    <row r="1119" spans="1:16" x14ac:dyDescent="0.3">
      <c r="A1119" t="s">
        <v>138</v>
      </c>
      <c r="B1119" t="s">
        <v>33</v>
      </c>
      <c r="C1119" t="s">
        <v>31</v>
      </c>
      <c r="D1119" t="s">
        <v>39</v>
      </c>
      <c r="E1119">
        <v>1</v>
      </c>
      <c r="F1119">
        <v>152.1</v>
      </c>
      <c r="G1119">
        <v>93.6</v>
      </c>
      <c r="H1119">
        <v>3.1</v>
      </c>
      <c r="I1119">
        <v>11</v>
      </c>
      <c r="J1119">
        <v>6.74</v>
      </c>
      <c r="K1119">
        <v>9.4499999999999993</v>
      </c>
      <c r="L1119">
        <v>0</v>
      </c>
      <c r="M1119" t="s">
        <v>25</v>
      </c>
      <c r="N1119" t="s">
        <v>21</v>
      </c>
      <c r="O1119">
        <v>21.02</v>
      </c>
      <c r="P1119" t="s">
        <v>22</v>
      </c>
    </row>
    <row r="1120" spans="1:16" x14ac:dyDescent="0.3">
      <c r="A1120" t="s">
        <v>138</v>
      </c>
      <c r="B1120" t="s">
        <v>43</v>
      </c>
      <c r="C1120" t="s">
        <v>41</v>
      </c>
      <c r="D1120" t="s">
        <v>39</v>
      </c>
      <c r="E1120">
        <v>9</v>
      </c>
      <c r="F1120">
        <v>162.80000000000001</v>
      </c>
      <c r="G1120">
        <v>91.4</v>
      </c>
      <c r="H1120">
        <v>4.5999999999999996</v>
      </c>
      <c r="I1120">
        <v>7</v>
      </c>
      <c r="J1120">
        <v>7.54</v>
      </c>
      <c r="K1120">
        <v>5.27</v>
      </c>
      <c r="L1120">
        <v>1</v>
      </c>
      <c r="M1120" t="s">
        <v>20</v>
      </c>
      <c r="N1120" t="s">
        <v>26</v>
      </c>
      <c r="O1120">
        <v>7.9</v>
      </c>
      <c r="P1120" t="s">
        <v>28</v>
      </c>
    </row>
    <row r="1121" spans="1:16" x14ac:dyDescent="0.3">
      <c r="A1121" t="s">
        <v>138</v>
      </c>
      <c r="B1121" t="s">
        <v>43</v>
      </c>
      <c r="C1121" t="s">
        <v>41</v>
      </c>
      <c r="D1121" t="s">
        <v>39</v>
      </c>
      <c r="E1121">
        <v>2</v>
      </c>
      <c r="F1121">
        <v>162.6</v>
      </c>
      <c r="G1121">
        <v>95.2</v>
      </c>
      <c r="H1121">
        <v>3.8</v>
      </c>
      <c r="I1121">
        <v>11</v>
      </c>
      <c r="J1121">
        <v>7.68</v>
      </c>
      <c r="K1121">
        <v>8.06</v>
      </c>
      <c r="L1121">
        <v>2</v>
      </c>
      <c r="M1121" t="s">
        <v>34</v>
      </c>
      <c r="N1121" t="s">
        <v>35</v>
      </c>
      <c r="O1121">
        <v>18.739999999999998</v>
      </c>
      <c r="P1121" t="s">
        <v>28</v>
      </c>
    </row>
    <row r="1122" spans="1:16" x14ac:dyDescent="0.3">
      <c r="A1122" t="s">
        <v>138</v>
      </c>
      <c r="B1122" t="s">
        <v>43</v>
      </c>
      <c r="C1122" t="s">
        <v>24</v>
      </c>
      <c r="D1122" t="s">
        <v>39</v>
      </c>
      <c r="E1122">
        <v>1</v>
      </c>
      <c r="F1122">
        <v>168.5</v>
      </c>
      <c r="G1122">
        <v>100</v>
      </c>
      <c r="H1122">
        <v>4.4000000000000004</v>
      </c>
      <c r="I1122">
        <v>7</v>
      </c>
      <c r="J1122">
        <v>8.2200000000000006</v>
      </c>
      <c r="K1122">
        <v>8.27</v>
      </c>
      <c r="L1122">
        <v>0</v>
      </c>
      <c r="M1122" t="s">
        <v>34</v>
      </c>
      <c r="N1122" t="s">
        <v>26</v>
      </c>
      <c r="O1122">
        <v>29.91</v>
      </c>
      <c r="P1122" t="s">
        <v>30</v>
      </c>
    </row>
    <row r="1123" spans="1:16" x14ac:dyDescent="0.3">
      <c r="A1123" t="s">
        <v>138</v>
      </c>
      <c r="B1123" t="s">
        <v>43</v>
      </c>
      <c r="C1123" t="s">
        <v>24</v>
      </c>
      <c r="D1123" t="s">
        <v>39</v>
      </c>
      <c r="E1123">
        <v>9</v>
      </c>
      <c r="F1123">
        <v>150.19999999999999</v>
      </c>
      <c r="G1123">
        <v>100</v>
      </c>
      <c r="H1123">
        <v>4.2</v>
      </c>
      <c r="I1123">
        <v>5</v>
      </c>
      <c r="J1123">
        <v>9.65</v>
      </c>
      <c r="K1123">
        <v>4.3099999999999996</v>
      </c>
      <c r="L1123">
        <v>0</v>
      </c>
      <c r="M1123" t="s">
        <v>34</v>
      </c>
      <c r="N1123" t="s">
        <v>26</v>
      </c>
      <c r="O1123">
        <v>12.7</v>
      </c>
      <c r="P1123" t="s">
        <v>32</v>
      </c>
    </row>
    <row r="1124" spans="1:16" x14ac:dyDescent="0.3">
      <c r="A1124" t="s">
        <v>138</v>
      </c>
      <c r="B1124" t="s">
        <v>43</v>
      </c>
      <c r="C1124" t="s">
        <v>37</v>
      </c>
      <c r="D1124" t="s">
        <v>39</v>
      </c>
      <c r="E1124">
        <v>6</v>
      </c>
      <c r="F1124">
        <v>160.80000000000001</v>
      </c>
      <c r="G1124">
        <v>93.1</v>
      </c>
      <c r="H1124">
        <v>6.3</v>
      </c>
      <c r="I1124">
        <v>9</v>
      </c>
      <c r="J1124">
        <v>8.65</v>
      </c>
      <c r="K1124">
        <v>8.07</v>
      </c>
      <c r="L1124">
        <v>2</v>
      </c>
      <c r="M1124" t="s">
        <v>34</v>
      </c>
      <c r="N1124" t="s">
        <v>35</v>
      </c>
      <c r="O1124">
        <v>13.38</v>
      </c>
      <c r="P1124" t="s">
        <v>36</v>
      </c>
    </row>
    <row r="1125" spans="1:16" x14ac:dyDescent="0.3">
      <c r="A1125" t="s">
        <v>138</v>
      </c>
      <c r="B1125" t="s">
        <v>43</v>
      </c>
      <c r="C1125" t="s">
        <v>24</v>
      </c>
      <c r="D1125" t="s">
        <v>19</v>
      </c>
      <c r="E1125">
        <v>9</v>
      </c>
      <c r="F1125">
        <v>146.6</v>
      </c>
      <c r="G1125">
        <v>91.7</v>
      </c>
      <c r="H1125">
        <v>7.4</v>
      </c>
      <c r="I1125">
        <v>8</v>
      </c>
      <c r="J1125">
        <v>7.59</v>
      </c>
      <c r="K1125">
        <v>7.49</v>
      </c>
      <c r="L1125">
        <v>0</v>
      </c>
      <c r="M1125" t="s">
        <v>25</v>
      </c>
      <c r="N1125" t="s">
        <v>26</v>
      </c>
      <c r="O1125">
        <v>22.4</v>
      </c>
      <c r="P1125" t="s">
        <v>38</v>
      </c>
    </row>
    <row r="1126" spans="1:16" x14ac:dyDescent="0.3">
      <c r="A1126" t="s">
        <v>138</v>
      </c>
      <c r="B1126" t="s">
        <v>23</v>
      </c>
      <c r="C1126" t="s">
        <v>31</v>
      </c>
      <c r="D1126" t="s">
        <v>19</v>
      </c>
      <c r="E1126">
        <v>2</v>
      </c>
      <c r="F1126">
        <v>152.80000000000001</v>
      </c>
      <c r="G1126">
        <v>93.1</v>
      </c>
      <c r="H1126">
        <v>5.7</v>
      </c>
      <c r="I1126">
        <v>5</v>
      </c>
      <c r="J1126">
        <v>6.42</v>
      </c>
      <c r="K1126">
        <v>10</v>
      </c>
      <c r="L1126">
        <v>2</v>
      </c>
      <c r="M1126" t="s">
        <v>25</v>
      </c>
      <c r="N1126" t="s">
        <v>21</v>
      </c>
      <c r="O1126">
        <v>8.4</v>
      </c>
      <c r="P1126" t="s">
        <v>40</v>
      </c>
    </row>
    <row r="1127" spans="1:16" x14ac:dyDescent="0.3">
      <c r="A1127" t="s">
        <v>138</v>
      </c>
      <c r="B1127" t="s">
        <v>23</v>
      </c>
      <c r="C1127" t="s">
        <v>41</v>
      </c>
      <c r="D1127" t="s">
        <v>39</v>
      </c>
      <c r="E1127">
        <v>7</v>
      </c>
      <c r="F1127">
        <v>174</v>
      </c>
      <c r="G1127">
        <v>91.2</v>
      </c>
      <c r="H1127">
        <v>8.4</v>
      </c>
      <c r="I1127">
        <v>6</v>
      </c>
      <c r="J1127">
        <v>5.59</v>
      </c>
      <c r="K1127">
        <v>6.12</v>
      </c>
      <c r="L1127">
        <v>1</v>
      </c>
      <c r="M1127" t="s">
        <v>20</v>
      </c>
      <c r="N1127" t="s">
        <v>26</v>
      </c>
      <c r="O1127">
        <v>18.940000000000001</v>
      </c>
      <c r="P1127" t="s">
        <v>42</v>
      </c>
    </row>
    <row r="1128" spans="1:16" x14ac:dyDescent="0.3">
      <c r="A1128" t="s">
        <v>138</v>
      </c>
      <c r="B1128" t="s">
        <v>27</v>
      </c>
      <c r="C1128" t="s">
        <v>18</v>
      </c>
      <c r="D1128" t="s">
        <v>29</v>
      </c>
      <c r="E1128">
        <v>6</v>
      </c>
      <c r="F1128">
        <v>157</v>
      </c>
      <c r="G1128">
        <v>89.6</v>
      </c>
      <c r="H1128">
        <v>6.3</v>
      </c>
      <c r="I1128">
        <v>7</v>
      </c>
      <c r="J1128">
        <v>8.1999999999999993</v>
      </c>
      <c r="K1128">
        <v>6.42</v>
      </c>
      <c r="L1128">
        <v>1</v>
      </c>
      <c r="M1128" t="s">
        <v>20</v>
      </c>
      <c r="N1128" t="s">
        <v>26</v>
      </c>
      <c r="O1128">
        <v>8.1300000000000008</v>
      </c>
      <c r="P1128" t="s">
        <v>44</v>
      </c>
    </row>
    <row r="1129" spans="1:16" x14ac:dyDescent="0.3">
      <c r="A1129" t="s">
        <v>138</v>
      </c>
      <c r="B1129" t="s">
        <v>17</v>
      </c>
      <c r="C1129" t="s">
        <v>18</v>
      </c>
      <c r="D1129" t="s">
        <v>29</v>
      </c>
      <c r="E1129">
        <v>7</v>
      </c>
      <c r="F1129">
        <v>163.5</v>
      </c>
      <c r="G1129">
        <v>96.9</v>
      </c>
      <c r="H1129">
        <v>6.3</v>
      </c>
      <c r="I1129">
        <v>6</v>
      </c>
      <c r="J1129">
        <v>7.07</v>
      </c>
      <c r="K1129">
        <v>6.45</v>
      </c>
      <c r="L1129">
        <v>0</v>
      </c>
      <c r="M1129" t="s">
        <v>20</v>
      </c>
      <c r="N1129" t="s">
        <v>26</v>
      </c>
      <c r="O1129">
        <v>12.27</v>
      </c>
      <c r="P1129" t="s">
        <v>45</v>
      </c>
    </row>
    <row r="1130" spans="1:16" x14ac:dyDescent="0.3">
      <c r="A1130" t="s">
        <v>139</v>
      </c>
      <c r="B1130" t="s">
        <v>43</v>
      </c>
      <c r="C1130" t="s">
        <v>18</v>
      </c>
      <c r="D1130" t="s">
        <v>29</v>
      </c>
      <c r="E1130">
        <v>10</v>
      </c>
      <c r="F1130">
        <v>127.5</v>
      </c>
      <c r="G1130">
        <v>100</v>
      </c>
      <c r="H1130">
        <v>5.4</v>
      </c>
      <c r="I1130">
        <v>6</v>
      </c>
      <c r="J1130">
        <v>6.11</v>
      </c>
      <c r="K1130">
        <v>7.67</v>
      </c>
      <c r="L1130">
        <v>1</v>
      </c>
      <c r="M1130" t="s">
        <v>20</v>
      </c>
      <c r="N1130" t="s">
        <v>21</v>
      </c>
      <c r="O1130">
        <v>16.86</v>
      </c>
      <c r="P1130" t="s">
        <v>22</v>
      </c>
    </row>
    <row r="1131" spans="1:16" x14ac:dyDescent="0.3">
      <c r="A1131" t="s">
        <v>139</v>
      </c>
      <c r="B1131" t="s">
        <v>33</v>
      </c>
      <c r="C1131" t="s">
        <v>18</v>
      </c>
      <c r="D1131" t="s">
        <v>19</v>
      </c>
      <c r="E1131">
        <v>8</v>
      </c>
      <c r="F1131">
        <v>160.6</v>
      </c>
      <c r="G1131">
        <v>100</v>
      </c>
      <c r="H1131">
        <v>5.7</v>
      </c>
      <c r="I1131">
        <v>4</v>
      </c>
      <c r="J1131">
        <v>8.93</v>
      </c>
      <c r="K1131">
        <v>9.83</v>
      </c>
      <c r="L1131">
        <v>1</v>
      </c>
      <c r="M1131" t="s">
        <v>25</v>
      </c>
      <c r="N1131" t="s">
        <v>26</v>
      </c>
      <c r="O1131">
        <v>18.850000000000001</v>
      </c>
      <c r="P1131" t="s">
        <v>22</v>
      </c>
    </row>
    <row r="1132" spans="1:16" x14ac:dyDescent="0.3">
      <c r="A1132" t="s">
        <v>139</v>
      </c>
      <c r="B1132" t="s">
        <v>43</v>
      </c>
      <c r="C1132" t="s">
        <v>31</v>
      </c>
      <c r="D1132" t="s">
        <v>19</v>
      </c>
      <c r="E1132">
        <v>2</v>
      </c>
      <c r="F1132">
        <v>169.5</v>
      </c>
      <c r="G1132">
        <v>88.1</v>
      </c>
      <c r="H1132">
        <v>4.9000000000000004</v>
      </c>
      <c r="I1132">
        <v>3</v>
      </c>
      <c r="J1132">
        <v>6.52</v>
      </c>
      <c r="K1132">
        <v>7.37</v>
      </c>
      <c r="L1132">
        <v>0</v>
      </c>
      <c r="M1132" t="s">
        <v>34</v>
      </c>
      <c r="N1132" t="s">
        <v>26</v>
      </c>
      <c r="O1132">
        <v>12.03</v>
      </c>
      <c r="P1132" t="s">
        <v>28</v>
      </c>
    </row>
    <row r="1133" spans="1:16" x14ac:dyDescent="0.3">
      <c r="A1133" t="s">
        <v>139</v>
      </c>
      <c r="B1133" t="s">
        <v>33</v>
      </c>
      <c r="C1133" t="s">
        <v>41</v>
      </c>
      <c r="D1133" t="s">
        <v>29</v>
      </c>
      <c r="E1133">
        <v>7</v>
      </c>
      <c r="F1133">
        <v>140.6</v>
      </c>
      <c r="G1133">
        <v>97.7</v>
      </c>
      <c r="H1133">
        <v>4.9000000000000004</v>
      </c>
      <c r="I1133">
        <v>6</v>
      </c>
      <c r="J1133">
        <v>7.4</v>
      </c>
      <c r="K1133">
        <v>1</v>
      </c>
      <c r="L1133">
        <v>0</v>
      </c>
      <c r="M1133" t="s">
        <v>25</v>
      </c>
      <c r="N1133" t="s">
        <v>26</v>
      </c>
      <c r="O1133">
        <v>12.43</v>
      </c>
      <c r="P1133" t="s">
        <v>28</v>
      </c>
    </row>
    <row r="1134" spans="1:16" x14ac:dyDescent="0.3">
      <c r="A1134" t="s">
        <v>139</v>
      </c>
      <c r="B1134" t="s">
        <v>43</v>
      </c>
      <c r="C1134" t="s">
        <v>31</v>
      </c>
      <c r="D1134" t="s">
        <v>29</v>
      </c>
      <c r="E1134">
        <v>7</v>
      </c>
      <c r="F1134">
        <v>160.5</v>
      </c>
      <c r="G1134">
        <v>98.8</v>
      </c>
      <c r="H1134">
        <v>2</v>
      </c>
      <c r="I1134">
        <v>9</v>
      </c>
      <c r="J1134">
        <v>9.98</v>
      </c>
      <c r="K1134">
        <v>6.57</v>
      </c>
      <c r="L1134">
        <v>2</v>
      </c>
      <c r="M1134" t="s">
        <v>25</v>
      </c>
      <c r="N1134" t="s">
        <v>26</v>
      </c>
      <c r="O1134">
        <v>13.27</v>
      </c>
      <c r="P1134" t="s">
        <v>30</v>
      </c>
    </row>
    <row r="1135" spans="1:16" x14ac:dyDescent="0.3">
      <c r="A1135" t="s">
        <v>139</v>
      </c>
      <c r="B1135" t="s">
        <v>27</v>
      </c>
      <c r="C1135" t="s">
        <v>37</v>
      </c>
      <c r="D1135" t="s">
        <v>29</v>
      </c>
      <c r="E1135">
        <v>10</v>
      </c>
      <c r="F1135">
        <v>157.5</v>
      </c>
      <c r="G1135">
        <v>97.6</v>
      </c>
      <c r="H1135">
        <v>6.8</v>
      </c>
      <c r="I1135">
        <v>11</v>
      </c>
      <c r="J1135">
        <v>8.99</v>
      </c>
      <c r="K1135">
        <v>7.1</v>
      </c>
      <c r="L1135">
        <v>0</v>
      </c>
      <c r="M1135" t="s">
        <v>25</v>
      </c>
      <c r="N1135" t="s">
        <v>26</v>
      </c>
      <c r="O1135">
        <v>7.32</v>
      </c>
      <c r="P1135" t="s">
        <v>32</v>
      </c>
    </row>
    <row r="1136" spans="1:16" x14ac:dyDescent="0.3">
      <c r="A1136" t="s">
        <v>139</v>
      </c>
      <c r="B1136" t="s">
        <v>27</v>
      </c>
      <c r="C1136" t="s">
        <v>41</v>
      </c>
      <c r="D1136" t="s">
        <v>19</v>
      </c>
      <c r="E1136">
        <v>1</v>
      </c>
      <c r="F1136">
        <v>156</v>
      </c>
      <c r="G1136">
        <v>97.4</v>
      </c>
      <c r="H1136">
        <v>7</v>
      </c>
      <c r="I1136">
        <v>3</v>
      </c>
      <c r="J1136">
        <v>8.8800000000000008</v>
      </c>
      <c r="K1136">
        <v>4.7699999999999996</v>
      </c>
      <c r="L1136">
        <v>0</v>
      </c>
      <c r="M1136" t="s">
        <v>25</v>
      </c>
      <c r="N1136" t="s">
        <v>26</v>
      </c>
      <c r="O1136">
        <v>11.6</v>
      </c>
      <c r="P1136" t="s">
        <v>36</v>
      </c>
    </row>
    <row r="1137" spans="1:16" x14ac:dyDescent="0.3">
      <c r="A1137" t="s">
        <v>139</v>
      </c>
      <c r="B1137" t="s">
        <v>23</v>
      </c>
      <c r="C1137" t="s">
        <v>18</v>
      </c>
      <c r="D1137" t="s">
        <v>39</v>
      </c>
      <c r="E1137">
        <v>3</v>
      </c>
      <c r="F1137">
        <v>158.69999999999999</v>
      </c>
      <c r="G1137">
        <v>98</v>
      </c>
      <c r="H1137">
        <v>2.9</v>
      </c>
      <c r="I1137">
        <v>14</v>
      </c>
      <c r="J1137">
        <v>7.62</v>
      </c>
      <c r="K1137">
        <v>8.11</v>
      </c>
      <c r="L1137">
        <v>0</v>
      </c>
      <c r="M1137" t="s">
        <v>25</v>
      </c>
      <c r="N1137" t="s">
        <v>26</v>
      </c>
      <c r="O1137">
        <v>11.34</v>
      </c>
      <c r="P1137" t="s">
        <v>38</v>
      </c>
    </row>
    <row r="1138" spans="1:16" x14ac:dyDescent="0.3">
      <c r="A1138" t="s">
        <v>139</v>
      </c>
      <c r="B1138" t="s">
        <v>17</v>
      </c>
      <c r="C1138" t="s">
        <v>24</v>
      </c>
      <c r="D1138" t="s">
        <v>29</v>
      </c>
      <c r="E1138">
        <v>3</v>
      </c>
      <c r="F1138">
        <v>163.19999999999999</v>
      </c>
      <c r="G1138">
        <v>92.2</v>
      </c>
      <c r="H1138">
        <v>4.8</v>
      </c>
      <c r="I1138">
        <v>9</v>
      </c>
      <c r="J1138">
        <v>5.79</v>
      </c>
      <c r="K1138">
        <v>5.48</v>
      </c>
      <c r="L1138">
        <v>1</v>
      </c>
      <c r="M1138" t="s">
        <v>20</v>
      </c>
      <c r="N1138" t="s">
        <v>35</v>
      </c>
      <c r="O1138">
        <v>19.920000000000002</v>
      </c>
      <c r="P1138" t="s">
        <v>40</v>
      </c>
    </row>
    <row r="1139" spans="1:16" x14ac:dyDescent="0.3">
      <c r="A1139" t="s">
        <v>139</v>
      </c>
      <c r="B1139" t="s">
        <v>33</v>
      </c>
      <c r="C1139" t="s">
        <v>31</v>
      </c>
      <c r="D1139" t="s">
        <v>39</v>
      </c>
      <c r="E1139">
        <v>6</v>
      </c>
      <c r="F1139">
        <v>161.19999999999999</v>
      </c>
      <c r="G1139">
        <v>100</v>
      </c>
      <c r="H1139">
        <v>7.3</v>
      </c>
      <c r="I1139">
        <v>4</v>
      </c>
      <c r="J1139">
        <v>6.44</v>
      </c>
      <c r="K1139">
        <v>6.68</v>
      </c>
      <c r="L1139">
        <v>1</v>
      </c>
      <c r="M1139" t="s">
        <v>34</v>
      </c>
      <c r="N1139" t="s">
        <v>21</v>
      </c>
      <c r="O1139">
        <v>11.2</v>
      </c>
      <c r="P1139" t="s">
        <v>42</v>
      </c>
    </row>
    <row r="1140" spans="1:16" x14ac:dyDescent="0.3">
      <c r="A1140" t="s">
        <v>139</v>
      </c>
      <c r="B1140" t="s">
        <v>27</v>
      </c>
      <c r="C1140" t="s">
        <v>18</v>
      </c>
      <c r="D1140" t="s">
        <v>19</v>
      </c>
      <c r="E1140">
        <v>1</v>
      </c>
      <c r="F1140">
        <v>163</v>
      </c>
      <c r="G1140">
        <v>100</v>
      </c>
      <c r="H1140">
        <v>4.7</v>
      </c>
      <c r="I1140">
        <v>11</v>
      </c>
      <c r="J1140">
        <v>7.22</v>
      </c>
      <c r="K1140">
        <v>9.39</v>
      </c>
      <c r="L1140">
        <v>2</v>
      </c>
      <c r="M1140" t="s">
        <v>34</v>
      </c>
      <c r="N1140" t="s">
        <v>21</v>
      </c>
      <c r="O1140">
        <v>8.94</v>
      </c>
      <c r="P1140" t="s">
        <v>44</v>
      </c>
    </row>
    <row r="1141" spans="1:16" x14ac:dyDescent="0.3">
      <c r="A1141" t="s">
        <v>139</v>
      </c>
      <c r="B1141" t="s">
        <v>17</v>
      </c>
      <c r="C1141" t="s">
        <v>41</v>
      </c>
      <c r="D1141" t="s">
        <v>39</v>
      </c>
      <c r="E1141">
        <v>5</v>
      </c>
      <c r="F1141">
        <v>168.5</v>
      </c>
      <c r="G1141">
        <v>95.6</v>
      </c>
      <c r="H1141">
        <v>8.8000000000000007</v>
      </c>
      <c r="I1141">
        <v>4</v>
      </c>
      <c r="J1141">
        <v>6.7</v>
      </c>
      <c r="K1141">
        <v>10</v>
      </c>
      <c r="L1141">
        <v>0</v>
      </c>
      <c r="M1141" t="s">
        <v>34</v>
      </c>
      <c r="N1141" t="s">
        <v>26</v>
      </c>
      <c r="O1141">
        <v>14.65</v>
      </c>
      <c r="P1141" t="s">
        <v>45</v>
      </c>
    </row>
    <row r="1142" spans="1:16" x14ac:dyDescent="0.3">
      <c r="A1142" t="s">
        <v>140</v>
      </c>
      <c r="B1142" t="s">
        <v>27</v>
      </c>
      <c r="C1142" t="s">
        <v>37</v>
      </c>
      <c r="D1142" t="s">
        <v>39</v>
      </c>
      <c r="E1142">
        <v>9</v>
      </c>
      <c r="F1142">
        <v>155.9</v>
      </c>
      <c r="G1142">
        <v>87.4</v>
      </c>
      <c r="H1142">
        <v>6.5</v>
      </c>
      <c r="I1142">
        <v>11</v>
      </c>
      <c r="J1142">
        <v>7</v>
      </c>
      <c r="K1142">
        <v>8.2899999999999991</v>
      </c>
      <c r="L1142">
        <v>1</v>
      </c>
      <c r="M1142" t="s">
        <v>20</v>
      </c>
      <c r="N1142" t="s">
        <v>21</v>
      </c>
      <c r="O1142">
        <v>17.28</v>
      </c>
      <c r="P1142" t="s">
        <v>22</v>
      </c>
    </row>
    <row r="1143" spans="1:16" x14ac:dyDescent="0.3">
      <c r="A1143" t="s">
        <v>140</v>
      </c>
      <c r="B1143" t="s">
        <v>27</v>
      </c>
      <c r="C1143" t="s">
        <v>24</v>
      </c>
      <c r="D1143" t="s">
        <v>39</v>
      </c>
      <c r="E1143">
        <v>7</v>
      </c>
      <c r="F1143">
        <v>155.4</v>
      </c>
      <c r="G1143">
        <v>90.3</v>
      </c>
      <c r="H1143">
        <v>7.6</v>
      </c>
      <c r="I1143">
        <v>5</v>
      </c>
      <c r="J1143">
        <v>7.17</v>
      </c>
      <c r="K1143">
        <v>5.27</v>
      </c>
      <c r="L1143">
        <v>0</v>
      </c>
      <c r="M1143" t="s">
        <v>20</v>
      </c>
      <c r="N1143" t="s">
        <v>26</v>
      </c>
      <c r="O1143">
        <v>13.45</v>
      </c>
      <c r="P1143" t="s">
        <v>22</v>
      </c>
    </row>
    <row r="1144" spans="1:16" x14ac:dyDescent="0.3">
      <c r="A1144" t="s">
        <v>140</v>
      </c>
      <c r="B1144" t="s">
        <v>17</v>
      </c>
      <c r="C1144" t="s">
        <v>37</v>
      </c>
      <c r="D1144" t="s">
        <v>29</v>
      </c>
      <c r="E1144">
        <v>2</v>
      </c>
      <c r="F1144">
        <v>166.7</v>
      </c>
      <c r="G1144">
        <v>96.7</v>
      </c>
      <c r="H1144">
        <v>7.6</v>
      </c>
      <c r="I1144">
        <v>6</v>
      </c>
      <c r="J1144">
        <v>7.57</v>
      </c>
      <c r="K1144">
        <v>7.89</v>
      </c>
      <c r="L1144">
        <v>1</v>
      </c>
      <c r="M1144" t="s">
        <v>20</v>
      </c>
      <c r="N1144" t="s">
        <v>26</v>
      </c>
      <c r="O1144">
        <v>19.899999999999999</v>
      </c>
      <c r="P1144" t="s">
        <v>28</v>
      </c>
    </row>
    <row r="1145" spans="1:16" x14ac:dyDescent="0.3">
      <c r="A1145" t="s">
        <v>140</v>
      </c>
      <c r="B1145" t="s">
        <v>17</v>
      </c>
      <c r="C1145" t="s">
        <v>41</v>
      </c>
      <c r="D1145" t="s">
        <v>29</v>
      </c>
      <c r="E1145">
        <v>7</v>
      </c>
      <c r="F1145">
        <v>142.30000000000001</v>
      </c>
      <c r="G1145">
        <v>86.3</v>
      </c>
      <c r="H1145">
        <v>4</v>
      </c>
      <c r="I1145">
        <v>7</v>
      </c>
      <c r="J1145">
        <v>6.46</v>
      </c>
      <c r="K1145">
        <v>4.24</v>
      </c>
      <c r="L1145">
        <v>0</v>
      </c>
      <c r="M1145" t="s">
        <v>34</v>
      </c>
      <c r="N1145" t="s">
        <v>35</v>
      </c>
      <c r="O1145">
        <v>8.59</v>
      </c>
      <c r="P1145" t="s">
        <v>28</v>
      </c>
    </row>
    <row r="1146" spans="1:16" x14ac:dyDescent="0.3">
      <c r="A1146" t="s">
        <v>140</v>
      </c>
      <c r="B1146" t="s">
        <v>33</v>
      </c>
      <c r="C1146" t="s">
        <v>18</v>
      </c>
      <c r="D1146" t="s">
        <v>19</v>
      </c>
      <c r="E1146">
        <v>9</v>
      </c>
      <c r="F1146">
        <v>160.9</v>
      </c>
      <c r="G1146">
        <v>99.9</v>
      </c>
      <c r="H1146">
        <v>6.2</v>
      </c>
      <c r="I1146">
        <v>5</v>
      </c>
      <c r="J1146">
        <v>6.96</v>
      </c>
      <c r="K1146">
        <v>7.33</v>
      </c>
      <c r="L1146">
        <v>1</v>
      </c>
      <c r="M1146" t="s">
        <v>20</v>
      </c>
      <c r="N1146" t="s">
        <v>26</v>
      </c>
      <c r="O1146">
        <v>19.190000000000001</v>
      </c>
      <c r="P1146" t="s">
        <v>30</v>
      </c>
    </row>
    <row r="1147" spans="1:16" x14ac:dyDescent="0.3">
      <c r="A1147" t="s">
        <v>140</v>
      </c>
      <c r="B1147" t="s">
        <v>27</v>
      </c>
      <c r="C1147" t="s">
        <v>37</v>
      </c>
      <c r="D1147" t="s">
        <v>19</v>
      </c>
      <c r="E1147">
        <v>2</v>
      </c>
      <c r="F1147">
        <v>163.5</v>
      </c>
      <c r="G1147">
        <v>100</v>
      </c>
      <c r="H1147">
        <v>6.9</v>
      </c>
      <c r="I1147">
        <v>5</v>
      </c>
      <c r="J1147">
        <v>6.12</v>
      </c>
      <c r="K1147">
        <v>5.98</v>
      </c>
      <c r="L1147">
        <v>0</v>
      </c>
      <c r="M1147" t="s">
        <v>20</v>
      </c>
      <c r="N1147" t="s">
        <v>35</v>
      </c>
      <c r="O1147">
        <v>13.81</v>
      </c>
      <c r="P1147" t="s">
        <v>32</v>
      </c>
    </row>
    <row r="1148" spans="1:16" x14ac:dyDescent="0.3">
      <c r="A1148" t="s">
        <v>140</v>
      </c>
      <c r="B1148" t="s">
        <v>27</v>
      </c>
      <c r="C1148" t="s">
        <v>31</v>
      </c>
      <c r="D1148" t="s">
        <v>29</v>
      </c>
      <c r="E1148">
        <v>2</v>
      </c>
      <c r="F1148">
        <v>164.5</v>
      </c>
      <c r="G1148">
        <v>91.8</v>
      </c>
      <c r="H1148">
        <v>3.9</v>
      </c>
      <c r="I1148">
        <v>3</v>
      </c>
      <c r="J1148">
        <v>6.48</v>
      </c>
      <c r="K1148">
        <v>9.6300000000000008</v>
      </c>
      <c r="L1148">
        <v>0</v>
      </c>
      <c r="M1148" t="s">
        <v>20</v>
      </c>
      <c r="N1148" t="s">
        <v>35</v>
      </c>
      <c r="O1148">
        <v>7.62</v>
      </c>
      <c r="P1148" t="s">
        <v>36</v>
      </c>
    </row>
    <row r="1149" spans="1:16" x14ac:dyDescent="0.3">
      <c r="A1149" t="s">
        <v>140</v>
      </c>
      <c r="B1149" t="s">
        <v>43</v>
      </c>
      <c r="C1149" t="s">
        <v>41</v>
      </c>
      <c r="D1149" t="s">
        <v>29</v>
      </c>
      <c r="E1149">
        <v>4</v>
      </c>
      <c r="F1149">
        <v>151.19999999999999</v>
      </c>
      <c r="G1149">
        <v>92.5</v>
      </c>
      <c r="H1149">
        <v>8.1999999999999993</v>
      </c>
      <c r="I1149">
        <v>7</v>
      </c>
      <c r="J1149">
        <v>9.1</v>
      </c>
      <c r="K1149">
        <v>6.14</v>
      </c>
      <c r="L1149">
        <v>0</v>
      </c>
      <c r="M1149" t="s">
        <v>20</v>
      </c>
      <c r="N1149" t="s">
        <v>21</v>
      </c>
      <c r="O1149">
        <v>12.63</v>
      </c>
      <c r="P1149" t="s">
        <v>38</v>
      </c>
    </row>
    <row r="1150" spans="1:16" x14ac:dyDescent="0.3">
      <c r="A1150" t="s">
        <v>140</v>
      </c>
      <c r="B1150" t="s">
        <v>33</v>
      </c>
      <c r="C1150" t="s">
        <v>18</v>
      </c>
      <c r="D1150" t="s">
        <v>39</v>
      </c>
      <c r="E1150">
        <v>6</v>
      </c>
      <c r="F1150">
        <v>156.4</v>
      </c>
      <c r="G1150">
        <v>85.5</v>
      </c>
      <c r="H1150">
        <v>11.3</v>
      </c>
      <c r="I1150">
        <v>6</v>
      </c>
      <c r="J1150">
        <v>7.28</v>
      </c>
      <c r="K1150">
        <v>8.65</v>
      </c>
      <c r="L1150">
        <v>0</v>
      </c>
      <c r="M1150" t="s">
        <v>34</v>
      </c>
      <c r="N1150" t="s">
        <v>21</v>
      </c>
      <c r="O1150">
        <v>13.48</v>
      </c>
      <c r="P1150" t="s">
        <v>40</v>
      </c>
    </row>
    <row r="1151" spans="1:16" x14ac:dyDescent="0.3">
      <c r="A1151" t="s">
        <v>140</v>
      </c>
      <c r="B1151" t="s">
        <v>23</v>
      </c>
      <c r="C1151" t="s">
        <v>37</v>
      </c>
      <c r="D1151" t="s">
        <v>39</v>
      </c>
      <c r="E1151">
        <v>9</v>
      </c>
      <c r="F1151">
        <v>165.9</v>
      </c>
      <c r="G1151">
        <v>92.3</v>
      </c>
      <c r="H1151">
        <v>4.2</v>
      </c>
      <c r="I1151">
        <v>6</v>
      </c>
      <c r="J1151">
        <v>5.18</v>
      </c>
      <c r="K1151">
        <v>5.33</v>
      </c>
      <c r="L1151">
        <v>0</v>
      </c>
      <c r="M1151" t="s">
        <v>20</v>
      </c>
      <c r="N1151" t="s">
        <v>26</v>
      </c>
      <c r="O1151">
        <v>12.23</v>
      </c>
      <c r="P1151" t="s">
        <v>42</v>
      </c>
    </row>
    <row r="1152" spans="1:16" x14ac:dyDescent="0.3">
      <c r="A1152" t="s">
        <v>140</v>
      </c>
      <c r="B1152" t="s">
        <v>27</v>
      </c>
      <c r="C1152" t="s">
        <v>18</v>
      </c>
      <c r="D1152" t="s">
        <v>19</v>
      </c>
      <c r="E1152">
        <v>10</v>
      </c>
      <c r="F1152">
        <v>162</v>
      </c>
      <c r="G1152">
        <v>92.7</v>
      </c>
      <c r="H1152">
        <v>7.6</v>
      </c>
      <c r="I1152">
        <v>5</v>
      </c>
      <c r="J1152">
        <v>6.31</v>
      </c>
      <c r="K1152">
        <v>5.09</v>
      </c>
      <c r="L1152">
        <v>1</v>
      </c>
      <c r="M1152" t="s">
        <v>20</v>
      </c>
      <c r="N1152" t="s">
        <v>21</v>
      </c>
      <c r="O1152">
        <v>16.79</v>
      </c>
      <c r="P1152" t="s">
        <v>44</v>
      </c>
    </row>
    <row r="1153" spans="1:16" x14ac:dyDescent="0.3">
      <c r="A1153" t="s">
        <v>140</v>
      </c>
      <c r="B1153" t="s">
        <v>33</v>
      </c>
      <c r="C1153" t="s">
        <v>18</v>
      </c>
      <c r="D1153" t="s">
        <v>39</v>
      </c>
      <c r="E1153">
        <v>6</v>
      </c>
      <c r="F1153">
        <v>165.9</v>
      </c>
      <c r="G1153">
        <v>97.3</v>
      </c>
      <c r="H1153">
        <v>4.8</v>
      </c>
      <c r="I1153">
        <v>0</v>
      </c>
      <c r="J1153">
        <v>6</v>
      </c>
      <c r="K1153">
        <v>8.6199999999999992</v>
      </c>
      <c r="L1153">
        <v>0</v>
      </c>
      <c r="M1153" t="s">
        <v>34</v>
      </c>
      <c r="N1153" t="s">
        <v>26</v>
      </c>
      <c r="O1153">
        <v>12.76</v>
      </c>
      <c r="P1153" t="s">
        <v>45</v>
      </c>
    </row>
    <row r="1154" spans="1:16" x14ac:dyDescent="0.3">
      <c r="A1154" t="s">
        <v>141</v>
      </c>
      <c r="B1154" t="s">
        <v>33</v>
      </c>
      <c r="C1154" t="s">
        <v>18</v>
      </c>
      <c r="D1154" t="s">
        <v>19</v>
      </c>
      <c r="E1154">
        <v>7</v>
      </c>
      <c r="F1154">
        <v>166.1</v>
      </c>
      <c r="G1154">
        <v>100</v>
      </c>
      <c r="H1154">
        <v>6</v>
      </c>
      <c r="I1154">
        <v>8</v>
      </c>
      <c r="J1154">
        <v>7.5</v>
      </c>
      <c r="K1154">
        <v>5.08</v>
      </c>
      <c r="L1154">
        <v>1</v>
      </c>
      <c r="M1154" t="s">
        <v>25</v>
      </c>
      <c r="N1154" t="s">
        <v>35</v>
      </c>
      <c r="O1154">
        <v>16.260000000000002</v>
      </c>
      <c r="P1154" t="s">
        <v>22</v>
      </c>
    </row>
    <row r="1155" spans="1:16" x14ac:dyDescent="0.3">
      <c r="A1155" t="s">
        <v>141</v>
      </c>
      <c r="B1155" t="s">
        <v>33</v>
      </c>
      <c r="C1155" t="s">
        <v>37</v>
      </c>
      <c r="D1155" t="s">
        <v>29</v>
      </c>
      <c r="E1155">
        <v>8</v>
      </c>
      <c r="F1155">
        <v>149.30000000000001</v>
      </c>
      <c r="G1155">
        <v>91.4</v>
      </c>
      <c r="H1155">
        <v>4.3</v>
      </c>
      <c r="I1155">
        <v>7</v>
      </c>
      <c r="J1155">
        <v>7.4</v>
      </c>
      <c r="K1155">
        <v>7.66</v>
      </c>
      <c r="L1155">
        <v>0</v>
      </c>
      <c r="M1155" t="s">
        <v>34</v>
      </c>
      <c r="N1155" t="s">
        <v>35</v>
      </c>
      <c r="O1155">
        <v>12.66</v>
      </c>
      <c r="P1155" t="s">
        <v>22</v>
      </c>
    </row>
    <row r="1156" spans="1:16" x14ac:dyDescent="0.3">
      <c r="A1156" t="s">
        <v>141</v>
      </c>
      <c r="B1156" t="s">
        <v>23</v>
      </c>
      <c r="C1156" t="s">
        <v>24</v>
      </c>
      <c r="D1156" t="s">
        <v>39</v>
      </c>
      <c r="E1156">
        <v>6</v>
      </c>
      <c r="F1156">
        <v>158.6</v>
      </c>
      <c r="G1156">
        <v>95.6</v>
      </c>
      <c r="H1156">
        <v>8</v>
      </c>
      <c r="I1156">
        <v>5</v>
      </c>
      <c r="J1156">
        <v>5.76</v>
      </c>
      <c r="K1156">
        <v>9.3699999999999992</v>
      </c>
      <c r="L1156">
        <v>0</v>
      </c>
      <c r="M1156" t="s">
        <v>34</v>
      </c>
      <c r="N1156" t="s">
        <v>21</v>
      </c>
      <c r="O1156">
        <v>14.39</v>
      </c>
      <c r="P1156" t="s">
        <v>28</v>
      </c>
    </row>
    <row r="1157" spans="1:16" x14ac:dyDescent="0.3">
      <c r="A1157" t="s">
        <v>141</v>
      </c>
      <c r="B1157" t="s">
        <v>23</v>
      </c>
      <c r="C1157" t="s">
        <v>24</v>
      </c>
      <c r="D1157" t="s">
        <v>39</v>
      </c>
      <c r="E1157">
        <v>5</v>
      </c>
      <c r="F1157">
        <v>172.4</v>
      </c>
      <c r="G1157">
        <v>92.7</v>
      </c>
      <c r="H1157">
        <v>2.5</v>
      </c>
      <c r="I1157">
        <v>3</v>
      </c>
      <c r="J1157">
        <v>6.77</v>
      </c>
      <c r="K1157">
        <v>8.85</v>
      </c>
      <c r="L1157">
        <v>0</v>
      </c>
      <c r="M1157" t="s">
        <v>25</v>
      </c>
      <c r="N1157" t="s">
        <v>21</v>
      </c>
      <c r="O1157">
        <v>18.45</v>
      </c>
      <c r="P1157" t="s">
        <v>28</v>
      </c>
    </row>
    <row r="1158" spans="1:16" x14ac:dyDescent="0.3">
      <c r="A1158" t="s">
        <v>141</v>
      </c>
      <c r="B1158" t="s">
        <v>23</v>
      </c>
      <c r="C1158" t="s">
        <v>24</v>
      </c>
      <c r="D1158" t="s">
        <v>19</v>
      </c>
      <c r="E1158">
        <v>5</v>
      </c>
      <c r="F1158">
        <v>164.4</v>
      </c>
      <c r="G1158">
        <v>89.5</v>
      </c>
      <c r="H1158">
        <v>2.2999999999999998</v>
      </c>
      <c r="I1158">
        <v>5</v>
      </c>
      <c r="J1158">
        <v>8.83</v>
      </c>
      <c r="K1158">
        <v>7.72</v>
      </c>
      <c r="L1158">
        <v>0</v>
      </c>
      <c r="M1158" t="s">
        <v>20</v>
      </c>
      <c r="N1158" t="s">
        <v>21</v>
      </c>
      <c r="O1158">
        <v>13.93</v>
      </c>
      <c r="P1158" t="s">
        <v>30</v>
      </c>
    </row>
    <row r="1159" spans="1:16" x14ac:dyDescent="0.3">
      <c r="A1159" t="s">
        <v>141</v>
      </c>
      <c r="B1159" t="s">
        <v>17</v>
      </c>
      <c r="C1159" t="s">
        <v>18</v>
      </c>
      <c r="D1159" t="s">
        <v>29</v>
      </c>
      <c r="E1159">
        <v>8</v>
      </c>
      <c r="F1159">
        <v>173.1</v>
      </c>
      <c r="G1159">
        <v>89.3</v>
      </c>
      <c r="H1159">
        <v>6</v>
      </c>
      <c r="I1159">
        <v>1</v>
      </c>
      <c r="J1159">
        <v>5.63</v>
      </c>
      <c r="K1159">
        <v>7.19</v>
      </c>
      <c r="L1159">
        <v>1</v>
      </c>
      <c r="M1159" t="s">
        <v>34</v>
      </c>
      <c r="N1159" t="s">
        <v>26</v>
      </c>
      <c r="O1159">
        <v>15.75</v>
      </c>
      <c r="P1159" t="s">
        <v>32</v>
      </c>
    </row>
    <row r="1160" spans="1:16" x14ac:dyDescent="0.3">
      <c r="A1160" t="s">
        <v>141</v>
      </c>
      <c r="B1160" t="s">
        <v>43</v>
      </c>
      <c r="C1160" t="s">
        <v>41</v>
      </c>
      <c r="D1160" t="s">
        <v>29</v>
      </c>
      <c r="E1160">
        <v>6</v>
      </c>
      <c r="F1160">
        <v>156</v>
      </c>
      <c r="G1160">
        <v>100</v>
      </c>
      <c r="H1160">
        <v>2.5</v>
      </c>
      <c r="I1160">
        <v>10</v>
      </c>
      <c r="J1160">
        <v>6.57</v>
      </c>
      <c r="K1160">
        <v>5.24</v>
      </c>
      <c r="L1160">
        <v>1</v>
      </c>
      <c r="M1160" t="s">
        <v>34</v>
      </c>
      <c r="N1160" t="s">
        <v>21</v>
      </c>
      <c r="O1160">
        <v>18.97</v>
      </c>
      <c r="P1160" t="s">
        <v>36</v>
      </c>
    </row>
    <row r="1161" spans="1:16" x14ac:dyDescent="0.3">
      <c r="A1161" t="s">
        <v>141</v>
      </c>
      <c r="B1161" t="s">
        <v>43</v>
      </c>
      <c r="C1161" t="s">
        <v>37</v>
      </c>
      <c r="D1161" t="s">
        <v>19</v>
      </c>
      <c r="E1161">
        <v>2</v>
      </c>
      <c r="F1161">
        <v>160.80000000000001</v>
      </c>
      <c r="G1161">
        <v>92.4</v>
      </c>
      <c r="H1161">
        <v>3.2</v>
      </c>
      <c r="I1161">
        <v>2</v>
      </c>
      <c r="J1161">
        <v>8.7799999999999994</v>
      </c>
      <c r="K1161">
        <v>7.14</v>
      </c>
      <c r="L1161">
        <v>0</v>
      </c>
      <c r="M1161" t="s">
        <v>20</v>
      </c>
      <c r="N1161" t="s">
        <v>35</v>
      </c>
      <c r="O1161">
        <v>23.21</v>
      </c>
      <c r="P1161" t="s">
        <v>38</v>
      </c>
    </row>
    <row r="1162" spans="1:16" x14ac:dyDescent="0.3">
      <c r="A1162" t="s">
        <v>141</v>
      </c>
      <c r="B1162" t="s">
        <v>27</v>
      </c>
      <c r="C1162" t="s">
        <v>37</v>
      </c>
      <c r="D1162" t="s">
        <v>39</v>
      </c>
      <c r="E1162">
        <v>4</v>
      </c>
      <c r="F1162">
        <v>162.1</v>
      </c>
      <c r="G1162">
        <v>100</v>
      </c>
      <c r="H1162">
        <v>6.8</v>
      </c>
      <c r="I1162">
        <v>8</v>
      </c>
      <c r="J1162">
        <v>5.61</v>
      </c>
      <c r="K1162">
        <v>8.8000000000000007</v>
      </c>
      <c r="L1162">
        <v>0</v>
      </c>
      <c r="M1162" t="s">
        <v>25</v>
      </c>
      <c r="N1162" t="s">
        <v>26</v>
      </c>
      <c r="O1162">
        <v>21.06</v>
      </c>
      <c r="P1162" t="s">
        <v>40</v>
      </c>
    </row>
    <row r="1163" spans="1:16" x14ac:dyDescent="0.3">
      <c r="A1163" t="s">
        <v>141</v>
      </c>
      <c r="B1163" t="s">
        <v>33</v>
      </c>
      <c r="C1163" t="s">
        <v>31</v>
      </c>
      <c r="D1163" t="s">
        <v>29</v>
      </c>
      <c r="E1163">
        <v>3</v>
      </c>
      <c r="F1163">
        <v>165.6</v>
      </c>
      <c r="G1163">
        <v>92.6</v>
      </c>
      <c r="I1163">
        <v>4</v>
      </c>
      <c r="J1163">
        <v>8.48</v>
      </c>
      <c r="K1163">
        <v>6.23</v>
      </c>
      <c r="L1163">
        <v>0</v>
      </c>
      <c r="M1163" t="s">
        <v>34</v>
      </c>
      <c r="N1163" t="s">
        <v>21</v>
      </c>
      <c r="O1163">
        <v>14.55</v>
      </c>
      <c r="P1163" t="s">
        <v>42</v>
      </c>
    </row>
    <row r="1164" spans="1:16" x14ac:dyDescent="0.3">
      <c r="A1164" t="s">
        <v>141</v>
      </c>
      <c r="B1164" t="s">
        <v>17</v>
      </c>
      <c r="C1164" t="s">
        <v>41</v>
      </c>
      <c r="D1164" t="s">
        <v>39</v>
      </c>
      <c r="E1164">
        <v>5</v>
      </c>
      <c r="F1164">
        <v>150</v>
      </c>
      <c r="G1164">
        <v>89.5</v>
      </c>
      <c r="H1164">
        <v>5.7</v>
      </c>
      <c r="I1164">
        <v>9</v>
      </c>
      <c r="K1164">
        <v>5.93</v>
      </c>
      <c r="L1164">
        <v>1</v>
      </c>
      <c r="M1164" t="s">
        <v>20</v>
      </c>
      <c r="N1164" t="s">
        <v>26</v>
      </c>
      <c r="O1164">
        <v>21.02</v>
      </c>
      <c r="P1164" t="s">
        <v>44</v>
      </c>
    </row>
    <row r="1165" spans="1:16" x14ac:dyDescent="0.3">
      <c r="A1165" t="s">
        <v>141</v>
      </c>
      <c r="B1165" t="s">
        <v>17</v>
      </c>
      <c r="C1165" t="s">
        <v>41</v>
      </c>
      <c r="D1165" t="s">
        <v>39</v>
      </c>
      <c r="E1165">
        <v>2</v>
      </c>
      <c r="F1165">
        <v>171.3</v>
      </c>
      <c r="G1165">
        <v>90.8</v>
      </c>
      <c r="H1165">
        <v>5</v>
      </c>
      <c r="I1165">
        <v>3</v>
      </c>
      <c r="J1165">
        <v>10</v>
      </c>
      <c r="K1165">
        <v>8.83</v>
      </c>
      <c r="L1165">
        <v>1</v>
      </c>
      <c r="M1165" t="s">
        <v>20</v>
      </c>
      <c r="N1165" t="s">
        <v>26</v>
      </c>
      <c r="O1165">
        <v>15.5</v>
      </c>
      <c r="P1165" t="s">
        <v>45</v>
      </c>
    </row>
    <row r="1166" spans="1:16" x14ac:dyDescent="0.3">
      <c r="A1166" t="s">
        <v>142</v>
      </c>
      <c r="B1166" t="s">
        <v>23</v>
      </c>
      <c r="C1166" t="s">
        <v>31</v>
      </c>
      <c r="D1166" t="s">
        <v>29</v>
      </c>
      <c r="E1166">
        <v>9</v>
      </c>
      <c r="F1166">
        <v>159</v>
      </c>
      <c r="G1166">
        <v>98.8</v>
      </c>
      <c r="H1166">
        <v>6.4</v>
      </c>
      <c r="I1166">
        <v>5</v>
      </c>
      <c r="J1166">
        <v>5.57</v>
      </c>
      <c r="K1166">
        <v>8.1999999999999993</v>
      </c>
      <c r="L1166">
        <v>0</v>
      </c>
      <c r="M1166" t="s">
        <v>34</v>
      </c>
      <c r="N1166" t="s">
        <v>26</v>
      </c>
      <c r="O1166">
        <v>23.34</v>
      </c>
      <c r="P1166" t="s">
        <v>22</v>
      </c>
    </row>
    <row r="1167" spans="1:16" x14ac:dyDescent="0.3">
      <c r="A1167" t="s">
        <v>142</v>
      </c>
      <c r="B1167" t="s">
        <v>43</v>
      </c>
      <c r="C1167" t="s">
        <v>37</v>
      </c>
      <c r="D1167" t="s">
        <v>19</v>
      </c>
      <c r="E1167">
        <v>1</v>
      </c>
      <c r="F1167">
        <v>167.2</v>
      </c>
      <c r="G1167">
        <v>94.9</v>
      </c>
      <c r="H1167">
        <v>9.4</v>
      </c>
      <c r="I1167">
        <v>8</v>
      </c>
      <c r="J1167">
        <v>9.0299999999999994</v>
      </c>
      <c r="K1167">
        <v>7.6</v>
      </c>
      <c r="L1167">
        <v>0</v>
      </c>
      <c r="M1167" t="s">
        <v>25</v>
      </c>
      <c r="N1167" t="s">
        <v>21</v>
      </c>
      <c r="O1167">
        <v>11.15</v>
      </c>
      <c r="P1167" t="s">
        <v>22</v>
      </c>
    </row>
    <row r="1168" spans="1:16" x14ac:dyDescent="0.3">
      <c r="A1168" t="s">
        <v>142</v>
      </c>
      <c r="B1168" t="s">
        <v>23</v>
      </c>
      <c r="C1168" t="s">
        <v>31</v>
      </c>
      <c r="D1168" t="s">
        <v>19</v>
      </c>
      <c r="E1168">
        <v>1</v>
      </c>
      <c r="F1168">
        <v>152.9</v>
      </c>
      <c r="G1168">
        <v>89.9</v>
      </c>
      <c r="H1168">
        <v>4.3</v>
      </c>
      <c r="I1168">
        <v>8</v>
      </c>
      <c r="J1168">
        <v>6.67</v>
      </c>
      <c r="K1168">
        <v>10</v>
      </c>
      <c r="L1168">
        <v>0</v>
      </c>
      <c r="M1168" t="s">
        <v>25</v>
      </c>
      <c r="N1168" t="s">
        <v>35</v>
      </c>
      <c r="O1168">
        <v>11.52</v>
      </c>
      <c r="P1168" t="s">
        <v>28</v>
      </c>
    </row>
    <row r="1169" spans="1:16" x14ac:dyDescent="0.3">
      <c r="A1169" t="s">
        <v>142</v>
      </c>
      <c r="B1169" t="s">
        <v>33</v>
      </c>
      <c r="C1169" t="s">
        <v>41</v>
      </c>
      <c r="D1169" t="s">
        <v>39</v>
      </c>
      <c r="E1169">
        <v>8</v>
      </c>
      <c r="F1169">
        <v>169.6</v>
      </c>
      <c r="G1169">
        <v>94.6</v>
      </c>
      <c r="H1169">
        <v>2.2000000000000002</v>
      </c>
      <c r="I1169">
        <v>5</v>
      </c>
      <c r="J1169">
        <v>4.97</v>
      </c>
      <c r="K1169">
        <v>10</v>
      </c>
      <c r="L1169">
        <v>1</v>
      </c>
      <c r="M1169" t="s">
        <v>25</v>
      </c>
      <c r="N1169" t="s">
        <v>26</v>
      </c>
      <c r="O1169">
        <v>18.5</v>
      </c>
      <c r="P1169" t="s">
        <v>28</v>
      </c>
    </row>
    <row r="1170" spans="1:16" x14ac:dyDescent="0.3">
      <c r="A1170" t="s">
        <v>142</v>
      </c>
      <c r="B1170" t="s">
        <v>33</v>
      </c>
      <c r="C1170" t="s">
        <v>24</v>
      </c>
      <c r="D1170" t="s">
        <v>39</v>
      </c>
      <c r="E1170">
        <v>6</v>
      </c>
      <c r="F1170">
        <v>140</v>
      </c>
      <c r="G1170">
        <v>100</v>
      </c>
      <c r="H1170">
        <v>9.6999999999999993</v>
      </c>
      <c r="I1170">
        <v>5</v>
      </c>
      <c r="J1170">
        <v>5.45</v>
      </c>
      <c r="K1170">
        <v>5.66</v>
      </c>
      <c r="L1170">
        <v>0</v>
      </c>
      <c r="M1170" t="s">
        <v>20</v>
      </c>
      <c r="N1170" t="s">
        <v>26</v>
      </c>
      <c r="O1170">
        <v>14.14</v>
      </c>
      <c r="P1170" t="s">
        <v>30</v>
      </c>
    </row>
    <row r="1171" spans="1:16" x14ac:dyDescent="0.3">
      <c r="A1171" t="s">
        <v>142</v>
      </c>
      <c r="B1171" t="s">
        <v>33</v>
      </c>
      <c r="C1171" t="s">
        <v>37</v>
      </c>
      <c r="D1171" t="s">
        <v>29</v>
      </c>
      <c r="E1171">
        <v>3</v>
      </c>
      <c r="F1171">
        <v>147.1</v>
      </c>
      <c r="G1171">
        <v>98.7</v>
      </c>
      <c r="H1171">
        <v>2.8</v>
      </c>
      <c r="I1171">
        <v>8</v>
      </c>
      <c r="J1171">
        <v>7.53</v>
      </c>
      <c r="K1171">
        <v>7.02</v>
      </c>
      <c r="L1171">
        <v>0</v>
      </c>
      <c r="M1171" t="s">
        <v>20</v>
      </c>
      <c r="N1171" t="s">
        <v>35</v>
      </c>
      <c r="O1171">
        <v>7.76</v>
      </c>
      <c r="P1171" t="s">
        <v>32</v>
      </c>
    </row>
    <row r="1172" spans="1:16" x14ac:dyDescent="0.3">
      <c r="A1172" t="s">
        <v>142</v>
      </c>
      <c r="B1172" t="s">
        <v>23</v>
      </c>
      <c r="C1172" t="s">
        <v>31</v>
      </c>
      <c r="D1172" t="s">
        <v>19</v>
      </c>
      <c r="E1172">
        <v>2</v>
      </c>
      <c r="F1172">
        <v>174.5</v>
      </c>
      <c r="G1172">
        <v>97.8</v>
      </c>
      <c r="H1172">
        <v>6.3</v>
      </c>
      <c r="I1172">
        <v>8</v>
      </c>
      <c r="J1172">
        <v>8.08</v>
      </c>
      <c r="K1172">
        <v>6.69</v>
      </c>
      <c r="L1172">
        <v>1</v>
      </c>
      <c r="M1172" t="s">
        <v>20</v>
      </c>
      <c r="N1172" t="s">
        <v>35</v>
      </c>
      <c r="O1172">
        <v>14.57</v>
      </c>
      <c r="P1172" t="s">
        <v>36</v>
      </c>
    </row>
    <row r="1173" spans="1:16" x14ac:dyDescent="0.3">
      <c r="A1173" t="s">
        <v>142</v>
      </c>
      <c r="B1173" t="s">
        <v>43</v>
      </c>
      <c r="C1173" t="s">
        <v>37</v>
      </c>
      <c r="D1173" t="s">
        <v>39</v>
      </c>
      <c r="E1173">
        <v>10</v>
      </c>
      <c r="F1173">
        <v>161.69999999999999</v>
      </c>
      <c r="G1173">
        <v>100</v>
      </c>
      <c r="I1173">
        <v>6</v>
      </c>
      <c r="J1173">
        <v>9.2799999999999994</v>
      </c>
      <c r="K1173">
        <v>6.62</v>
      </c>
      <c r="L1173">
        <v>1</v>
      </c>
      <c r="M1173" t="s">
        <v>25</v>
      </c>
      <c r="N1173" t="s">
        <v>26</v>
      </c>
      <c r="O1173">
        <v>14.01</v>
      </c>
      <c r="P1173" t="s">
        <v>38</v>
      </c>
    </row>
    <row r="1174" spans="1:16" x14ac:dyDescent="0.3">
      <c r="A1174" t="s">
        <v>142</v>
      </c>
      <c r="B1174" t="s">
        <v>23</v>
      </c>
      <c r="C1174" t="s">
        <v>41</v>
      </c>
      <c r="D1174" t="s">
        <v>19</v>
      </c>
      <c r="E1174">
        <v>9</v>
      </c>
      <c r="F1174">
        <v>157.19999999999999</v>
      </c>
      <c r="G1174">
        <v>93.7</v>
      </c>
      <c r="H1174">
        <v>7.4</v>
      </c>
      <c r="I1174">
        <v>4</v>
      </c>
      <c r="J1174">
        <v>8.5399999999999991</v>
      </c>
      <c r="K1174">
        <v>8.61</v>
      </c>
      <c r="L1174">
        <v>0</v>
      </c>
      <c r="M1174" t="s">
        <v>25</v>
      </c>
      <c r="N1174" t="s">
        <v>21</v>
      </c>
      <c r="O1174">
        <v>13.45</v>
      </c>
      <c r="P1174" t="s">
        <v>40</v>
      </c>
    </row>
    <row r="1175" spans="1:16" x14ac:dyDescent="0.3">
      <c r="A1175" t="s">
        <v>142</v>
      </c>
      <c r="B1175" t="s">
        <v>33</v>
      </c>
      <c r="C1175" t="s">
        <v>24</v>
      </c>
      <c r="D1175" t="s">
        <v>19</v>
      </c>
      <c r="E1175">
        <v>2</v>
      </c>
      <c r="F1175">
        <v>144.19999999999999</v>
      </c>
      <c r="G1175">
        <v>86.3</v>
      </c>
      <c r="H1175">
        <v>5.2</v>
      </c>
      <c r="I1175">
        <v>12</v>
      </c>
      <c r="J1175">
        <v>8.15</v>
      </c>
      <c r="K1175">
        <v>10</v>
      </c>
      <c r="L1175">
        <v>0</v>
      </c>
      <c r="M1175" t="s">
        <v>20</v>
      </c>
      <c r="N1175" t="s">
        <v>35</v>
      </c>
      <c r="O1175">
        <v>13.99</v>
      </c>
      <c r="P1175" t="s">
        <v>42</v>
      </c>
    </row>
    <row r="1176" spans="1:16" x14ac:dyDescent="0.3">
      <c r="A1176" t="s">
        <v>142</v>
      </c>
      <c r="B1176" t="s">
        <v>23</v>
      </c>
      <c r="C1176" t="s">
        <v>24</v>
      </c>
      <c r="D1176" t="s">
        <v>19</v>
      </c>
      <c r="E1176">
        <v>1</v>
      </c>
      <c r="F1176">
        <v>151.6</v>
      </c>
      <c r="G1176">
        <v>100</v>
      </c>
      <c r="H1176">
        <v>1.8</v>
      </c>
      <c r="I1176">
        <v>6</v>
      </c>
      <c r="J1176">
        <v>6.55</v>
      </c>
      <c r="K1176">
        <v>10</v>
      </c>
      <c r="L1176">
        <v>2</v>
      </c>
      <c r="M1176" t="s">
        <v>25</v>
      </c>
      <c r="N1176" t="s">
        <v>35</v>
      </c>
      <c r="O1176">
        <v>11.67</v>
      </c>
      <c r="P1176" t="s">
        <v>44</v>
      </c>
    </row>
    <row r="1177" spans="1:16" x14ac:dyDescent="0.3">
      <c r="A1177" t="s">
        <v>142</v>
      </c>
      <c r="B1177" t="s">
        <v>17</v>
      </c>
      <c r="C1177" t="s">
        <v>24</v>
      </c>
      <c r="D1177" t="s">
        <v>39</v>
      </c>
      <c r="E1177">
        <v>10</v>
      </c>
      <c r="F1177">
        <v>156.1</v>
      </c>
      <c r="G1177">
        <v>95.3</v>
      </c>
      <c r="H1177">
        <v>4.2</v>
      </c>
      <c r="I1177">
        <v>4</v>
      </c>
      <c r="J1177">
        <v>8.1300000000000008</v>
      </c>
      <c r="K1177">
        <v>7.46</v>
      </c>
      <c r="L1177">
        <v>0</v>
      </c>
      <c r="M1177" t="s">
        <v>20</v>
      </c>
      <c r="N1177" t="s">
        <v>21</v>
      </c>
      <c r="O1177">
        <v>10.1</v>
      </c>
      <c r="P1177" t="s">
        <v>45</v>
      </c>
    </row>
    <row r="1178" spans="1:16" x14ac:dyDescent="0.3">
      <c r="A1178" t="s">
        <v>143</v>
      </c>
      <c r="B1178" t="s">
        <v>27</v>
      </c>
      <c r="C1178" t="s">
        <v>41</v>
      </c>
      <c r="D1178" t="s">
        <v>19</v>
      </c>
      <c r="E1178">
        <v>5</v>
      </c>
      <c r="F1178">
        <v>152.1</v>
      </c>
      <c r="G1178">
        <v>95.4</v>
      </c>
      <c r="H1178">
        <v>4</v>
      </c>
      <c r="I1178">
        <v>13</v>
      </c>
      <c r="J1178">
        <v>7.12</v>
      </c>
      <c r="K1178">
        <v>4.74</v>
      </c>
      <c r="L1178">
        <v>0</v>
      </c>
      <c r="M1178" t="s">
        <v>20</v>
      </c>
      <c r="N1178" t="s">
        <v>35</v>
      </c>
      <c r="O1178">
        <v>17.399999999999999</v>
      </c>
      <c r="P1178" t="s">
        <v>22</v>
      </c>
    </row>
    <row r="1179" spans="1:16" x14ac:dyDescent="0.3">
      <c r="A1179" t="s">
        <v>143</v>
      </c>
      <c r="B1179" t="s">
        <v>33</v>
      </c>
      <c r="C1179" t="s">
        <v>37</v>
      </c>
      <c r="D1179" t="s">
        <v>19</v>
      </c>
      <c r="E1179">
        <v>2</v>
      </c>
      <c r="F1179">
        <v>164.3</v>
      </c>
      <c r="G1179">
        <v>88.2</v>
      </c>
      <c r="H1179">
        <v>6.1</v>
      </c>
      <c r="I1179">
        <v>5</v>
      </c>
      <c r="J1179">
        <v>6.5</v>
      </c>
      <c r="K1179">
        <v>8.32</v>
      </c>
      <c r="L1179">
        <v>1</v>
      </c>
      <c r="M1179" t="s">
        <v>34</v>
      </c>
      <c r="N1179" t="s">
        <v>21</v>
      </c>
      <c r="O1179">
        <v>4.38</v>
      </c>
      <c r="P1179" t="s">
        <v>22</v>
      </c>
    </row>
    <row r="1180" spans="1:16" x14ac:dyDescent="0.3">
      <c r="A1180" t="s">
        <v>143</v>
      </c>
      <c r="B1180" t="s">
        <v>43</v>
      </c>
      <c r="C1180" t="s">
        <v>18</v>
      </c>
      <c r="D1180" t="s">
        <v>19</v>
      </c>
      <c r="E1180">
        <v>4</v>
      </c>
      <c r="F1180">
        <v>148.5</v>
      </c>
      <c r="G1180">
        <v>87.3</v>
      </c>
      <c r="H1180">
        <v>3.5</v>
      </c>
      <c r="I1180">
        <v>6</v>
      </c>
      <c r="J1180">
        <v>9.07</v>
      </c>
      <c r="K1180">
        <v>3.69</v>
      </c>
      <c r="L1180">
        <v>1</v>
      </c>
      <c r="M1180" t="s">
        <v>25</v>
      </c>
      <c r="N1180" t="s">
        <v>21</v>
      </c>
      <c r="O1180">
        <v>15.55</v>
      </c>
      <c r="P1180" t="s">
        <v>28</v>
      </c>
    </row>
    <row r="1181" spans="1:16" x14ac:dyDescent="0.3">
      <c r="A1181" t="s">
        <v>143</v>
      </c>
      <c r="B1181" t="s">
        <v>23</v>
      </c>
      <c r="C1181" t="s">
        <v>37</v>
      </c>
      <c r="D1181" t="s">
        <v>39</v>
      </c>
      <c r="E1181">
        <v>8</v>
      </c>
      <c r="F1181">
        <v>172.3</v>
      </c>
      <c r="G1181">
        <v>96.1</v>
      </c>
      <c r="H1181">
        <v>2.9</v>
      </c>
      <c r="I1181">
        <v>7</v>
      </c>
      <c r="J1181">
        <v>9.26</v>
      </c>
      <c r="K1181">
        <v>7.49</v>
      </c>
      <c r="L1181">
        <v>0</v>
      </c>
      <c r="M1181" t="s">
        <v>34</v>
      </c>
      <c r="N1181" t="s">
        <v>21</v>
      </c>
      <c r="O1181">
        <v>10.84</v>
      </c>
      <c r="P1181" t="s">
        <v>28</v>
      </c>
    </row>
    <row r="1182" spans="1:16" x14ac:dyDescent="0.3">
      <c r="A1182" t="s">
        <v>143</v>
      </c>
      <c r="B1182" t="s">
        <v>43</v>
      </c>
      <c r="C1182" t="s">
        <v>37</v>
      </c>
      <c r="D1182" t="s">
        <v>39</v>
      </c>
      <c r="E1182">
        <v>7</v>
      </c>
      <c r="F1182">
        <v>166.8</v>
      </c>
      <c r="G1182">
        <v>88.9</v>
      </c>
      <c r="H1182">
        <v>4.5</v>
      </c>
      <c r="I1182">
        <v>6</v>
      </c>
      <c r="J1182">
        <v>5.0999999999999996</v>
      </c>
      <c r="K1182">
        <v>10</v>
      </c>
      <c r="L1182">
        <v>0</v>
      </c>
      <c r="M1182" t="s">
        <v>20</v>
      </c>
      <c r="N1182" t="s">
        <v>35</v>
      </c>
      <c r="O1182">
        <v>8.7799999999999994</v>
      </c>
      <c r="P1182" t="s">
        <v>30</v>
      </c>
    </row>
    <row r="1183" spans="1:16" x14ac:dyDescent="0.3">
      <c r="A1183" t="s">
        <v>143</v>
      </c>
      <c r="B1183" t="s">
        <v>27</v>
      </c>
      <c r="C1183" t="s">
        <v>41</v>
      </c>
      <c r="D1183" t="s">
        <v>39</v>
      </c>
      <c r="E1183">
        <v>5</v>
      </c>
      <c r="F1183">
        <v>165.2</v>
      </c>
      <c r="G1183">
        <v>97</v>
      </c>
      <c r="H1183">
        <v>6.1</v>
      </c>
      <c r="I1183">
        <v>7</v>
      </c>
      <c r="J1183">
        <v>8.1999999999999993</v>
      </c>
      <c r="K1183">
        <v>8.8000000000000007</v>
      </c>
      <c r="L1183">
        <v>0</v>
      </c>
      <c r="M1183" t="s">
        <v>20</v>
      </c>
      <c r="N1183" t="s">
        <v>21</v>
      </c>
      <c r="O1183">
        <v>12.87</v>
      </c>
      <c r="P1183" t="s">
        <v>32</v>
      </c>
    </row>
    <row r="1184" spans="1:16" x14ac:dyDescent="0.3">
      <c r="A1184" t="s">
        <v>143</v>
      </c>
      <c r="B1184" t="s">
        <v>43</v>
      </c>
      <c r="C1184" t="s">
        <v>18</v>
      </c>
      <c r="D1184" t="s">
        <v>39</v>
      </c>
      <c r="E1184">
        <v>7</v>
      </c>
      <c r="F1184">
        <v>186.5</v>
      </c>
      <c r="G1184">
        <v>97.3</v>
      </c>
      <c r="H1184">
        <v>4.0999999999999996</v>
      </c>
      <c r="I1184">
        <v>6</v>
      </c>
      <c r="J1184">
        <v>6.66</v>
      </c>
      <c r="K1184">
        <v>5.01</v>
      </c>
      <c r="L1184">
        <v>0</v>
      </c>
      <c r="M1184" t="s">
        <v>34</v>
      </c>
      <c r="N1184" t="s">
        <v>26</v>
      </c>
      <c r="O1184">
        <v>23.66</v>
      </c>
      <c r="P1184" t="s">
        <v>36</v>
      </c>
    </row>
    <row r="1185" spans="1:16" x14ac:dyDescent="0.3">
      <c r="A1185" t="s">
        <v>143</v>
      </c>
      <c r="B1185" t="s">
        <v>23</v>
      </c>
      <c r="C1185" t="s">
        <v>41</v>
      </c>
      <c r="D1185" t="s">
        <v>19</v>
      </c>
      <c r="E1185">
        <v>5</v>
      </c>
      <c r="F1185">
        <v>167.2</v>
      </c>
      <c r="G1185">
        <v>100</v>
      </c>
      <c r="H1185">
        <v>5.2</v>
      </c>
      <c r="I1185">
        <v>9</v>
      </c>
      <c r="J1185">
        <v>7.23</v>
      </c>
      <c r="K1185">
        <v>6.81</v>
      </c>
      <c r="L1185">
        <v>0</v>
      </c>
      <c r="M1185" t="s">
        <v>34</v>
      </c>
      <c r="N1185" t="s">
        <v>26</v>
      </c>
      <c r="O1185">
        <v>16.420000000000002</v>
      </c>
      <c r="P1185" t="s">
        <v>38</v>
      </c>
    </row>
    <row r="1186" spans="1:16" x14ac:dyDescent="0.3">
      <c r="A1186" t="s">
        <v>143</v>
      </c>
      <c r="B1186" t="s">
        <v>27</v>
      </c>
      <c r="C1186" t="s">
        <v>24</v>
      </c>
      <c r="D1186" t="s">
        <v>39</v>
      </c>
      <c r="E1186">
        <v>9</v>
      </c>
      <c r="F1186">
        <v>174</v>
      </c>
      <c r="G1186">
        <v>96</v>
      </c>
      <c r="H1186">
        <v>3.6</v>
      </c>
      <c r="I1186">
        <v>5</v>
      </c>
      <c r="J1186">
        <v>8.98</v>
      </c>
      <c r="K1186">
        <v>4.92</v>
      </c>
      <c r="L1186">
        <v>1</v>
      </c>
      <c r="M1186" t="s">
        <v>20</v>
      </c>
      <c r="N1186" t="s">
        <v>35</v>
      </c>
      <c r="O1186">
        <v>14.77</v>
      </c>
      <c r="P1186" t="s">
        <v>40</v>
      </c>
    </row>
    <row r="1187" spans="1:16" x14ac:dyDescent="0.3">
      <c r="A1187" t="s">
        <v>143</v>
      </c>
      <c r="B1187" t="s">
        <v>27</v>
      </c>
      <c r="C1187" t="s">
        <v>31</v>
      </c>
      <c r="D1187" t="s">
        <v>19</v>
      </c>
      <c r="E1187">
        <v>2</v>
      </c>
      <c r="F1187">
        <v>151.4</v>
      </c>
      <c r="G1187">
        <v>86.7</v>
      </c>
      <c r="H1187">
        <v>5.9</v>
      </c>
      <c r="I1187">
        <v>7</v>
      </c>
      <c r="J1187">
        <v>7.08</v>
      </c>
      <c r="K1187">
        <v>7.78</v>
      </c>
      <c r="L1187">
        <v>0</v>
      </c>
      <c r="M1187" t="s">
        <v>20</v>
      </c>
      <c r="N1187" t="s">
        <v>21</v>
      </c>
      <c r="O1187">
        <v>21.72</v>
      </c>
      <c r="P1187" t="s">
        <v>42</v>
      </c>
    </row>
    <row r="1188" spans="1:16" x14ac:dyDescent="0.3">
      <c r="A1188" t="s">
        <v>143</v>
      </c>
      <c r="B1188" t="s">
        <v>43</v>
      </c>
      <c r="C1188" t="s">
        <v>41</v>
      </c>
      <c r="D1188" t="s">
        <v>39</v>
      </c>
      <c r="E1188">
        <v>4</v>
      </c>
      <c r="F1188">
        <v>151.9</v>
      </c>
      <c r="G1188">
        <v>91.5</v>
      </c>
      <c r="H1188">
        <v>2.6</v>
      </c>
      <c r="I1188">
        <v>3</v>
      </c>
      <c r="J1188">
        <v>8.16</v>
      </c>
      <c r="K1188">
        <v>5.03</v>
      </c>
      <c r="L1188">
        <v>0</v>
      </c>
      <c r="M1188" t="s">
        <v>20</v>
      </c>
      <c r="N1188" t="s">
        <v>26</v>
      </c>
      <c r="O1188">
        <v>15.36</v>
      </c>
      <c r="P1188" t="s">
        <v>44</v>
      </c>
    </row>
    <row r="1189" spans="1:16" x14ac:dyDescent="0.3">
      <c r="A1189" t="s">
        <v>143</v>
      </c>
      <c r="B1189" t="s">
        <v>23</v>
      </c>
      <c r="C1189" t="s">
        <v>24</v>
      </c>
      <c r="D1189" t="s">
        <v>19</v>
      </c>
      <c r="E1189">
        <v>5</v>
      </c>
      <c r="F1189">
        <v>176</v>
      </c>
      <c r="G1189">
        <v>95.6</v>
      </c>
      <c r="H1189">
        <v>3.9</v>
      </c>
      <c r="I1189">
        <v>3</v>
      </c>
      <c r="J1189">
        <v>7.92</v>
      </c>
      <c r="K1189">
        <v>10</v>
      </c>
      <c r="L1189">
        <v>0</v>
      </c>
      <c r="M1189" t="s">
        <v>20</v>
      </c>
      <c r="N1189" t="s">
        <v>35</v>
      </c>
      <c r="O1189">
        <v>4.6399999999999997</v>
      </c>
      <c r="P1189" t="s">
        <v>45</v>
      </c>
    </row>
    <row r="1190" spans="1:16" x14ac:dyDescent="0.3">
      <c r="A1190" t="s">
        <v>144</v>
      </c>
      <c r="B1190" t="s">
        <v>27</v>
      </c>
      <c r="C1190" t="s">
        <v>41</v>
      </c>
      <c r="D1190" t="s">
        <v>39</v>
      </c>
      <c r="E1190">
        <v>8</v>
      </c>
      <c r="F1190">
        <v>154.69999999999999</v>
      </c>
      <c r="G1190">
        <v>94.3</v>
      </c>
      <c r="H1190">
        <v>4.3</v>
      </c>
      <c r="I1190">
        <v>6</v>
      </c>
      <c r="J1190">
        <v>6.75</v>
      </c>
      <c r="K1190">
        <v>10</v>
      </c>
      <c r="L1190">
        <v>2</v>
      </c>
      <c r="M1190" t="s">
        <v>25</v>
      </c>
      <c r="N1190" t="s">
        <v>21</v>
      </c>
      <c r="O1190">
        <v>10.36</v>
      </c>
      <c r="P1190" t="s">
        <v>22</v>
      </c>
    </row>
    <row r="1191" spans="1:16" x14ac:dyDescent="0.3">
      <c r="A1191" t="s">
        <v>144</v>
      </c>
      <c r="B1191" t="s">
        <v>23</v>
      </c>
      <c r="C1191" t="s">
        <v>37</v>
      </c>
      <c r="D1191" t="s">
        <v>29</v>
      </c>
      <c r="E1191">
        <v>4</v>
      </c>
      <c r="F1191">
        <v>147.69999999999999</v>
      </c>
      <c r="G1191">
        <v>88.3</v>
      </c>
      <c r="H1191">
        <v>3.9</v>
      </c>
      <c r="I1191">
        <v>8</v>
      </c>
      <c r="J1191">
        <v>5.98</v>
      </c>
      <c r="K1191">
        <v>5.69</v>
      </c>
      <c r="L1191">
        <v>0</v>
      </c>
      <c r="M1191" t="s">
        <v>20</v>
      </c>
      <c r="N1191" t="s">
        <v>35</v>
      </c>
      <c r="O1191">
        <v>15.7</v>
      </c>
      <c r="P1191" t="s">
        <v>22</v>
      </c>
    </row>
    <row r="1192" spans="1:16" x14ac:dyDescent="0.3">
      <c r="A1192" t="s">
        <v>144</v>
      </c>
      <c r="B1192" t="s">
        <v>33</v>
      </c>
      <c r="C1192" t="s">
        <v>37</v>
      </c>
      <c r="D1192" t="s">
        <v>19</v>
      </c>
      <c r="E1192">
        <v>10</v>
      </c>
      <c r="F1192">
        <v>158.30000000000001</v>
      </c>
      <c r="G1192">
        <v>93.6</v>
      </c>
      <c r="H1192">
        <v>4.3</v>
      </c>
      <c r="I1192">
        <v>6</v>
      </c>
      <c r="J1192">
        <v>8.6300000000000008</v>
      </c>
      <c r="K1192">
        <v>9.92</v>
      </c>
      <c r="L1192">
        <v>0</v>
      </c>
      <c r="M1192" t="s">
        <v>34</v>
      </c>
      <c r="N1192" t="s">
        <v>35</v>
      </c>
      <c r="O1192">
        <v>26.13</v>
      </c>
      <c r="P1192" t="s">
        <v>28</v>
      </c>
    </row>
    <row r="1193" spans="1:16" x14ac:dyDescent="0.3">
      <c r="A1193" t="s">
        <v>144</v>
      </c>
      <c r="B1193" t="s">
        <v>33</v>
      </c>
      <c r="C1193" t="s">
        <v>31</v>
      </c>
      <c r="D1193" t="s">
        <v>39</v>
      </c>
      <c r="E1193">
        <v>9</v>
      </c>
      <c r="F1193">
        <v>176.6</v>
      </c>
      <c r="G1193">
        <v>92.5</v>
      </c>
      <c r="H1193">
        <v>3</v>
      </c>
      <c r="I1193">
        <v>7</v>
      </c>
      <c r="J1193">
        <v>8.4700000000000006</v>
      </c>
      <c r="K1193">
        <v>5.84</v>
      </c>
      <c r="L1193">
        <v>0</v>
      </c>
      <c r="M1193" t="s">
        <v>34</v>
      </c>
      <c r="N1193" t="s">
        <v>26</v>
      </c>
      <c r="O1193">
        <v>14.18</v>
      </c>
      <c r="P1193" t="s">
        <v>28</v>
      </c>
    </row>
    <row r="1194" spans="1:16" x14ac:dyDescent="0.3">
      <c r="A1194" t="s">
        <v>144</v>
      </c>
      <c r="B1194" t="s">
        <v>27</v>
      </c>
      <c r="C1194" t="s">
        <v>31</v>
      </c>
      <c r="D1194" t="s">
        <v>39</v>
      </c>
      <c r="E1194">
        <v>2</v>
      </c>
      <c r="F1194">
        <v>158.80000000000001</v>
      </c>
      <c r="G1194">
        <v>96.3</v>
      </c>
      <c r="H1194">
        <v>4.5999999999999996</v>
      </c>
      <c r="I1194">
        <v>6</v>
      </c>
      <c r="J1194">
        <v>4.6100000000000003</v>
      </c>
      <c r="K1194">
        <v>10</v>
      </c>
      <c r="L1194">
        <v>0</v>
      </c>
      <c r="M1194" t="s">
        <v>25</v>
      </c>
      <c r="N1194" t="s">
        <v>21</v>
      </c>
      <c r="O1194">
        <v>15.1</v>
      </c>
      <c r="P1194" t="s">
        <v>30</v>
      </c>
    </row>
    <row r="1195" spans="1:16" x14ac:dyDescent="0.3">
      <c r="A1195" t="s">
        <v>144</v>
      </c>
      <c r="B1195" t="s">
        <v>17</v>
      </c>
      <c r="C1195" t="s">
        <v>24</v>
      </c>
      <c r="D1195" t="s">
        <v>19</v>
      </c>
      <c r="E1195">
        <v>5</v>
      </c>
      <c r="F1195">
        <v>172</v>
      </c>
      <c r="G1195">
        <v>100</v>
      </c>
      <c r="H1195">
        <v>3</v>
      </c>
      <c r="I1195">
        <v>5</v>
      </c>
      <c r="J1195">
        <v>10</v>
      </c>
      <c r="K1195">
        <v>6.48</v>
      </c>
      <c r="L1195">
        <v>0</v>
      </c>
      <c r="M1195" t="s">
        <v>25</v>
      </c>
      <c r="N1195" t="s">
        <v>26</v>
      </c>
      <c r="O1195">
        <v>8.93</v>
      </c>
      <c r="P1195" t="s">
        <v>32</v>
      </c>
    </row>
    <row r="1196" spans="1:16" x14ac:dyDescent="0.3">
      <c r="A1196" t="s">
        <v>144</v>
      </c>
      <c r="B1196" t="s">
        <v>33</v>
      </c>
      <c r="C1196" t="s">
        <v>18</v>
      </c>
      <c r="D1196" t="s">
        <v>29</v>
      </c>
      <c r="E1196">
        <v>2</v>
      </c>
      <c r="F1196">
        <v>153.69999999999999</v>
      </c>
      <c r="G1196">
        <v>93.4</v>
      </c>
      <c r="H1196">
        <v>4.4000000000000004</v>
      </c>
      <c r="I1196">
        <v>10</v>
      </c>
      <c r="J1196">
        <v>8.85</v>
      </c>
      <c r="K1196">
        <v>5.21</v>
      </c>
      <c r="L1196">
        <v>1</v>
      </c>
      <c r="M1196" t="s">
        <v>25</v>
      </c>
      <c r="N1196" t="s">
        <v>35</v>
      </c>
      <c r="O1196">
        <v>21.22</v>
      </c>
      <c r="P1196" t="s">
        <v>36</v>
      </c>
    </row>
    <row r="1197" spans="1:16" x14ac:dyDescent="0.3">
      <c r="A1197" t="s">
        <v>144</v>
      </c>
      <c r="B1197" t="s">
        <v>17</v>
      </c>
      <c r="C1197" t="s">
        <v>18</v>
      </c>
      <c r="D1197" t="s">
        <v>29</v>
      </c>
      <c r="E1197">
        <v>7</v>
      </c>
      <c r="F1197">
        <v>159.4</v>
      </c>
      <c r="G1197">
        <v>100</v>
      </c>
      <c r="H1197">
        <v>5.4</v>
      </c>
      <c r="I1197">
        <v>2</v>
      </c>
      <c r="J1197">
        <v>8.92</v>
      </c>
      <c r="K1197">
        <v>4.97</v>
      </c>
      <c r="L1197">
        <v>1</v>
      </c>
      <c r="M1197" t="s">
        <v>20</v>
      </c>
      <c r="N1197" t="s">
        <v>26</v>
      </c>
      <c r="O1197">
        <v>10.11</v>
      </c>
      <c r="P1197" t="s">
        <v>38</v>
      </c>
    </row>
    <row r="1198" spans="1:16" x14ac:dyDescent="0.3">
      <c r="A1198" t="s">
        <v>144</v>
      </c>
      <c r="B1198" t="s">
        <v>17</v>
      </c>
      <c r="C1198" t="s">
        <v>18</v>
      </c>
      <c r="D1198" t="s">
        <v>39</v>
      </c>
      <c r="E1198">
        <v>5</v>
      </c>
      <c r="F1198">
        <v>147</v>
      </c>
      <c r="G1198">
        <v>97.1</v>
      </c>
      <c r="H1198">
        <v>8.5</v>
      </c>
      <c r="I1198">
        <v>4</v>
      </c>
      <c r="J1198">
        <v>6.54</v>
      </c>
      <c r="K1198">
        <v>8.39</v>
      </c>
      <c r="L1198">
        <v>0</v>
      </c>
      <c r="M1198" t="s">
        <v>34</v>
      </c>
      <c r="N1198" t="s">
        <v>21</v>
      </c>
      <c r="O1198">
        <v>14.81</v>
      </c>
      <c r="P1198" t="s">
        <v>40</v>
      </c>
    </row>
    <row r="1199" spans="1:16" x14ac:dyDescent="0.3">
      <c r="A1199" t="s">
        <v>144</v>
      </c>
      <c r="B1199" t="s">
        <v>17</v>
      </c>
      <c r="C1199" t="s">
        <v>37</v>
      </c>
      <c r="D1199" t="s">
        <v>19</v>
      </c>
      <c r="E1199">
        <v>2</v>
      </c>
      <c r="F1199">
        <v>159.4</v>
      </c>
      <c r="G1199">
        <v>94.1</v>
      </c>
      <c r="H1199">
        <v>5.9</v>
      </c>
      <c r="I1199">
        <v>7</v>
      </c>
      <c r="J1199">
        <v>9.18</v>
      </c>
      <c r="K1199">
        <v>4.5199999999999996</v>
      </c>
      <c r="L1199">
        <v>0</v>
      </c>
      <c r="M1199" t="s">
        <v>25</v>
      </c>
      <c r="N1199" t="s">
        <v>21</v>
      </c>
      <c r="O1199">
        <v>17.82</v>
      </c>
      <c r="P1199" t="s">
        <v>42</v>
      </c>
    </row>
    <row r="1200" spans="1:16" x14ac:dyDescent="0.3">
      <c r="A1200" t="s">
        <v>144</v>
      </c>
      <c r="B1200" t="s">
        <v>43</v>
      </c>
      <c r="C1200" t="s">
        <v>37</v>
      </c>
      <c r="D1200" t="s">
        <v>29</v>
      </c>
      <c r="E1200">
        <v>8</v>
      </c>
      <c r="F1200">
        <v>139.5</v>
      </c>
      <c r="G1200">
        <v>92.9</v>
      </c>
      <c r="H1200">
        <v>5.5</v>
      </c>
      <c r="I1200">
        <v>5</v>
      </c>
      <c r="J1200">
        <v>7.59</v>
      </c>
      <c r="K1200">
        <v>6.81</v>
      </c>
      <c r="L1200">
        <v>0</v>
      </c>
      <c r="M1200" t="s">
        <v>25</v>
      </c>
      <c r="N1200" t="s">
        <v>26</v>
      </c>
      <c r="O1200">
        <v>8.18</v>
      </c>
      <c r="P1200" t="s">
        <v>44</v>
      </c>
    </row>
    <row r="1201" spans="1:16" x14ac:dyDescent="0.3">
      <c r="A1201" t="s">
        <v>144</v>
      </c>
      <c r="B1201" t="s">
        <v>33</v>
      </c>
      <c r="C1201" t="s">
        <v>31</v>
      </c>
      <c r="D1201" t="s">
        <v>19</v>
      </c>
      <c r="E1201">
        <v>4</v>
      </c>
      <c r="F1201">
        <v>155.69999999999999</v>
      </c>
      <c r="G1201">
        <v>100</v>
      </c>
      <c r="H1201">
        <v>4.9000000000000004</v>
      </c>
      <c r="I1201">
        <v>8</v>
      </c>
      <c r="J1201">
        <v>2.79</v>
      </c>
      <c r="K1201">
        <v>6.55</v>
      </c>
      <c r="L1201">
        <v>1</v>
      </c>
      <c r="M1201" t="s">
        <v>25</v>
      </c>
      <c r="N1201" t="s">
        <v>21</v>
      </c>
      <c r="O1201">
        <v>5.71</v>
      </c>
      <c r="P1201" t="s">
        <v>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698306C-7B0A-496C-9603-017444D504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Table</vt:lpstr>
      <vt:lpstr>Executive View</vt:lpstr>
      <vt:lpstr>Operational View</vt:lpstr>
      <vt:lpstr>Monitoring View</vt:lpstr>
      <vt:lpstr>Performance Cat Distr</vt:lpstr>
      <vt:lpstr>Dashboard</vt:lpstr>
      <vt:lpstr>employee_performance_data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Ogana</cp:lastModifiedBy>
  <dcterms:created xsi:type="dcterms:W3CDTF">2026-04-28T01:12:31Z</dcterms:created>
  <dcterms:modified xsi:type="dcterms:W3CDTF">2026-04-29T08:56:25Z</dcterms:modified>
</cp:coreProperties>
</file>